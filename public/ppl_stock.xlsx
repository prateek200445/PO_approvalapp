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shal\Desktop\"/>
    </mc:Choice>
  </mc:AlternateContent>
  <bookViews>
    <workbookView xWindow="0" yWindow="0" windowWidth="20400" windowHeight="7755" activeTab="3"/>
  </bookViews>
  <sheets>
    <sheet name="Stock - April-26" sheetId="1" r:id="rId1"/>
    <sheet name="Stock - May-26" sheetId="2" r:id="rId2"/>
    <sheet name="Stock - June-26" sheetId="3" r:id="rId3"/>
    <sheet name="Stock - July-26" sheetId="4" r:id="rId4"/>
  </sheets>
  <calcPr calcId="152511"/>
</workbook>
</file>

<file path=xl/calcChain.xml><?xml version="1.0" encoding="utf-8"?>
<calcChain xmlns="http://schemas.openxmlformats.org/spreadsheetml/2006/main">
  <c r="B13" i="4" l="1"/>
  <c r="B11" i="4"/>
  <c r="B10" i="4"/>
  <c r="B9" i="4"/>
  <c r="B8" i="4"/>
  <c r="B13" i="3" l="1"/>
  <c r="B11" i="3"/>
  <c r="B10" i="3"/>
  <c r="B9" i="3"/>
  <c r="B8" i="3"/>
  <c r="B13" i="2" l="1"/>
  <c r="B11" i="2"/>
  <c r="B10" i="2"/>
  <c r="B9" i="2"/>
  <c r="B8" i="2"/>
  <c r="B13" i="1" l="1"/>
  <c r="B11" i="1"/>
  <c r="B10" i="1"/>
  <c r="B9" i="1"/>
  <c r="B8" i="1"/>
</calcChain>
</file>

<file path=xl/sharedStrings.xml><?xml version="1.0" encoding="utf-8"?>
<sst xmlns="http://schemas.openxmlformats.org/spreadsheetml/2006/main" count="72" uniqueCount="21">
  <si>
    <t>P&amp;L Upload Template</t>
  </si>
  <si>
    <t>Company</t>
  </si>
  <si>
    <t>Plastene Polyfilms Limited</t>
  </si>
  <si>
    <t>Month</t>
  </si>
  <si>
    <t>2026-06</t>
  </si>
  <si>
    <t>Upload Type</t>
  </si>
  <si>
    <t>Stock</t>
  </si>
  <si>
    <t>Instructions</t>
  </si>
  <si>
    <t>Fill the amounts in lacs and keep the sheet layout unchanged.</t>
  </si>
  <si>
    <t>Category</t>
  </si>
  <si>
    <t>Amount Lacs</t>
  </si>
  <si>
    <t>Remarks</t>
  </si>
  <si>
    <t>Raw materials</t>
  </si>
  <si>
    <t>Packing materials</t>
  </si>
  <si>
    <t>WIP</t>
  </si>
  <si>
    <t>Finished goods</t>
  </si>
  <si>
    <t>Stock in trade</t>
  </si>
  <si>
    <t>Stores, spares &amp; consumables</t>
  </si>
  <si>
    <t>2026-04</t>
  </si>
  <si>
    <t>2026-05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</si>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</sst>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0.0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EF9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2" borderId="0" xfId="0" applyNumberFormat="1" applyFont="1" applyFill="1" applyAlignment="1" applyProtection="1"/>
    <xf numFmtId="167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7" topLeftCell="A8" activePane="bottomLeft" state="frozenSplit"/>
      <selection pane="bottomLeft" activeCell="B8" sqref="B8:B13"/>
    </sheetView>
  </sheetViews>
  <sheetFormatPr defaultRowHeight="15" x14ac:dyDescent="0.25"/>
  <cols>
    <col min="1" max="1" width="28.7109375" customWidth="1"/>
    <col min="2" max="2" width="24.7109375" customWidth="1"/>
    <col min="3" max="3" width="40.7109375" customWidth="1"/>
  </cols>
  <sheetData>
    <row r="1" spans="1:3" x14ac:dyDescent="0.25">
      <c r="A1" s="3" t="s">
        <v>0</v>
      </c>
      <c r="B1" s="3"/>
      <c r="C1" s="3"/>
    </row>
    <row r="2" spans="1:3" x14ac:dyDescent="0.25">
      <c r="A2" s="1" t="s">
        <v>1</v>
      </c>
      <c r="B2" t="s">
        <v>2</v>
      </c>
    </row>
    <row r="3" spans="1:3" x14ac:dyDescent="0.25">
      <c r="A3" s="1" t="s">
        <v>3</v>
      </c>
      <c r="B3" t="s">
        <v>18</v>
      </c>
    </row>
    <row r="4" spans="1:3" x14ac:dyDescent="0.25">
      <c r="A4" s="1" t="s">
        <v>5</v>
      </c>
      <c r="B4" t="s">
        <v>6</v>
      </c>
    </row>
    <row r="5" spans="1:3" x14ac:dyDescent="0.25">
      <c r="A5" s="1" t="s">
        <v>7</v>
      </c>
      <c r="B5" t="s">
        <v>8</v>
      </c>
    </row>
    <row r="7" spans="1:3" x14ac:dyDescent="0.25">
      <c r="A7" s="2" t="s">
        <v>9</v>
      </c>
      <c r="B7" s="2" t="s">
        <v>10</v>
      </c>
      <c r="C7" s="2" t="s">
        <v>11</v>
      </c>
    </row>
    <row r="8" spans="1:3" x14ac:dyDescent="0.25">
      <c r="A8" t="s">
        <v>12</v>
      </c>
      <c r="B8" s="4">
        <f>16354889.9012801/100000</f>
        <v>163.548899012801</v>
      </c>
    </row>
    <row r="9" spans="1:3" x14ac:dyDescent="0.25">
      <c r="A9" t="s">
        <v>13</v>
      </c>
      <c r="B9" s="4">
        <f>1121630.28/100000</f>
        <v>11.216302800000001</v>
      </c>
    </row>
    <row r="10" spans="1:3" x14ac:dyDescent="0.25">
      <c r="A10" t="s">
        <v>14</v>
      </c>
      <c r="B10" s="4">
        <f>12289159.1584817/100000</f>
        <v>122.89159158481701</v>
      </c>
    </row>
    <row r="11" spans="1:3" x14ac:dyDescent="0.25">
      <c r="A11" t="s">
        <v>15</v>
      </c>
      <c r="B11" s="4">
        <f>38757145.6985215/100000</f>
        <v>387.57145698521504</v>
      </c>
    </row>
    <row r="12" spans="1:3" x14ac:dyDescent="0.25">
      <c r="A12" t="s">
        <v>16</v>
      </c>
      <c r="B12" s="4">
        <v>0</v>
      </c>
    </row>
    <row r="13" spans="1:3" x14ac:dyDescent="0.25">
      <c r="A13" t="s">
        <v>17</v>
      </c>
      <c r="B13" s="4">
        <f>8877163.13/100000</f>
        <v>88.77163130000001</v>
      </c>
    </row>
  </sheetData>
  <mergeCells count="1">
    <mergeCell ref="A1:C1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7" topLeftCell="A8" activePane="bottomLeft" state="frozen"/>
      <selection pane="bottomLeft" activeCell="C13" sqref="C13"/>
    </sheetView>
  </sheetViews>
  <sheetFormatPr defaultRowHeight="15" x14ac:dyDescent="0.25"/>
  <cols>
    <col min="1" max="1" width="28.7109375" customWidth="1"/>
    <col min="2" max="2" width="24.7109375" customWidth="1"/>
    <col min="3" max="3" width="40.7109375" customWidth="1"/>
  </cols>
  <sheetData>
    <row r="1" spans="1:3" x14ac:dyDescent="0.25">
      <c r="A1" s="3" t="s">
        <v>0</v>
      </c>
      <c r="B1" s="3"/>
      <c r="C1" s="3"/>
    </row>
    <row r="2" spans="1:3" x14ac:dyDescent="0.25">
      <c r="A2" s="1" t="s">
        <v>1</v>
      </c>
      <c r="B2" t="s">
        <v>2</v>
      </c>
    </row>
    <row r="3" spans="1:3" x14ac:dyDescent="0.25">
      <c r="A3" s="1" t="s">
        <v>3</v>
      </c>
      <c r="B3" t="s">
        <v>19</v>
      </c>
    </row>
    <row r="4" spans="1:3" x14ac:dyDescent="0.25">
      <c r="A4" s="1" t="s">
        <v>5</v>
      </c>
      <c r="B4" t="s">
        <v>6</v>
      </c>
    </row>
    <row r="5" spans="1:3" x14ac:dyDescent="0.25">
      <c r="A5" s="1" t="s">
        <v>7</v>
      </c>
      <c r="B5" t="s">
        <v>8</v>
      </c>
    </row>
    <row r="7" spans="1:3" x14ac:dyDescent="0.25">
      <c r="A7" s="2" t="s">
        <v>9</v>
      </c>
      <c r="B7" s="2" t="s">
        <v>10</v>
      </c>
      <c r="C7" s="2" t="s">
        <v>11</v>
      </c>
    </row>
    <row r="8" spans="1:3" x14ac:dyDescent="0.25">
      <c r="A8" t="s">
        <v>12</v>
      </c>
      <c r="B8" s="4">
        <f>20931103.5225866/100000</f>
        <v>209.31103522586599</v>
      </c>
    </row>
    <row r="9" spans="1:3" x14ac:dyDescent="0.25">
      <c r="A9" t="s">
        <v>13</v>
      </c>
      <c r="B9" s="4">
        <f>1016986.65/100000</f>
        <v>10.169866499999999</v>
      </c>
    </row>
    <row r="10" spans="1:3" x14ac:dyDescent="0.25">
      <c r="A10" t="s">
        <v>14</v>
      </c>
      <c r="B10" s="4">
        <f>15087580.6058544/100000</f>
        <v>150.87580605854399</v>
      </c>
    </row>
    <row r="11" spans="1:3" x14ac:dyDescent="0.25">
      <c r="A11" t="s">
        <v>15</v>
      </c>
      <c r="B11" s="4">
        <f>35733717.7814903/100000</f>
        <v>357.33717781490304</v>
      </c>
    </row>
    <row r="12" spans="1:3" x14ac:dyDescent="0.25">
      <c r="A12" t="s">
        <v>16</v>
      </c>
      <c r="B12" s="4">
        <v>0</v>
      </c>
    </row>
    <row r="13" spans="1:3" x14ac:dyDescent="0.25">
      <c r="A13" t="s">
        <v>17</v>
      </c>
      <c r="B13" s="4">
        <f>8983226.03/100000</f>
        <v>89.832260299999987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7" topLeftCell="A8" activePane="bottomLeft" state="frozen"/>
      <selection pane="bottomLeft" activeCell="C11" sqref="C11"/>
    </sheetView>
  </sheetViews>
  <sheetFormatPr defaultRowHeight="15" x14ac:dyDescent="0.25"/>
  <cols>
    <col min="1" max="1" width="28.7109375" customWidth="1"/>
    <col min="2" max="2" width="24.7109375" customWidth="1"/>
    <col min="3" max="3" width="40.7109375" customWidth="1"/>
  </cols>
  <sheetData>
    <row r="1" spans="1:3" x14ac:dyDescent="0.25">
      <c r="A1" s="3" t="s">
        <v>0</v>
      </c>
      <c r="B1" s="3"/>
      <c r="C1" s="3"/>
    </row>
    <row r="2" spans="1:3" x14ac:dyDescent="0.25">
      <c r="A2" s="1" t="s">
        <v>1</v>
      </c>
      <c r="B2" t="s">
        <v>2</v>
      </c>
    </row>
    <row r="3" spans="1:3" x14ac:dyDescent="0.25">
      <c r="A3" s="1" t="s">
        <v>3</v>
      </c>
      <c r="B3" t="s">
        <v>4</v>
      </c>
    </row>
    <row r="4" spans="1:3" x14ac:dyDescent="0.25">
      <c r="A4" s="1" t="s">
        <v>5</v>
      </c>
      <c r="B4" t="s">
        <v>6</v>
      </c>
    </row>
    <row r="5" spans="1:3" x14ac:dyDescent="0.25">
      <c r="A5" s="1" t="s">
        <v>7</v>
      </c>
      <c r="B5" t="s">
        <v>8</v>
      </c>
    </row>
    <row r="7" spans="1:3" x14ac:dyDescent="0.25">
      <c r="A7" s="2" t="s">
        <v>9</v>
      </c>
      <c r="B7" s="2" t="s">
        <v>10</v>
      </c>
      <c r="C7" s="2" t="s">
        <v>11</v>
      </c>
    </row>
    <row r="8" spans="1:3" x14ac:dyDescent="0.25">
      <c r="A8" t="s">
        <v>12</v>
      </c>
      <c r="B8" s="4">
        <f>36379678.0205375/100000</f>
        <v>363.79678020537506</v>
      </c>
    </row>
    <row r="9" spans="1:3" x14ac:dyDescent="0.25">
      <c r="A9" t="s">
        <v>13</v>
      </c>
      <c r="B9" s="4">
        <f>1195091.47/100000</f>
        <v>11.9509147</v>
      </c>
    </row>
    <row r="10" spans="1:3" x14ac:dyDescent="0.25">
      <c r="A10" t="s">
        <v>14</v>
      </c>
      <c r="B10" s="4">
        <f>17444897.7090966/100000</f>
        <v>174.448977090966</v>
      </c>
    </row>
    <row r="11" spans="1:3" x14ac:dyDescent="0.25">
      <c r="A11" t="s">
        <v>15</v>
      </c>
      <c r="B11" s="4">
        <f>80585530.4510146/100000</f>
        <v>805.85530451014597</v>
      </c>
    </row>
    <row r="12" spans="1:3" x14ac:dyDescent="0.25">
      <c r="A12" t="s">
        <v>16</v>
      </c>
      <c r="B12" s="4">
        <v>0</v>
      </c>
    </row>
    <row r="13" spans="1:3" x14ac:dyDescent="0.25">
      <c r="A13" t="s">
        <v>17</v>
      </c>
      <c r="B13" s="4">
        <f>9176331.78999999/100000</f>
        <v>91.763317899999905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pane ySplit="7" topLeftCell="A8" activePane="bottomLeft" state="frozen"/>
      <selection pane="bottomLeft" activeCell="B8" sqref="B8:B13"/>
    </sheetView>
  </sheetViews>
  <sheetFormatPr defaultRowHeight="15" x14ac:dyDescent="0.25"/>
  <cols>
    <col min="1" max="1" width="28.7109375" customWidth="1"/>
    <col min="2" max="2" width="24.7109375" customWidth="1"/>
    <col min="3" max="3" width="40.7109375" customWidth="1"/>
  </cols>
  <sheetData>
    <row r="1" spans="1:3" x14ac:dyDescent="0.25">
      <c r="A1" s="3" t="s">
        <v>0</v>
      </c>
      <c r="B1" s="3"/>
      <c r="C1" s="3"/>
    </row>
    <row r="2" spans="1:3" x14ac:dyDescent="0.25">
      <c r="A2" s="1" t="s">
        <v>1</v>
      </c>
      <c r="B2" t="s">
        <v>2</v>
      </c>
    </row>
    <row r="3" spans="1:3" x14ac:dyDescent="0.25">
      <c r="A3" s="1" t="s">
        <v>3</v>
      </c>
      <c r="B3" t="s">
        <v>20</v>
      </c>
    </row>
    <row r="4" spans="1:3" x14ac:dyDescent="0.25">
      <c r="A4" s="1" t="s">
        <v>5</v>
      </c>
      <c r="B4" t="s">
        <v>6</v>
      </c>
    </row>
    <row r="5" spans="1:3" x14ac:dyDescent="0.25">
      <c r="A5" s="1" t="s">
        <v>7</v>
      </c>
      <c r="B5" t="s">
        <v>8</v>
      </c>
    </row>
    <row r="7" spans="1:3" x14ac:dyDescent="0.25">
      <c r="A7" s="2" t="s">
        <v>9</v>
      </c>
      <c r="B7" s="2" t="s">
        <v>10</v>
      </c>
      <c r="C7" s="2" t="s">
        <v>11</v>
      </c>
    </row>
    <row r="8" spans="1:3" x14ac:dyDescent="0.25">
      <c r="A8" t="s">
        <v>12</v>
      </c>
      <c r="B8" s="4">
        <f>14538885.4627843/100000</f>
        <v>145.38885462784299</v>
      </c>
    </row>
    <row r="9" spans="1:3" x14ac:dyDescent="0.25">
      <c r="A9" t="s">
        <v>13</v>
      </c>
      <c r="B9" s="4">
        <f>1285495.37/100000</f>
        <v>12.854953700000001</v>
      </c>
    </row>
    <row r="10" spans="1:3" x14ac:dyDescent="0.25">
      <c r="A10" t="s">
        <v>14</v>
      </c>
      <c r="B10" s="4">
        <f>20414827.709028/100000</f>
        <v>204.14827709027998</v>
      </c>
    </row>
    <row r="11" spans="1:3" x14ac:dyDescent="0.25">
      <c r="A11" t="s">
        <v>15</v>
      </c>
      <c r="B11" s="4">
        <f>93684514.7293448/100000</f>
        <v>936.84514729344801</v>
      </c>
    </row>
    <row r="12" spans="1:3" x14ac:dyDescent="0.25">
      <c r="A12" t="s">
        <v>16</v>
      </c>
      <c r="B12" s="4">
        <v>0</v>
      </c>
    </row>
    <row r="13" spans="1:3" x14ac:dyDescent="0.25">
      <c r="A13" t="s">
        <v>17</v>
      </c>
      <c r="B13" s="4">
        <f>9004091.4/100000</f>
        <v>90.040914000000001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- April-26</vt:lpstr>
      <vt:lpstr>Stock - May-26</vt:lpstr>
      <vt:lpstr>Stock - June-26</vt:lpstr>
      <vt:lpstr>Stock - July-26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</cp:lastModifiedBy>
  <dcterms:created xsi:type="dcterms:W3CDTF">2026-08-27T05:47:33Z</dcterms:created>
  <dcterms:modified xsi:type="dcterms:W3CDTF">2026-09-04T04:52:19Z</dcterms:modified>
</cp:coreProperties>
</file>