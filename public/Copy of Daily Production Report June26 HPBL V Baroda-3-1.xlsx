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urch\Downloads\"/>
    </mc:Choice>
  </mc:AlternateContent>
  <xr:revisionPtr revIDLastSave="0" documentId="13_ncr:1_{A4B3FA5D-C56F-4A87-A83C-9F542898F2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  <sheet name="open order " sheetId="2" r:id="rId2"/>
    <sheet name="Sheet1" sheetId="5" r:id="rId3"/>
    <sheet name="Sheet3" sheetId="6" r:id="rId4"/>
    <sheet name="production report " sheetId="1" r:id="rId5"/>
  </sheets>
  <definedNames>
    <definedName name="_xlnm._FilterDatabase" localSheetId="1" hidden="1">'open order '!$A$4:$V$131</definedName>
    <definedName name="_xlnm._FilterDatabase" localSheetId="4" hidden="1">'production report '!$A$1:$P$413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2" i="6"/>
  <c r="M151" i="2"/>
  <c r="M152" i="2"/>
  <c r="M153" i="2"/>
  <c r="M154" i="2"/>
  <c r="M155" i="2"/>
  <c r="M156" i="2"/>
  <c r="M157" i="2"/>
  <c r="M158" i="2"/>
  <c r="M159" i="2"/>
  <c r="M160" i="2"/>
  <c r="L146" i="2"/>
  <c r="L147" i="2"/>
  <c r="L89" i="2"/>
  <c r="L53" i="2"/>
  <c r="L113" i="2"/>
  <c r="L56" i="2"/>
  <c r="O675" i="1"/>
  <c r="N674" i="1"/>
  <c r="O674" i="1" s="1"/>
  <c r="N675" i="1"/>
  <c r="K674" i="1"/>
  <c r="K675" i="1"/>
  <c r="N673" i="1"/>
  <c r="O673" i="1" s="1"/>
  <c r="K673" i="1"/>
  <c r="J672" i="1"/>
  <c r="K672" i="1" s="1"/>
  <c r="N672" i="1"/>
  <c r="O672" i="1" s="1"/>
  <c r="O669" i="1"/>
  <c r="N669" i="1"/>
  <c r="N670" i="1"/>
  <c r="O670" i="1" s="1"/>
  <c r="N671" i="1"/>
  <c r="O671" i="1" s="1"/>
  <c r="K669" i="1"/>
  <c r="K670" i="1"/>
  <c r="K671" i="1"/>
  <c r="L125" i="2"/>
  <c r="L110" i="2"/>
  <c r="L91" i="2"/>
  <c r="L132" i="2"/>
  <c r="O668" i="1"/>
  <c r="N667" i="1"/>
  <c r="O667" i="1" s="1"/>
  <c r="N668" i="1"/>
  <c r="K667" i="1"/>
  <c r="K668" i="1"/>
  <c r="O665" i="1"/>
  <c r="N664" i="1"/>
  <c r="O664" i="1" s="1"/>
  <c r="N665" i="1"/>
  <c r="N666" i="1"/>
  <c r="O666" i="1" s="1"/>
  <c r="K664" i="1"/>
  <c r="K665" i="1"/>
  <c r="K666" i="1"/>
  <c r="N659" i="1"/>
  <c r="O659" i="1" s="1"/>
  <c r="N660" i="1"/>
  <c r="O660" i="1" s="1"/>
  <c r="N661" i="1"/>
  <c r="O661" i="1" s="1"/>
  <c r="N662" i="1"/>
  <c r="O662" i="1" s="1"/>
  <c r="N663" i="1"/>
  <c r="O663" i="1" s="1"/>
  <c r="K659" i="1"/>
  <c r="K660" i="1"/>
  <c r="K661" i="1"/>
  <c r="K662" i="1"/>
  <c r="K663" i="1"/>
  <c r="M150" i="2"/>
  <c r="L150" i="2"/>
  <c r="L68" i="2"/>
  <c r="L93" i="2"/>
  <c r="L106" i="2"/>
  <c r="N657" i="1"/>
  <c r="O657" i="1" s="1"/>
  <c r="N658" i="1"/>
  <c r="O658" i="1" s="1"/>
  <c r="K657" i="1"/>
  <c r="K658" i="1"/>
  <c r="N656" i="1"/>
  <c r="O656" i="1" s="1"/>
  <c r="K656" i="1"/>
  <c r="N654" i="1"/>
  <c r="O654" i="1" s="1"/>
  <c r="N655" i="1"/>
  <c r="O655" i="1" s="1"/>
  <c r="K654" i="1"/>
  <c r="K655" i="1"/>
  <c r="N651" i="1"/>
  <c r="O651" i="1" s="1"/>
  <c r="N652" i="1"/>
  <c r="O652" i="1" s="1"/>
  <c r="N653" i="1"/>
  <c r="O653" i="1" s="1"/>
  <c r="K651" i="1"/>
  <c r="K652" i="1"/>
  <c r="K653" i="1"/>
  <c r="L59" i="2"/>
  <c r="L87" i="2"/>
  <c r="L94" i="2"/>
  <c r="L60" i="2"/>
  <c r="N648" i="1"/>
  <c r="O648" i="1" s="1"/>
  <c r="N649" i="1"/>
  <c r="O649" i="1" s="1"/>
  <c r="N650" i="1"/>
  <c r="O650" i="1" s="1"/>
  <c r="K648" i="1"/>
  <c r="K649" i="1"/>
  <c r="K650" i="1"/>
  <c r="N645" i="1"/>
  <c r="O645" i="1" s="1"/>
  <c r="N646" i="1"/>
  <c r="O646" i="1" s="1"/>
  <c r="N647" i="1"/>
  <c r="O647" i="1" s="1"/>
  <c r="K645" i="1"/>
  <c r="K646" i="1"/>
  <c r="K647" i="1"/>
  <c r="N640" i="1"/>
  <c r="O640" i="1" s="1"/>
  <c r="N641" i="1"/>
  <c r="O641" i="1" s="1"/>
  <c r="N642" i="1"/>
  <c r="O642" i="1" s="1"/>
  <c r="N643" i="1"/>
  <c r="O643" i="1" s="1"/>
  <c r="N644" i="1"/>
  <c r="O644" i="1" s="1"/>
  <c r="K640" i="1"/>
  <c r="K641" i="1"/>
  <c r="K642" i="1"/>
  <c r="K643" i="1"/>
  <c r="K644" i="1"/>
  <c r="L51" i="2"/>
  <c r="L149" i="2"/>
  <c r="M149" i="2" s="1"/>
  <c r="N638" i="1"/>
  <c r="O638" i="1" s="1"/>
  <c r="N639" i="1"/>
  <c r="O639" i="1" s="1"/>
  <c r="K638" i="1"/>
  <c r="K639" i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K636" i="1"/>
  <c r="K637" i="1"/>
  <c r="K632" i="1"/>
  <c r="K633" i="1"/>
  <c r="K634" i="1"/>
  <c r="K635" i="1"/>
  <c r="L48" i="2"/>
  <c r="L92" i="2"/>
  <c r="L79" i="2"/>
  <c r="L31" i="2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K623" i="1"/>
  <c r="K624" i="1"/>
  <c r="K625" i="1"/>
  <c r="K626" i="1"/>
  <c r="K627" i="1"/>
  <c r="K628" i="1"/>
  <c r="K629" i="1"/>
  <c r="K630" i="1"/>
  <c r="K631" i="1"/>
  <c r="L50" i="2"/>
  <c r="L61" i="2"/>
  <c r="L124" i="2"/>
  <c r="N619" i="1"/>
  <c r="O619" i="1" s="1"/>
  <c r="N620" i="1"/>
  <c r="O620" i="1" s="1"/>
  <c r="N621" i="1"/>
  <c r="O621" i="1" s="1"/>
  <c r="N622" i="1"/>
  <c r="O622" i="1" s="1"/>
  <c r="K619" i="1"/>
  <c r="K620" i="1"/>
  <c r="K621" i="1"/>
  <c r="K622" i="1"/>
  <c r="N616" i="1"/>
  <c r="O616" i="1" s="1"/>
  <c r="N617" i="1"/>
  <c r="O617" i="1" s="1"/>
  <c r="N618" i="1"/>
  <c r="O618" i="1" s="1"/>
  <c r="K618" i="1"/>
  <c r="K616" i="1"/>
  <c r="K617" i="1"/>
  <c r="N613" i="1"/>
  <c r="O613" i="1" s="1"/>
  <c r="N614" i="1"/>
  <c r="O614" i="1" s="1"/>
  <c r="N615" i="1"/>
  <c r="O615" i="1" s="1"/>
  <c r="K613" i="1"/>
  <c r="K614" i="1"/>
  <c r="K615" i="1"/>
  <c r="N612" i="1"/>
  <c r="O612" i="1" s="1"/>
  <c r="K612" i="1"/>
  <c r="N609" i="1"/>
  <c r="O609" i="1" s="1"/>
  <c r="N610" i="1"/>
  <c r="O610" i="1" s="1"/>
  <c r="J611" i="1"/>
  <c r="K609" i="1"/>
  <c r="K610" i="1"/>
  <c r="N608" i="1"/>
  <c r="O608" i="1" s="1"/>
  <c r="K608" i="1"/>
  <c r="J603" i="1"/>
  <c r="N606" i="1"/>
  <c r="O606" i="1" s="1"/>
  <c r="N607" i="1"/>
  <c r="O607" i="1" s="1"/>
  <c r="K606" i="1"/>
  <c r="K607" i="1"/>
  <c r="N601" i="1"/>
  <c r="O601" i="1" s="1"/>
  <c r="N602" i="1"/>
  <c r="O602" i="1" s="1"/>
  <c r="N604" i="1"/>
  <c r="O604" i="1" s="1"/>
  <c r="N605" i="1"/>
  <c r="O605" i="1" s="1"/>
  <c r="K605" i="1"/>
  <c r="K601" i="1"/>
  <c r="K602" i="1"/>
  <c r="K604" i="1"/>
  <c r="L64" i="2"/>
  <c r="L130" i="2"/>
  <c r="J597" i="1"/>
  <c r="J596" i="1"/>
  <c r="N596" i="1" s="1"/>
  <c r="O596" i="1" s="1"/>
  <c r="N595" i="1"/>
  <c r="O595" i="1" s="1"/>
  <c r="N598" i="1"/>
  <c r="O598" i="1" s="1"/>
  <c r="N599" i="1"/>
  <c r="O599" i="1" s="1"/>
  <c r="N600" i="1"/>
  <c r="O600" i="1" s="1"/>
  <c r="K598" i="1"/>
  <c r="K599" i="1"/>
  <c r="K600" i="1"/>
  <c r="K596" i="1"/>
  <c r="K595" i="1"/>
  <c r="N588" i="1"/>
  <c r="O588" i="1" s="1"/>
  <c r="N589" i="1"/>
  <c r="O589" i="1" s="1"/>
  <c r="N590" i="1"/>
  <c r="O590" i="1" s="1"/>
  <c r="N591" i="1"/>
  <c r="O591" i="1" s="1"/>
  <c r="N592" i="1"/>
  <c r="N593" i="1"/>
  <c r="O593" i="1" s="1"/>
  <c r="N594" i="1"/>
  <c r="O594" i="1" s="1"/>
  <c r="O592" i="1"/>
  <c r="K588" i="1"/>
  <c r="K589" i="1"/>
  <c r="K590" i="1"/>
  <c r="K591" i="1"/>
  <c r="K592" i="1"/>
  <c r="K593" i="1"/>
  <c r="K594" i="1"/>
  <c r="N581" i="1"/>
  <c r="O581" i="1" s="1"/>
  <c r="N582" i="1"/>
  <c r="O582" i="1" s="1"/>
  <c r="N583" i="1"/>
  <c r="O583" i="1" s="1"/>
  <c r="N584" i="1"/>
  <c r="O584" i="1" s="1"/>
  <c r="N585" i="1"/>
  <c r="N586" i="1"/>
  <c r="O586" i="1" s="1"/>
  <c r="N587" i="1"/>
  <c r="O587" i="1" s="1"/>
  <c r="O585" i="1"/>
  <c r="K581" i="1"/>
  <c r="K582" i="1"/>
  <c r="K583" i="1"/>
  <c r="K584" i="1"/>
  <c r="K585" i="1"/>
  <c r="K586" i="1"/>
  <c r="K587" i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K574" i="1"/>
  <c r="K575" i="1"/>
  <c r="K576" i="1"/>
  <c r="K577" i="1"/>
  <c r="K578" i="1"/>
  <c r="K579" i="1"/>
  <c r="K580" i="1"/>
  <c r="J573" i="1"/>
  <c r="K573" i="1" s="1"/>
  <c r="L148" i="2"/>
  <c r="M148" i="2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K567" i="1"/>
  <c r="K568" i="1"/>
  <c r="K569" i="1"/>
  <c r="K570" i="1"/>
  <c r="K571" i="1"/>
  <c r="K572" i="1"/>
  <c r="J566" i="1"/>
  <c r="N566" i="1" s="1"/>
  <c r="O566" i="1" s="1"/>
  <c r="N597" i="1" l="1"/>
  <c r="O597" i="1" s="1"/>
  <c r="K597" i="1"/>
  <c r="K611" i="1"/>
  <c r="N611" i="1"/>
  <c r="O611" i="1" s="1"/>
  <c r="N603" i="1"/>
  <c r="O603" i="1" s="1"/>
  <c r="K603" i="1"/>
  <c r="N573" i="1"/>
  <c r="O573" i="1" s="1"/>
  <c r="K566" i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M146" i="2"/>
  <c r="M147" i="2"/>
  <c r="L133" i="2"/>
  <c r="M133" i="2" s="1"/>
  <c r="N558" i="1"/>
  <c r="O558" i="1" s="1"/>
  <c r="N559" i="1"/>
  <c r="O559" i="1" s="1"/>
  <c r="N560" i="1"/>
  <c r="O560" i="1" s="1"/>
  <c r="N562" i="1"/>
  <c r="O562" i="1" s="1"/>
  <c r="N563" i="1"/>
  <c r="O563" i="1" s="1"/>
  <c r="N564" i="1"/>
  <c r="O564" i="1" s="1"/>
  <c r="N565" i="1"/>
  <c r="O565" i="1" s="1"/>
  <c r="K558" i="1"/>
  <c r="K559" i="1"/>
  <c r="K560" i="1"/>
  <c r="K562" i="1"/>
  <c r="K563" i="1"/>
  <c r="K564" i="1"/>
  <c r="K565" i="1"/>
  <c r="J561" i="1"/>
  <c r="K561" i="1" s="1"/>
  <c r="M132" i="2"/>
  <c r="N550" i="1"/>
  <c r="O550" i="1" s="1"/>
  <c r="N551" i="1"/>
  <c r="O551" i="1" s="1"/>
  <c r="N552" i="1"/>
  <c r="O552" i="1" s="1"/>
  <c r="N553" i="1"/>
  <c r="O553" i="1" s="1"/>
  <c r="N555" i="1"/>
  <c r="O555" i="1" s="1"/>
  <c r="N556" i="1"/>
  <c r="O556" i="1" s="1"/>
  <c r="N557" i="1"/>
  <c r="O557" i="1" s="1"/>
  <c r="K550" i="1"/>
  <c r="K551" i="1"/>
  <c r="K552" i="1"/>
  <c r="K553" i="1"/>
  <c r="K555" i="1"/>
  <c r="K556" i="1"/>
  <c r="K557" i="1"/>
  <c r="J554" i="1"/>
  <c r="N554" i="1" s="1"/>
  <c r="O554" i="1" s="1"/>
  <c r="M116" i="2"/>
  <c r="L117" i="2"/>
  <c r="M117" i="2" s="1"/>
  <c r="L118" i="2"/>
  <c r="M118" i="2" s="1"/>
  <c r="L119" i="2"/>
  <c r="M119" i="2" s="1"/>
  <c r="L120" i="2"/>
  <c r="M120" i="2" s="1"/>
  <c r="M121" i="2"/>
  <c r="L122" i="2"/>
  <c r="M122" i="2" s="1"/>
  <c r="L123" i="2"/>
  <c r="M123" i="2" s="1"/>
  <c r="M124" i="2"/>
  <c r="M125" i="2"/>
  <c r="L126" i="2"/>
  <c r="M126" i="2" s="1"/>
  <c r="L127" i="2"/>
  <c r="M127" i="2" s="1"/>
  <c r="L128" i="2"/>
  <c r="M128" i="2" s="1"/>
  <c r="L129" i="2"/>
  <c r="M129" i="2" s="1"/>
  <c r="M130" i="2"/>
  <c r="L131" i="2"/>
  <c r="M131" i="2" s="1"/>
  <c r="N545" i="1"/>
  <c r="O545" i="1" s="1"/>
  <c r="N546" i="1"/>
  <c r="O546" i="1" s="1"/>
  <c r="N547" i="1"/>
  <c r="O547" i="1" s="1"/>
  <c r="N548" i="1"/>
  <c r="O548" i="1" s="1"/>
  <c r="N549" i="1"/>
  <c r="O549" i="1" s="1"/>
  <c r="K545" i="1"/>
  <c r="K546" i="1"/>
  <c r="K547" i="1"/>
  <c r="K548" i="1"/>
  <c r="K549" i="1"/>
  <c r="J544" i="1"/>
  <c r="N544" i="1" s="1"/>
  <c r="O544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K538" i="1"/>
  <c r="K539" i="1"/>
  <c r="K540" i="1"/>
  <c r="K541" i="1"/>
  <c r="K542" i="1"/>
  <c r="K543" i="1"/>
  <c r="K532" i="1"/>
  <c r="K533" i="1"/>
  <c r="K534" i="1"/>
  <c r="K536" i="1"/>
  <c r="K537" i="1"/>
  <c r="N532" i="1"/>
  <c r="O532" i="1" s="1"/>
  <c r="N533" i="1"/>
  <c r="O533" i="1" s="1"/>
  <c r="N534" i="1"/>
  <c r="O534" i="1" s="1"/>
  <c r="N536" i="1"/>
  <c r="O536" i="1" s="1"/>
  <c r="N537" i="1"/>
  <c r="O537" i="1" s="1"/>
  <c r="J535" i="1"/>
  <c r="N535" i="1" s="1"/>
  <c r="O535" i="1" s="1"/>
  <c r="J531" i="1"/>
  <c r="K531" i="1" s="1"/>
  <c r="N561" i="1" l="1"/>
  <c r="O561" i="1" s="1"/>
  <c r="K554" i="1"/>
  <c r="K544" i="1"/>
  <c r="K535" i="1"/>
  <c r="M113" i="2"/>
  <c r="L114" i="2"/>
  <c r="M114" i="2" s="1"/>
  <c r="L115" i="2"/>
  <c r="M115" i="2" s="1"/>
  <c r="N525" i="1" l="1"/>
  <c r="O525" i="1" s="1"/>
  <c r="N527" i="1"/>
  <c r="O527" i="1" s="1"/>
  <c r="N528" i="1"/>
  <c r="O528" i="1" s="1"/>
  <c r="N529" i="1"/>
  <c r="O529" i="1" s="1"/>
  <c r="N530" i="1"/>
  <c r="O530" i="1" s="1"/>
  <c r="N531" i="1"/>
  <c r="O531" i="1" s="1"/>
  <c r="N524" i="1"/>
  <c r="O524" i="1" s="1"/>
  <c r="K525" i="1"/>
  <c r="K527" i="1"/>
  <c r="K528" i="1"/>
  <c r="K529" i="1"/>
  <c r="K530" i="1"/>
  <c r="K524" i="1"/>
  <c r="J526" i="1"/>
  <c r="N526" i="1" s="1"/>
  <c r="O526" i="1" s="1"/>
  <c r="K510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N523" i="1"/>
  <c r="O523" i="1" s="1"/>
  <c r="N522" i="1"/>
  <c r="O522" i="1" s="1"/>
  <c r="N521" i="1"/>
  <c r="O521" i="1" s="1"/>
  <c r="N520" i="1"/>
  <c r="O520" i="1" s="1"/>
  <c r="N519" i="1"/>
  <c r="O519" i="1" s="1"/>
  <c r="N518" i="1"/>
  <c r="O518" i="1" s="1"/>
  <c r="N517" i="1"/>
  <c r="O517" i="1" s="1"/>
  <c r="N516" i="1"/>
  <c r="O516" i="1" s="1"/>
  <c r="N515" i="1"/>
  <c r="O515" i="1" s="1"/>
  <c r="N514" i="1"/>
  <c r="O514" i="1" s="1"/>
  <c r="N513" i="1"/>
  <c r="O513" i="1" s="1"/>
  <c r="N512" i="1"/>
  <c r="O512" i="1" s="1"/>
  <c r="N508" i="1"/>
  <c r="O508" i="1" s="1"/>
  <c r="N509" i="1"/>
  <c r="O509" i="1" s="1"/>
  <c r="N510" i="1"/>
  <c r="O510" i="1" s="1"/>
  <c r="N511" i="1"/>
  <c r="O511" i="1" s="1"/>
  <c r="K508" i="1"/>
  <c r="K509" i="1"/>
  <c r="K511" i="1"/>
  <c r="N507" i="1"/>
  <c r="O507" i="1" s="1"/>
  <c r="K500" i="1"/>
  <c r="K507" i="1"/>
  <c r="N499" i="1"/>
  <c r="O499" i="1" s="1"/>
  <c r="N500" i="1"/>
  <c r="O500" i="1" s="1"/>
  <c r="N502" i="1"/>
  <c r="O502" i="1" s="1"/>
  <c r="N503" i="1"/>
  <c r="O503" i="1" s="1"/>
  <c r="N504" i="1"/>
  <c r="O504" i="1" s="1"/>
  <c r="N505" i="1"/>
  <c r="O505" i="1" s="1"/>
  <c r="N506" i="1"/>
  <c r="O506" i="1" s="1"/>
  <c r="K499" i="1"/>
  <c r="K502" i="1"/>
  <c r="K503" i="1"/>
  <c r="K504" i="1"/>
  <c r="K505" i="1"/>
  <c r="K506" i="1"/>
  <c r="J501" i="1"/>
  <c r="N501" i="1" s="1"/>
  <c r="O501" i="1" s="1"/>
  <c r="J498" i="1"/>
  <c r="N498" i="1" s="1"/>
  <c r="O498" i="1" s="1"/>
  <c r="K526" i="1" l="1"/>
  <c r="K501" i="1"/>
  <c r="K498" i="1"/>
  <c r="M93" i="2"/>
  <c r="M94" i="2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M101" i="2"/>
  <c r="M102" i="2"/>
  <c r="M103" i="2"/>
  <c r="L104" i="2"/>
  <c r="M104" i="2" s="1"/>
  <c r="L105" i="2"/>
  <c r="M105" i="2" s="1"/>
  <c r="M106" i="2"/>
  <c r="M107" i="2"/>
  <c r="M108" i="2"/>
  <c r="L109" i="2"/>
  <c r="M109" i="2" s="1"/>
  <c r="M110" i="2"/>
  <c r="L111" i="2"/>
  <c r="M111" i="2" s="1"/>
  <c r="L112" i="2"/>
  <c r="M112" i="2" s="1"/>
  <c r="K494" i="1"/>
  <c r="K495" i="1"/>
  <c r="K496" i="1"/>
  <c r="K497" i="1"/>
  <c r="N494" i="1"/>
  <c r="O494" i="1" s="1"/>
  <c r="N495" i="1"/>
  <c r="O495" i="1" s="1"/>
  <c r="N496" i="1"/>
  <c r="O496" i="1" s="1"/>
  <c r="N497" i="1"/>
  <c r="O497" i="1" s="1"/>
  <c r="K490" i="1"/>
  <c r="K491" i="1"/>
  <c r="K492" i="1"/>
  <c r="K493" i="1"/>
  <c r="N493" i="1"/>
  <c r="O493" i="1" s="1"/>
  <c r="N492" i="1"/>
  <c r="O492" i="1" s="1"/>
  <c r="N491" i="1"/>
  <c r="O491" i="1" s="1"/>
  <c r="N490" i="1"/>
  <c r="O490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K482" i="1"/>
  <c r="K483" i="1"/>
  <c r="K484" i="1"/>
  <c r="K485" i="1"/>
  <c r="K486" i="1"/>
  <c r="K487" i="1"/>
  <c r="K488" i="1"/>
  <c r="K489" i="1"/>
  <c r="J475" i="1"/>
  <c r="N475" i="1" s="1"/>
  <c r="O475" i="1" s="1"/>
  <c r="J476" i="1"/>
  <c r="N476" i="1" s="1"/>
  <c r="O476" i="1" s="1"/>
  <c r="N477" i="1"/>
  <c r="O477" i="1" s="1"/>
  <c r="N479" i="1"/>
  <c r="O479" i="1" s="1"/>
  <c r="N480" i="1"/>
  <c r="O480" i="1" s="1"/>
  <c r="N481" i="1"/>
  <c r="O481" i="1" s="1"/>
  <c r="J478" i="1"/>
  <c r="K478" i="1" s="1"/>
  <c r="K477" i="1"/>
  <c r="K479" i="1"/>
  <c r="K480" i="1"/>
  <c r="K481" i="1"/>
  <c r="J473" i="1"/>
  <c r="N473" i="1" s="1"/>
  <c r="O473" i="1" s="1"/>
  <c r="K467" i="1"/>
  <c r="K468" i="1"/>
  <c r="K469" i="1"/>
  <c r="K470" i="1"/>
  <c r="K471" i="1"/>
  <c r="K472" i="1"/>
  <c r="K474" i="1"/>
  <c r="N474" i="1"/>
  <c r="O474" i="1" s="1"/>
  <c r="N472" i="1"/>
  <c r="O472" i="1" s="1"/>
  <c r="N471" i="1"/>
  <c r="O471" i="1" s="1"/>
  <c r="N470" i="1"/>
  <c r="O470" i="1" s="1"/>
  <c r="N469" i="1"/>
  <c r="O469" i="1" s="1"/>
  <c r="N468" i="1"/>
  <c r="O468" i="1" s="1"/>
  <c r="N467" i="1"/>
  <c r="O467" i="1" s="1"/>
  <c r="K475" i="1" l="1"/>
  <c r="K476" i="1"/>
  <c r="N478" i="1"/>
  <c r="O478" i="1" s="1"/>
  <c r="K473" i="1"/>
  <c r="M92" i="2"/>
  <c r="K461" i="1"/>
  <c r="K462" i="1"/>
  <c r="K463" i="1"/>
  <c r="K464" i="1"/>
  <c r="K465" i="1"/>
  <c r="K466" i="1"/>
  <c r="N466" i="1"/>
  <c r="O466" i="1" s="1"/>
  <c r="N465" i="1"/>
  <c r="O465" i="1" s="1"/>
  <c r="N464" i="1"/>
  <c r="O464" i="1" s="1"/>
  <c r="N463" i="1"/>
  <c r="O463" i="1" s="1"/>
  <c r="N462" i="1"/>
  <c r="O462" i="1" s="1"/>
  <c r="N461" i="1"/>
  <c r="O461" i="1" s="1"/>
  <c r="K455" i="1"/>
  <c r="K456" i="1"/>
  <c r="K457" i="1"/>
  <c r="K458" i="1"/>
  <c r="K459" i="1"/>
  <c r="K460" i="1"/>
  <c r="N460" i="1"/>
  <c r="O460" i="1" s="1"/>
  <c r="N459" i="1"/>
  <c r="O459" i="1" s="1"/>
  <c r="N458" i="1"/>
  <c r="O458" i="1" s="1"/>
  <c r="N457" i="1"/>
  <c r="O457" i="1" s="1"/>
  <c r="N456" i="1"/>
  <c r="O456" i="1" s="1"/>
  <c r="N455" i="1"/>
  <c r="O455" i="1" s="1"/>
  <c r="K451" i="1"/>
  <c r="K452" i="1"/>
  <c r="K453" i="1"/>
  <c r="K454" i="1"/>
  <c r="K450" i="1"/>
  <c r="N454" i="1"/>
  <c r="O454" i="1" s="1"/>
  <c r="N453" i="1"/>
  <c r="O453" i="1" s="1"/>
  <c r="N452" i="1"/>
  <c r="O452" i="1" s="1"/>
  <c r="N451" i="1"/>
  <c r="O451" i="1" s="1"/>
  <c r="N450" i="1"/>
  <c r="O450" i="1" s="1"/>
  <c r="K445" i="1"/>
  <c r="K446" i="1"/>
  <c r="K447" i="1"/>
  <c r="K448" i="1"/>
  <c r="K449" i="1"/>
  <c r="K444" i="1"/>
  <c r="N449" i="1"/>
  <c r="O449" i="1" s="1"/>
  <c r="N448" i="1"/>
  <c r="O448" i="1" s="1"/>
  <c r="N447" i="1"/>
  <c r="O447" i="1" s="1"/>
  <c r="N446" i="1"/>
  <c r="O446" i="1" s="1"/>
  <c r="N445" i="1"/>
  <c r="O445" i="1" s="1"/>
  <c r="N444" i="1"/>
  <c r="O444" i="1" s="1"/>
  <c r="N440" i="1"/>
  <c r="O440" i="1" s="1"/>
  <c r="N441" i="1"/>
  <c r="O441" i="1" s="1"/>
  <c r="N443" i="1"/>
  <c r="O443" i="1" s="1"/>
  <c r="J442" i="1"/>
  <c r="K442" i="1" s="1"/>
  <c r="K440" i="1"/>
  <c r="K441" i="1"/>
  <c r="K443" i="1"/>
  <c r="N442" i="1" l="1"/>
  <c r="O442" i="1" s="1"/>
  <c r="N436" i="1"/>
  <c r="O436" i="1" s="1"/>
  <c r="N437" i="1"/>
  <c r="O437" i="1" s="1"/>
  <c r="N439" i="1"/>
  <c r="O439" i="1" s="1"/>
  <c r="K436" i="1"/>
  <c r="K437" i="1"/>
  <c r="K439" i="1"/>
  <c r="J438" i="1"/>
  <c r="N438" i="1" s="1"/>
  <c r="O438" i="1" s="1"/>
  <c r="M78" i="2"/>
  <c r="M86" i="2"/>
  <c r="M74" i="2"/>
  <c r="M75" i="2"/>
  <c r="M76" i="2"/>
  <c r="L77" i="2"/>
  <c r="M77" i="2" s="1"/>
  <c r="M79" i="2"/>
  <c r="L80" i="2"/>
  <c r="M80" i="2" s="1"/>
  <c r="M81" i="2"/>
  <c r="M82" i="2"/>
  <c r="L83" i="2"/>
  <c r="M83" i="2" s="1"/>
  <c r="L84" i="2"/>
  <c r="M84" i="2" s="1"/>
  <c r="M85" i="2"/>
  <c r="M87" i="2"/>
  <c r="L88" i="2"/>
  <c r="M88" i="2" s="1"/>
  <c r="M89" i="2"/>
  <c r="L90" i="2"/>
  <c r="M90" i="2" s="1"/>
  <c r="M91" i="2"/>
  <c r="K431" i="1"/>
  <c r="K432" i="1"/>
  <c r="K433" i="1"/>
  <c r="K434" i="1"/>
  <c r="K435" i="1"/>
  <c r="N435" i="1"/>
  <c r="O435" i="1" s="1"/>
  <c r="N434" i="1"/>
  <c r="O434" i="1" s="1"/>
  <c r="N433" i="1"/>
  <c r="O433" i="1" s="1"/>
  <c r="N432" i="1"/>
  <c r="O432" i="1" s="1"/>
  <c r="N431" i="1"/>
  <c r="O431" i="1" s="1"/>
  <c r="K430" i="1"/>
  <c r="N430" i="1"/>
  <c r="O430" i="1" s="1"/>
  <c r="K429" i="1"/>
  <c r="N429" i="1"/>
  <c r="O429" i="1" s="1"/>
  <c r="K428" i="1"/>
  <c r="N428" i="1"/>
  <c r="O428" i="1" s="1"/>
  <c r="K427" i="1"/>
  <c r="N427" i="1"/>
  <c r="O427" i="1" s="1"/>
  <c r="M57" i="2"/>
  <c r="L58" i="2"/>
  <c r="M58" i="2" s="1"/>
  <c r="M59" i="2"/>
  <c r="M60" i="2"/>
  <c r="M61" i="2"/>
  <c r="L62" i="2"/>
  <c r="M62" i="2" s="1"/>
  <c r="M63" i="2"/>
  <c r="M64" i="2"/>
  <c r="L65" i="2"/>
  <c r="M65" i="2" s="1"/>
  <c r="L66" i="2"/>
  <c r="M66" i="2" s="1"/>
  <c r="L67" i="2"/>
  <c r="M67" i="2" s="1"/>
  <c r="M68" i="2"/>
  <c r="L69" i="2"/>
  <c r="M69" i="2" s="1"/>
  <c r="L70" i="2"/>
  <c r="M70" i="2" s="1"/>
  <c r="L71" i="2"/>
  <c r="M71" i="2" s="1"/>
  <c r="M72" i="2"/>
  <c r="L73" i="2"/>
  <c r="M73" i="2" s="1"/>
  <c r="M56" i="2"/>
  <c r="K425" i="1"/>
  <c r="K426" i="1"/>
  <c r="N426" i="1"/>
  <c r="O426" i="1" s="1"/>
  <c r="N425" i="1"/>
  <c r="O425" i="1" s="1"/>
  <c r="N421" i="1"/>
  <c r="O421" i="1" s="1"/>
  <c r="N424" i="1"/>
  <c r="O424" i="1" s="1"/>
  <c r="K420" i="1"/>
  <c r="K421" i="1"/>
  <c r="K424" i="1"/>
  <c r="J423" i="1"/>
  <c r="K423" i="1" s="1"/>
  <c r="J422" i="1"/>
  <c r="K422" i="1" s="1"/>
  <c r="N420" i="1"/>
  <c r="O420" i="1" s="1"/>
  <c r="N423" i="1" l="1"/>
  <c r="O423" i="1" s="1"/>
  <c r="K438" i="1"/>
  <c r="N422" i="1"/>
  <c r="O422" i="1" s="1"/>
  <c r="M52" i="2"/>
  <c r="M53" i="2"/>
  <c r="M54" i="2"/>
  <c r="M55" i="2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K414" i="1"/>
  <c r="K415" i="1"/>
  <c r="K416" i="1"/>
  <c r="K417" i="1"/>
  <c r="K418" i="1"/>
  <c r="K419" i="1"/>
  <c r="N410" i="1"/>
  <c r="O410" i="1" s="1"/>
  <c r="N411" i="1"/>
  <c r="O411" i="1" s="1"/>
  <c r="N412" i="1"/>
  <c r="O412" i="1" s="1"/>
  <c r="N413" i="1"/>
  <c r="O413" i="1" s="1"/>
  <c r="K413" i="1"/>
  <c r="K410" i="1"/>
  <c r="K411" i="1"/>
  <c r="K412" i="1"/>
  <c r="N408" i="1" l="1"/>
  <c r="O408" i="1" s="1"/>
  <c r="N407" i="1"/>
  <c r="O407" i="1" s="1"/>
  <c r="N406" i="1"/>
  <c r="O406" i="1" s="1"/>
  <c r="K409" i="1"/>
  <c r="K406" i="1"/>
  <c r="K407" i="1"/>
  <c r="K408" i="1"/>
  <c r="N409" i="1"/>
  <c r="O409" i="1" s="1"/>
  <c r="J404" i="1"/>
  <c r="K404" i="1" s="1"/>
  <c r="K402" i="1"/>
  <c r="N402" i="1"/>
  <c r="O402" i="1" s="1"/>
  <c r="K403" i="1"/>
  <c r="N403" i="1"/>
  <c r="O403" i="1" s="1"/>
  <c r="K405" i="1"/>
  <c r="N405" i="1"/>
  <c r="O405" i="1" s="1"/>
  <c r="K29" i="2"/>
  <c r="K398" i="1"/>
  <c r="K399" i="1"/>
  <c r="K400" i="1"/>
  <c r="K401" i="1"/>
  <c r="N401" i="1"/>
  <c r="O401" i="1" s="1"/>
  <c r="N400" i="1"/>
  <c r="O400" i="1" s="1"/>
  <c r="N399" i="1"/>
  <c r="O399" i="1" s="1"/>
  <c r="N398" i="1"/>
  <c r="O398" i="1" s="1"/>
  <c r="J396" i="1"/>
  <c r="K396" i="1" s="1"/>
  <c r="K394" i="1"/>
  <c r="N394" i="1"/>
  <c r="O394" i="1" s="1"/>
  <c r="K395" i="1"/>
  <c r="N395" i="1"/>
  <c r="O395" i="1" s="1"/>
  <c r="K397" i="1"/>
  <c r="N397" i="1"/>
  <c r="O397" i="1" s="1"/>
  <c r="N392" i="1"/>
  <c r="O392" i="1" s="1"/>
  <c r="N393" i="1"/>
  <c r="O393" i="1" s="1"/>
  <c r="N390" i="1"/>
  <c r="O390" i="1" s="1"/>
  <c r="N391" i="1"/>
  <c r="O391" i="1" s="1"/>
  <c r="N389" i="1"/>
  <c r="O389" i="1" s="1"/>
  <c r="K389" i="1"/>
  <c r="K390" i="1"/>
  <c r="K391" i="1"/>
  <c r="K392" i="1"/>
  <c r="K393" i="1"/>
  <c r="M42" i="2"/>
  <c r="M43" i="2"/>
  <c r="M44" i="2"/>
  <c r="M45" i="2"/>
  <c r="M46" i="2"/>
  <c r="M47" i="2"/>
  <c r="M48" i="2"/>
  <c r="M49" i="2"/>
  <c r="M50" i="2"/>
  <c r="M51" i="2"/>
  <c r="K385" i="1"/>
  <c r="K386" i="1"/>
  <c r="K387" i="1"/>
  <c r="K388" i="1"/>
  <c r="N386" i="1"/>
  <c r="O386" i="1" s="1"/>
  <c r="N387" i="1"/>
  <c r="O387" i="1" s="1"/>
  <c r="N388" i="1"/>
  <c r="O388" i="1" s="1"/>
  <c r="N385" i="1"/>
  <c r="O385" i="1" s="1"/>
  <c r="N384" i="1"/>
  <c r="O384" i="1" s="1"/>
  <c r="N383" i="1"/>
  <c r="O383" i="1" s="1"/>
  <c r="K381" i="1"/>
  <c r="K382" i="1"/>
  <c r="K383" i="1"/>
  <c r="N382" i="1"/>
  <c r="O382" i="1" s="1"/>
  <c r="N381" i="1"/>
  <c r="O381" i="1" s="1"/>
  <c r="N380" i="1"/>
  <c r="O380" i="1" s="1"/>
  <c r="K380" i="1"/>
  <c r="M30" i="2"/>
  <c r="M31" i="2"/>
  <c r="M32" i="2"/>
  <c r="M33" i="2"/>
  <c r="M34" i="2"/>
  <c r="M35" i="2"/>
  <c r="M36" i="2"/>
  <c r="M37" i="2"/>
  <c r="M38" i="2"/>
  <c r="M39" i="2"/>
  <c r="M40" i="2"/>
  <c r="M41" i="2"/>
  <c r="M29" i="2"/>
  <c r="K376" i="1"/>
  <c r="N376" i="1"/>
  <c r="O376" i="1" s="1"/>
  <c r="K377" i="1"/>
  <c r="N377" i="1"/>
  <c r="O377" i="1" s="1"/>
  <c r="K378" i="1"/>
  <c r="N378" i="1"/>
  <c r="O378" i="1" s="1"/>
  <c r="N379" i="1"/>
  <c r="M19" i="2"/>
  <c r="M20" i="2"/>
  <c r="M21" i="2"/>
  <c r="M23" i="2"/>
  <c r="M24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22" i="2"/>
  <c r="M25" i="2"/>
  <c r="M26" i="2"/>
  <c r="M27" i="2"/>
  <c r="M28" i="2"/>
  <c r="N365" i="1"/>
  <c r="N368" i="1"/>
  <c r="O368" i="1" s="1"/>
  <c r="N369" i="1"/>
  <c r="O369" i="1" s="1"/>
  <c r="N371" i="1"/>
  <c r="O371" i="1" s="1"/>
  <c r="N372" i="1"/>
  <c r="O372" i="1" s="1"/>
  <c r="N373" i="1"/>
  <c r="O373" i="1" s="1"/>
  <c r="N374" i="1"/>
  <c r="O374" i="1" s="1"/>
  <c r="N375" i="1"/>
  <c r="O375" i="1" s="1"/>
  <c r="K375" i="1"/>
  <c r="K374" i="1"/>
  <c r="K373" i="1"/>
  <c r="K372" i="1"/>
  <c r="K371" i="1"/>
  <c r="J370" i="1"/>
  <c r="N370" i="1" s="1"/>
  <c r="O370" i="1" s="1"/>
  <c r="J367" i="1"/>
  <c r="K367" i="1" s="1"/>
  <c r="K368" i="1"/>
  <c r="K369" i="1"/>
  <c r="N396" i="1" l="1"/>
  <c r="O396" i="1" s="1"/>
  <c r="N367" i="1"/>
  <c r="O367" i="1" s="1"/>
  <c r="N404" i="1"/>
  <c r="O404" i="1" s="1"/>
  <c r="K370" i="1"/>
  <c r="J366" i="1"/>
  <c r="J363" i="1"/>
  <c r="K363" i="1" s="1"/>
  <c r="K362" i="1"/>
  <c r="N362" i="1"/>
  <c r="O362" i="1" s="1"/>
  <c r="K364" i="1"/>
  <c r="N364" i="1"/>
  <c r="O364" i="1" s="1"/>
  <c r="K365" i="1"/>
  <c r="O365" i="1"/>
  <c r="N366" i="1" l="1"/>
  <c r="O366" i="1" s="1"/>
  <c r="K366" i="1"/>
  <c r="N363" i="1"/>
  <c r="O363" i="1" s="1"/>
  <c r="N361" i="1" l="1"/>
  <c r="O361" i="1" s="1"/>
  <c r="K361" i="1"/>
  <c r="N360" i="1"/>
  <c r="O360" i="1" s="1"/>
  <c r="K360" i="1"/>
  <c r="N359" i="1"/>
  <c r="O359" i="1" s="1"/>
  <c r="K359" i="1"/>
  <c r="N358" i="1"/>
  <c r="O358" i="1" s="1"/>
  <c r="K358" i="1"/>
  <c r="N354" i="1" l="1"/>
  <c r="O354" i="1" s="1"/>
  <c r="N355" i="1"/>
  <c r="O355" i="1" s="1"/>
  <c r="N356" i="1"/>
  <c r="O356" i="1" s="1"/>
  <c r="N357" i="1"/>
  <c r="O357" i="1" s="1"/>
  <c r="K355" i="1"/>
  <c r="K356" i="1"/>
  <c r="K357" i="1"/>
  <c r="K354" i="1"/>
  <c r="J353" i="1"/>
  <c r="N353" i="1" s="1"/>
  <c r="O353" i="1" s="1"/>
  <c r="J352" i="1"/>
  <c r="N352" i="1" s="1"/>
  <c r="O352" i="1" s="1"/>
  <c r="N351" i="1"/>
  <c r="O351" i="1" s="1"/>
  <c r="K351" i="1"/>
  <c r="J350" i="1"/>
  <c r="K350" i="1" s="1"/>
  <c r="J349" i="1"/>
  <c r="K349" i="1" s="1"/>
  <c r="N348" i="1"/>
  <c r="O348" i="1" s="1"/>
  <c r="K348" i="1"/>
  <c r="K347" i="1"/>
  <c r="J343" i="1"/>
  <c r="N343" i="1" s="1"/>
  <c r="O343" i="1" s="1"/>
  <c r="K344" i="1"/>
  <c r="N344" i="1"/>
  <c r="O344" i="1" s="1"/>
  <c r="K345" i="1"/>
  <c r="N345" i="1"/>
  <c r="O345" i="1" s="1"/>
  <c r="J346" i="1"/>
  <c r="N346" i="1" s="1"/>
  <c r="O346" i="1" s="1"/>
  <c r="N347" i="1"/>
  <c r="O347" i="1" s="1"/>
  <c r="N349" i="1" l="1"/>
  <c r="O349" i="1" s="1"/>
  <c r="K343" i="1"/>
  <c r="K346" i="1"/>
  <c r="N350" i="1"/>
  <c r="O350" i="1" s="1"/>
  <c r="K352" i="1"/>
  <c r="K353" i="1"/>
  <c r="J342" i="1"/>
  <c r="K342" i="1" s="1"/>
  <c r="J340" i="1"/>
  <c r="N340" i="1" s="1"/>
  <c r="O340" i="1" s="1"/>
  <c r="N341" i="1"/>
  <c r="O341" i="1" s="1"/>
  <c r="K341" i="1"/>
  <c r="J339" i="1"/>
  <c r="N339" i="1" s="1"/>
  <c r="O339" i="1" s="1"/>
  <c r="J337" i="1"/>
  <c r="N337" i="1" s="1"/>
  <c r="O337" i="1" s="1"/>
  <c r="N338" i="1"/>
  <c r="O338" i="1" s="1"/>
  <c r="K338" i="1"/>
  <c r="N336" i="1"/>
  <c r="O336" i="1" s="1"/>
  <c r="J334" i="1"/>
  <c r="K334" i="1" s="1"/>
  <c r="J331" i="1"/>
  <c r="N331" i="1" s="1"/>
  <c r="O331" i="1" s="1"/>
  <c r="N335" i="1"/>
  <c r="O335" i="1" s="1"/>
  <c r="K335" i="1"/>
  <c r="N333" i="1"/>
  <c r="O333" i="1" s="1"/>
  <c r="K333" i="1"/>
  <c r="N332" i="1"/>
  <c r="O332" i="1" s="1"/>
  <c r="K332" i="1"/>
  <c r="J330" i="1"/>
  <c r="N330" i="1" s="1"/>
  <c r="O330" i="1" s="1"/>
  <c r="J329" i="1"/>
  <c r="N329" i="1" s="1"/>
  <c r="O329" i="1" s="1"/>
  <c r="N328" i="1"/>
  <c r="O328" i="1" s="1"/>
  <c r="K328" i="1"/>
  <c r="K327" i="1"/>
  <c r="N327" i="1"/>
  <c r="O327" i="1" s="1"/>
  <c r="J326" i="1"/>
  <c r="K326" i="1" s="1"/>
  <c r="N325" i="1"/>
  <c r="O325" i="1" s="1"/>
  <c r="K325" i="1"/>
  <c r="K324" i="1"/>
  <c r="N324" i="1"/>
  <c r="O324" i="1" s="1"/>
  <c r="K323" i="1"/>
  <c r="N323" i="1"/>
  <c r="O323" i="1" s="1"/>
  <c r="N334" i="1" l="1"/>
  <c r="O334" i="1" s="1"/>
  <c r="N326" i="1"/>
  <c r="O326" i="1" s="1"/>
  <c r="K329" i="1"/>
  <c r="K331" i="1"/>
  <c r="N342" i="1"/>
  <c r="O342" i="1" s="1"/>
  <c r="K340" i="1"/>
  <c r="K337" i="1"/>
  <c r="K339" i="1"/>
  <c r="K336" i="1"/>
  <c r="K330" i="1"/>
  <c r="N322" i="1"/>
  <c r="O322" i="1" s="1"/>
  <c r="K322" i="1"/>
  <c r="N321" i="1"/>
  <c r="O321" i="1" s="1"/>
  <c r="N320" i="1"/>
  <c r="O320" i="1" s="1"/>
  <c r="K320" i="1"/>
  <c r="J318" i="1"/>
  <c r="N318" i="1" s="1"/>
  <c r="O318" i="1" s="1"/>
  <c r="N319" i="1"/>
  <c r="O319" i="1" s="1"/>
  <c r="K319" i="1"/>
  <c r="N317" i="1"/>
  <c r="O317" i="1" s="1"/>
  <c r="K317" i="1"/>
  <c r="N316" i="1"/>
  <c r="O316" i="1" s="1"/>
  <c r="K316" i="1"/>
  <c r="N315" i="1"/>
  <c r="O315" i="1" s="1"/>
  <c r="K315" i="1"/>
  <c r="N314" i="1"/>
  <c r="O314" i="1" s="1"/>
  <c r="K314" i="1"/>
  <c r="N313" i="1"/>
  <c r="O313" i="1" s="1"/>
  <c r="K313" i="1"/>
  <c r="N312" i="1"/>
  <c r="O312" i="1" s="1"/>
  <c r="K312" i="1"/>
  <c r="N311" i="1"/>
  <c r="O311" i="1" s="1"/>
  <c r="K311" i="1"/>
  <c r="K308" i="1"/>
  <c r="K310" i="1"/>
  <c r="N310" i="1"/>
  <c r="O310" i="1" s="1"/>
  <c r="N309" i="1"/>
  <c r="O309" i="1" s="1"/>
  <c r="K309" i="1"/>
  <c r="N308" i="1"/>
  <c r="O308" i="1" s="1"/>
  <c r="N307" i="1"/>
  <c r="O307" i="1" s="1"/>
  <c r="K307" i="1"/>
  <c r="N306" i="1"/>
  <c r="O306" i="1" s="1"/>
  <c r="K306" i="1"/>
  <c r="N287" i="1"/>
  <c r="N285" i="1"/>
  <c r="K318" i="1" l="1"/>
  <c r="K321" i="1"/>
  <c r="N305" i="1"/>
  <c r="O305" i="1" s="1"/>
  <c r="K305" i="1"/>
  <c r="N304" i="1"/>
  <c r="O304" i="1" s="1"/>
  <c r="K304" i="1"/>
  <c r="K303" i="1"/>
  <c r="N303" i="1"/>
  <c r="O303" i="1" s="1"/>
  <c r="K302" i="1"/>
  <c r="N302" i="1"/>
  <c r="O302" i="1" s="1"/>
  <c r="N301" i="1"/>
  <c r="O301" i="1" s="1"/>
  <c r="K301" i="1"/>
  <c r="J279" i="1"/>
  <c r="N279" i="1" s="1"/>
  <c r="J299" i="1"/>
  <c r="N299" i="1" s="1"/>
  <c r="O299" i="1" s="1"/>
  <c r="J300" i="1"/>
  <c r="N300" i="1" s="1"/>
  <c r="O300" i="1" s="1"/>
  <c r="J159" i="1"/>
  <c r="K159" i="1" s="1"/>
  <c r="N298" i="1"/>
  <c r="K298" i="1"/>
  <c r="N297" i="1"/>
  <c r="K297" i="1"/>
  <c r="N296" i="1"/>
  <c r="K296" i="1"/>
  <c r="N295" i="1"/>
  <c r="K295" i="1"/>
  <c r="M294" i="1"/>
  <c r="N294" i="1"/>
  <c r="K294" i="1"/>
  <c r="N293" i="1"/>
  <c r="K293" i="1"/>
  <c r="N292" i="1"/>
  <c r="K292" i="1"/>
  <c r="N291" i="1"/>
  <c r="K291" i="1"/>
  <c r="N289" i="1"/>
  <c r="N290" i="1"/>
  <c r="K290" i="1"/>
  <c r="K289" i="1"/>
  <c r="N288" i="1"/>
  <c r="O288" i="1" s="1"/>
  <c r="M290" i="1" s="1"/>
  <c r="K288" i="1"/>
  <c r="K287" i="1"/>
  <c r="K284" i="1"/>
  <c r="K285" i="1"/>
  <c r="K286" i="1"/>
  <c r="N284" i="1"/>
  <c r="N283" i="1"/>
  <c r="O283" i="1" s="1"/>
  <c r="K283" i="1"/>
  <c r="M282" i="1"/>
  <c r="K282" i="1"/>
  <c r="N282" i="1"/>
  <c r="N281" i="1"/>
  <c r="K281" i="1"/>
  <c r="N280" i="1"/>
  <c r="K280" i="1"/>
  <c r="N278" i="1"/>
  <c r="K278" i="1"/>
  <c r="K272" i="1"/>
  <c r="K273" i="1"/>
  <c r="K274" i="1"/>
  <c r="K275" i="1"/>
  <c r="K276" i="1"/>
  <c r="N274" i="1"/>
  <c r="N275" i="1"/>
  <c r="O275" i="1" s="1"/>
  <c r="M293" i="1" s="1"/>
  <c r="N276" i="1"/>
  <c r="O276" i="1" s="1"/>
  <c r="M281" i="1" s="1"/>
  <c r="N277" i="1"/>
  <c r="O277" i="1" s="1"/>
  <c r="M278" i="1" s="1"/>
  <c r="K277" i="1"/>
  <c r="N273" i="1"/>
  <c r="O273" i="1" s="1"/>
  <c r="M279" i="1" s="1"/>
  <c r="N272" i="1"/>
  <c r="K268" i="1"/>
  <c r="K269" i="1"/>
  <c r="K270" i="1"/>
  <c r="K271" i="1"/>
  <c r="K267" i="1"/>
  <c r="N270" i="1"/>
  <c r="N271" i="1"/>
  <c r="N269" i="1"/>
  <c r="N268" i="1"/>
  <c r="N267" i="1"/>
  <c r="N266" i="1"/>
  <c r="K266" i="1"/>
  <c r="N265" i="1"/>
  <c r="K265" i="1"/>
  <c r="N264" i="1"/>
  <c r="K264" i="1"/>
  <c r="N263" i="1"/>
  <c r="K263" i="1"/>
  <c r="N262" i="1"/>
  <c r="K262" i="1"/>
  <c r="K261" i="1"/>
  <c r="N261" i="1"/>
  <c r="O261" i="1" s="1"/>
  <c r="M266" i="1" s="1"/>
  <c r="K260" i="1"/>
  <c r="N260" i="1"/>
  <c r="O260" i="1" s="1"/>
  <c r="N259" i="1"/>
  <c r="K259" i="1"/>
  <c r="N258" i="1"/>
  <c r="K258" i="1"/>
  <c r="N257" i="1"/>
  <c r="K257" i="1"/>
  <c r="N256" i="1"/>
  <c r="K256" i="1"/>
  <c r="N255" i="1"/>
  <c r="O255" i="1" s="1"/>
  <c r="M258" i="1" s="1"/>
  <c r="K255" i="1"/>
  <c r="N254" i="1"/>
  <c r="K254" i="1"/>
  <c r="N253" i="1"/>
  <c r="K253" i="1"/>
  <c r="N252" i="1"/>
  <c r="M252" i="1"/>
  <c r="K252" i="1"/>
  <c r="N251" i="1"/>
  <c r="K251" i="1"/>
  <c r="N250" i="1"/>
  <c r="K247" i="1"/>
  <c r="K248" i="1"/>
  <c r="K249" i="1"/>
  <c r="K250" i="1"/>
  <c r="N249" i="1"/>
  <c r="O249" i="1" s="1"/>
  <c r="N248" i="1"/>
  <c r="O248" i="1" s="1"/>
  <c r="M254" i="1" s="1"/>
  <c r="N247" i="1"/>
  <c r="M246" i="1"/>
  <c r="K246" i="1"/>
  <c r="N246" i="1"/>
  <c r="N245" i="1"/>
  <c r="K245" i="1"/>
  <c r="N244" i="1"/>
  <c r="K244" i="1"/>
  <c r="N243" i="1"/>
  <c r="K243" i="1"/>
  <c r="N242" i="1"/>
  <c r="K242" i="1"/>
  <c r="N241" i="1"/>
  <c r="K241" i="1"/>
  <c r="N240" i="1"/>
  <c r="N239" i="1"/>
  <c r="K239" i="1"/>
  <c r="N236" i="1"/>
  <c r="O236" i="1" s="1"/>
  <c r="M250" i="1" s="1"/>
  <c r="N237" i="1"/>
  <c r="N238" i="1"/>
  <c r="O238" i="1" s="1"/>
  <c r="M244" i="1" s="1"/>
  <c r="K236" i="1"/>
  <c r="K237" i="1"/>
  <c r="K238" i="1"/>
  <c r="N235" i="1"/>
  <c r="K235" i="1"/>
  <c r="N234" i="1"/>
  <c r="K234" i="1"/>
  <c r="J231" i="1"/>
  <c r="K231" i="1" s="1"/>
  <c r="N233" i="1"/>
  <c r="K233" i="1"/>
  <c r="N232" i="1"/>
  <c r="K232" i="1"/>
  <c r="K230" i="1"/>
  <c r="N230" i="1"/>
  <c r="N229" i="1"/>
  <c r="K229" i="1"/>
  <c r="N228" i="1"/>
  <c r="K228" i="1"/>
  <c r="N227" i="1"/>
  <c r="K227" i="1"/>
  <c r="N226" i="1"/>
  <c r="K226" i="1"/>
  <c r="N225" i="1"/>
  <c r="K225" i="1"/>
  <c r="N224" i="1"/>
  <c r="K224" i="1"/>
  <c r="N223" i="1"/>
  <c r="K223" i="1"/>
  <c r="N222" i="1"/>
  <c r="K222" i="1"/>
  <c r="K221" i="1"/>
  <c r="K220" i="1"/>
  <c r="N221" i="1"/>
  <c r="O221" i="1" s="1"/>
  <c r="N220" i="1"/>
  <c r="O220" i="1" s="1"/>
  <c r="M224" i="1" s="1"/>
  <c r="N219" i="1"/>
  <c r="K219" i="1"/>
  <c r="N218" i="1"/>
  <c r="K218" i="1"/>
  <c r="N217" i="1"/>
  <c r="K217" i="1"/>
  <c r="N216" i="1"/>
  <c r="K216" i="1"/>
  <c r="N215" i="1"/>
  <c r="K215" i="1"/>
  <c r="N214" i="1"/>
  <c r="K214" i="1"/>
  <c r="N213" i="1"/>
  <c r="K213" i="1"/>
  <c r="K212" i="1"/>
  <c r="N212" i="1"/>
  <c r="O212" i="1" s="1"/>
  <c r="M216" i="1" s="1"/>
  <c r="K211" i="1"/>
  <c r="N211" i="1"/>
  <c r="O211" i="1" s="1"/>
  <c r="M215" i="1" s="1"/>
  <c r="K210" i="1"/>
  <c r="N210" i="1"/>
  <c r="O210" i="1" s="1"/>
  <c r="J207" i="1"/>
  <c r="N207" i="1" s="1"/>
  <c r="N209" i="1"/>
  <c r="K209" i="1"/>
  <c r="N208" i="1"/>
  <c r="K208" i="1"/>
  <c r="N206" i="1"/>
  <c r="K206" i="1"/>
  <c r="N205" i="1"/>
  <c r="K205" i="1"/>
  <c r="N204" i="1"/>
  <c r="K204" i="1"/>
  <c r="N203" i="1"/>
  <c r="K203" i="1"/>
  <c r="N202" i="1"/>
  <c r="N199" i="1"/>
  <c r="O199" i="1" s="1"/>
  <c r="M203" i="1" s="1"/>
  <c r="J198" i="1"/>
  <c r="K198" i="1" s="1"/>
  <c r="J201" i="1"/>
  <c r="N201" i="1" s="1"/>
  <c r="N200" i="1"/>
  <c r="K200" i="1"/>
  <c r="K199" i="1"/>
  <c r="J197" i="1"/>
  <c r="K197" i="1" s="1"/>
  <c r="N196" i="1"/>
  <c r="K196" i="1"/>
  <c r="N193" i="1"/>
  <c r="K195" i="1"/>
  <c r="N194" i="1"/>
  <c r="K194" i="1"/>
  <c r="N192" i="1"/>
  <c r="K191" i="1"/>
  <c r="K192" i="1"/>
  <c r="K193" i="1"/>
  <c r="N190" i="1"/>
  <c r="K190" i="1"/>
  <c r="N189" i="1"/>
  <c r="K189" i="1"/>
  <c r="N188" i="1"/>
  <c r="K188" i="1"/>
  <c r="N187" i="1"/>
  <c r="K187" i="1"/>
  <c r="M185" i="1"/>
  <c r="N186" i="1"/>
  <c r="K186" i="1"/>
  <c r="N185" i="1"/>
  <c r="K185" i="1"/>
  <c r="N184" i="1"/>
  <c r="K184" i="1"/>
  <c r="N183" i="1"/>
  <c r="K183" i="1"/>
  <c r="K181" i="1"/>
  <c r="N182" i="1"/>
  <c r="K182" i="1"/>
  <c r="N181" i="1"/>
  <c r="N140" i="1"/>
  <c r="K140" i="1"/>
  <c r="K113" i="1"/>
  <c r="K114" i="1"/>
  <c r="K115" i="1"/>
  <c r="K116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4" i="1"/>
  <c r="K135" i="1"/>
  <c r="K136" i="1"/>
  <c r="K137" i="1"/>
  <c r="K138" i="1"/>
  <c r="K139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60" i="1"/>
  <c r="K161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7" i="1"/>
  <c r="K178" i="1"/>
  <c r="K179" i="1"/>
  <c r="J180" i="1"/>
  <c r="N180" i="1" s="1"/>
  <c r="N179" i="1"/>
  <c r="N177" i="1"/>
  <c r="J176" i="1"/>
  <c r="N176" i="1" s="1"/>
  <c r="J175" i="1"/>
  <c r="K175" i="1" s="1"/>
  <c r="N174" i="1"/>
  <c r="N173" i="1"/>
  <c r="N172" i="1"/>
  <c r="N171" i="1"/>
  <c r="N169" i="1"/>
  <c r="N168" i="1"/>
  <c r="N167" i="1"/>
  <c r="N170" i="1"/>
  <c r="M165" i="1"/>
  <c r="N166" i="1"/>
  <c r="N165" i="1"/>
  <c r="N164" i="1"/>
  <c r="J162" i="1"/>
  <c r="N162" i="1" s="1"/>
  <c r="N163" i="1"/>
  <c r="N161" i="1"/>
  <c r="N160" i="1"/>
  <c r="M157" i="1"/>
  <c r="N158" i="1"/>
  <c r="O158" i="1" s="1"/>
  <c r="M162" i="1" s="1"/>
  <c r="N157" i="1"/>
  <c r="N156" i="1"/>
  <c r="N155" i="1"/>
  <c r="N154" i="1"/>
  <c r="N153" i="1"/>
  <c r="O153" i="1" s="1"/>
  <c r="M156" i="1" s="1"/>
  <c r="N152" i="1"/>
  <c r="N151" i="1"/>
  <c r="N150" i="1"/>
  <c r="N149" i="1"/>
  <c r="N148" i="1"/>
  <c r="N147" i="1"/>
  <c r="M5" i="2"/>
  <c r="N146" i="1"/>
  <c r="O146" i="1" s="1"/>
  <c r="M149" i="1" s="1"/>
  <c r="N145" i="1"/>
  <c r="N144" i="1"/>
  <c r="O144" i="1" s="1"/>
  <c r="M147" i="1" s="1"/>
  <c r="N143" i="1"/>
  <c r="N142" i="1"/>
  <c r="N141" i="1"/>
  <c r="O141" i="1" s="1"/>
  <c r="N139" i="1"/>
  <c r="N138" i="1"/>
  <c r="N137" i="1"/>
  <c r="O137" i="1" s="1"/>
  <c r="M139" i="1" s="1"/>
  <c r="N136" i="1"/>
  <c r="N135" i="1"/>
  <c r="N134" i="1"/>
  <c r="J133" i="1"/>
  <c r="N133" i="1" s="1"/>
  <c r="N132" i="1"/>
  <c r="N131" i="1"/>
  <c r="N130" i="1"/>
  <c r="N129" i="1"/>
  <c r="N128" i="1"/>
  <c r="N127" i="1"/>
  <c r="N126" i="1"/>
  <c r="M123" i="1"/>
  <c r="N123" i="1"/>
  <c r="N125" i="1"/>
  <c r="N124" i="1"/>
  <c r="N122" i="1"/>
  <c r="N121" i="1"/>
  <c r="N120" i="1"/>
  <c r="N119" i="1"/>
  <c r="N118" i="1"/>
  <c r="J117" i="1"/>
  <c r="N117" i="1" s="1"/>
  <c r="N116" i="1"/>
  <c r="N115" i="1"/>
  <c r="N114" i="1"/>
  <c r="N113" i="1"/>
  <c r="N112" i="1"/>
  <c r="K112" i="1"/>
  <c r="K111" i="1"/>
  <c r="N111" i="1"/>
  <c r="O111" i="1" s="1"/>
  <c r="M114" i="1" s="1"/>
  <c r="N109" i="1"/>
  <c r="K109" i="1"/>
  <c r="N108" i="1"/>
  <c r="N110" i="1"/>
  <c r="K110" i="1"/>
  <c r="K108" i="1"/>
  <c r="N107" i="1"/>
  <c r="K107" i="1"/>
  <c r="N106" i="1"/>
  <c r="K106" i="1"/>
  <c r="N105" i="1"/>
  <c r="K105" i="1"/>
  <c r="N104" i="1"/>
  <c r="O104" i="1" s="1"/>
  <c r="M109" i="1" s="1"/>
  <c r="K104" i="1"/>
  <c r="N103" i="1"/>
  <c r="K103" i="1"/>
  <c r="N102" i="1"/>
  <c r="O102" i="1" s="1"/>
  <c r="M103" i="1" s="1"/>
  <c r="K102" i="1"/>
  <c r="N101" i="1"/>
  <c r="N100" i="1"/>
  <c r="K100" i="1"/>
  <c r="N99" i="1"/>
  <c r="K99" i="1"/>
  <c r="J98" i="1"/>
  <c r="N98" i="1" s="1"/>
  <c r="N97" i="1"/>
  <c r="K97" i="1"/>
  <c r="N96" i="1"/>
  <c r="K96" i="1"/>
  <c r="N95" i="1"/>
  <c r="K95" i="1"/>
  <c r="N94" i="1"/>
  <c r="K94" i="1"/>
  <c r="N93" i="1"/>
  <c r="O93" i="1" s="1"/>
  <c r="M94" i="1" s="1"/>
  <c r="K93" i="1"/>
  <c r="N92" i="1"/>
  <c r="K92" i="1"/>
  <c r="N91" i="1"/>
  <c r="K91" i="1"/>
  <c r="N90" i="1"/>
  <c r="K90" i="1"/>
  <c r="N89" i="1"/>
  <c r="O89" i="1" s="1"/>
  <c r="M91" i="1" s="1"/>
  <c r="K89" i="1"/>
  <c r="N88" i="1"/>
  <c r="K88" i="1"/>
  <c r="N87" i="1"/>
  <c r="K87" i="1"/>
  <c r="N86" i="1"/>
  <c r="K86" i="1"/>
  <c r="N85" i="1"/>
  <c r="K85" i="1"/>
  <c r="N84" i="1"/>
  <c r="K84" i="1"/>
  <c r="N83" i="1"/>
  <c r="K83" i="1"/>
  <c r="N82" i="1"/>
  <c r="K82" i="1"/>
  <c r="N81" i="1"/>
  <c r="O81" i="1" s="1"/>
  <c r="M84" i="1" s="1"/>
  <c r="K81" i="1"/>
  <c r="N80" i="1"/>
  <c r="K80" i="1"/>
  <c r="N79" i="1"/>
  <c r="O79" i="1" s="1"/>
  <c r="M82" i="1" s="1"/>
  <c r="K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K69" i="1"/>
  <c r="M68" i="1"/>
  <c r="N68" i="1"/>
  <c r="K68" i="1"/>
  <c r="N67" i="1"/>
  <c r="K67" i="1"/>
  <c r="N66" i="1"/>
  <c r="K66" i="1"/>
  <c r="N65" i="1"/>
  <c r="K65" i="1"/>
  <c r="N64" i="1"/>
  <c r="K64" i="1"/>
  <c r="N63" i="1"/>
  <c r="K63" i="1"/>
  <c r="N62" i="1"/>
  <c r="O62" i="1" s="1"/>
  <c r="M64" i="1" s="1"/>
  <c r="K62" i="1"/>
  <c r="K54" i="1"/>
  <c r="K55" i="1"/>
  <c r="K56" i="1"/>
  <c r="K57" i="1"/>
  <c r="K58" i="1"/>
  <c r="K59" i="1"/>
  <c r="K60" i="1"/>
  <c r="K61" i="1"/>
  <c r="N61" i="1"/>
  <c r="N60" i="1"/>
  <c r="N59" i="1"/>
  <c r="M59" i="1"/>
  <c r="N58" i="1"/>
  <c r="M58" i="1"/>
  <c r="M54" i="1"/>
  <c r="N54" i="1"/>
  <c r="N53" i="1"/>
  <c r="K53" i="1"/>
  <c r="N52" i="1"/>
  <c r="K52" i="1"/>
  <c r="N49" i="1"/>
  <c r="K49" i="1"/>
  <c r="K51" i="1"/>
  <c r="N50" i="1"/>
  <c r="K50" i="1"/>
  <c r="N48" i="1"/>
  <c r="N47" i="1"/>
  <c r="K47" i="1"/>
  <c r="N29" i="1"/>
  <c r="K29" i="1"/>
  <c r="J46" i="1"/>
  <c r="N46" i="1" s="1"/>
  <c r="N45" i="1"/>
  <c r="K45" i="1"/>
  <c r="N44" i="1"/>
  <c r="O44" i="1" s="1"/>
  <c r="M48" i="1" s="1"/>
  <c r="K44" i="1"/>
  <c r="N43" i="1"/>
  <c r="K43" i="1"/>
  <c r="J38" i="1"/>
  <c r="K38" i="1" s="1"/>
  <c r="J40" i="1"/>
  <c r="K40" i="1" s="1"/>
  <c r="N42" i="1"/>
  <c r="K42" i="1"/>
  <c r="N41" i="1"/>
  <c r="K41" i="1"/>
  <c r="N39" i="1"/>
  <c r="K39" i="1"/>
  <c r="N38" i="1"/>
  <c r="N37" i="1"/>
  <c r="K37" i="1"/>
  <c r="K36" i="1"/>
  <c r="N35" i="1"/>
  <c r="K35" i="1"/>
  <c r="J34" i="1"/>
  <c r="N34" i="1" s="1"/>
  <c r="N33" i="1"/>
  <c r="K33" i="1"/>
  <c r="N32" i="1"/>
  <c r="K32" i="1"/>
  <c r="N31" i="1"/>
  <c r="K31" i="1"/>
  <c r="N30" i="1"/>
  <c r="K30" i="1"/>
  <c r="K27" i="1"/>
  <c r="N27" i="1"/>
  <c r="N28" i="1"/>
  <c r="K28" i="1"/>
  <c r="N26" i="1"/>
  <c r="K26" i="1"/>
  <c r="K25" i="1"/>
  <c r="K4" i="1"/>
  <c r="K7" i="1"/>
  <c r="K10" i="1"/>
  <c r="K13" i="1"/>
  <c r="K16" i="1"/>
  <c r="K19" i="1"/>
  <c r="K22" i="1"/>
  <c r="K24" i="1"/>
  <c r="J23" i="1"/>
  <c r="K23" i="1" s="1"/>
  <c r="N24" i="1"/>
  <c r="J21" i="1"/>
  <c r="K21" i="1" s="1"/>
  <c r="N22" i="1"/>
  <c r="N20" i="1"/>
  <c r="K20" i="1"/>
  <c r="N19" i="1"/>
  <c r="K18" i="1"/>
  <c r="N17" i="1"/>
  <c r="K17" i="1"/>
  <c r="N16" i="1"/>
  <c r="N15" i="1"/>
  <c r="K15" i="1"/>
  <c r="N14" i="1"/>
  <c r="K14" i="1"/>
  <c r="N13" i="1"/>
  <c r="N12" i="1"/>
  <c r="K12" i="1"/>
  <c r="N11" i="1"/>
  <c r="K11" i="1"/>
  <c r="N10" i="1"/>
  <c r="N9" i="1"/>
  <c r="K9" i="1"/>
  <c r="N8" i="1"/>
  <c r="K8" i="1"/>
  <c r="N7" i="1"/>
  <c r="N6" i="1"/>
  <c r="K6" i="1"/>
  <c r="N5" i="1"/>
  <c r="K5" i="1"/>
  <c r="K3" i="1"/>
  <c r="K2" i="1"/>
  <c r="N3" i="1"/>
  <c r="N2" i="1"/>
  <c r="O2" i="1" s="1"/>
  <c r="M3" i="1" s="1"/>
  <c r="N4" i="1"/>
  <c r="O4" i="1" s="1"/>
  <c r="M7" i="1" s="1"/>
  <c r="O250" i="1" l="1"/>
  <c r="N198" i="1"/>
  <c r="K180" i="1"/>
  <c r="O279" i="1"/>
  <c r="M285" i="1" s="1"/>
  <c r="O285" i="1" s="1"/>
  <c r="M287" i="1" s="1"/>
  <c r="O287" i="1" s="1"/>
  <c r="M289" i="1" s="1"/>
  <c r="N159" i="1"/>
  <c r="O159" i="1" s="1"/>
  <c r="M163" i="1" s="1"/>
  <c r="O163" i="1" s="1"/>
  <c r="M169" i="1" s="1"/>
  <c r="O169" i="1" s="1"/>
  <c r="K176" i="1"/>
  <c r="K279" i="1"/>
  <c r="K299" i="1"/>
  <c r="O252" i="1"/>
  <c r="O282" i="1"/>
  <c r="K300" i="1"/>
  <c r="O246" i="1"/>
  <c r="O281" i="1"/>
  <c r="M284" i="1" s="1"/>
  <c r="O284" i="1" s="1"/>
  <c r="O290" i="1"/>
  <c r="O293" i="1"/>
  <c r="O294" i="1"/>
  <c r="O295" i="1"/>
  <c r="O291" i="1"/>
  <c r="N231" i="1"/>
  <c r="O278" i="1"/>
  <c r="O237" i="1"/>
  <c r="M243" i="1" s="1"/>
  <c r="O243" i="1" s="1"/>
  <c r="M247" i="1" s="1"/>
  <c r="O247" i="1" s="1"/>
  <c r="M253" i="1" s="1"/>
  <c r="O253" i="1" s="1"/>
  <c r="M257" i="1" s="1"/>
  <c r="O257" i="1" s="1"/>
  <c r="M262" i="1" s="1"/>
  <c r="M263" i="1"/>
  <c r="O263" i="1" s="1"/>
  <c r="M265" i="1"/>
  <c r="O265" i="1" s="1"/>
  <c r="M267" i="1" s="1"/>
  <c r="O267" i="1" s="1"/>
  <c r="M272" i="1" s="1"/>
  <c r="O272" i="1" s="1"/>
  <c r="M292" i="1" s="1"/>
  <c r="O292" i="1" s="1"/>
  <c r="O266" i="1"/>
  <c r="M268" i="1" s="1"/>
  <c r="O268" i="1" s="1"/>
  <c r="O264" i="1"/>
  <c r="M271" i="1" s="1"/>
  <c r="O271" i="1" s="1"/>
  <c r="M274" i="1" s="1"/>
  <c r="O274" i="1" s="1"/>
  <c r="O258" i="1"/>
  <c r="O224" i="1"/>
  <c r="M227" i="1" s="1"/>
  <c r="O227" i="1" s="1"/>
  <c r="O256" i="1"/>
  <c r="M259" i="1" s="1"/>
  <c r="O259" i="1" s="1"/>
  <c r="O254" i="1"/>
  <c r="M280" i="1" s="1"/>
  <c r="O280" i="1" s="1"/>
  <c r="O244" i="1"/>
  <c r="K240" i="1"/>
  <c r="O230" i="1"/>
  <c r="M233" i="1" s="1"/>
  <c r="O233" i="1" s="1"/>
  <c r="M235" i="1" s="1"/>
  <c r="O235" i="1" s="1"/>
  <c r="M242" i="1" s="1"/>
  <c r="O242" i="1" s="1"/>
  <c r="M245" i="1" s="1"/>
  <c r="O245" i="1" s="1"/>
  <c r="M251" i="1" s="1"/>
  <c r="O251" i="1" s="1"/>
  <c r="M269" i="1" s="1"/>
  <c r="O269" i="1" s="1"/>
  <c r="O216" i="1"/>
  <c r="M219" i="1" s="1"/>
  <c r="O219" i="1" s="1"/>
  <c r="K162" i="1"/>
  <c r="O215" i="1"/>
  <c r="K207" i="1"/>
  <c r="N197" i="1"/>
  <c r="K117" i="1"/>
  <c r="O203" i="1"/>
  <c r="M207" i="1" s="1"/>
  <c r="O207" i="1" s="1"/>
  <c r="K202" i="1"/>
  <c r="K201" i="1"/>
  <c r="O185" i="1"/>
  <c r="M189" i="1" s="1"/>
  <c r="O189" i="1" s="1"/>
  <c r="M192" i="1" s="1"/>
  <c r="O192" i="1" s="1"/>
  <c r="K133" i="1"/>
  <c r="N175" i="1"/>
  <c r="O180" i="1"/>
  <c r="M181" i="1" s="1"/>
  <c r="O181" i="1" s="1"/>
  <c r="M184" i="1" s="1"/>
  <c r="O184" i="1" s="1"/>
  <c r="M188" i="1" s="1"/>
  <c r="O188" i="1" s="1"/>
  <c r="M205" i="1" s="1"/>
  <c r="O205" i="1" s="1"/>
  <c r="M209" i="1" s="1"/>
  <c r="O209" i="1" s="1"/>
  <c r="N178" i="1"/>
  <c r="O149" i="1"/>
  <c r="M152" i="1" s="1"/>
  <c r="O152" i="1" s="1"/>
  <c r="M155" i="1" s="1"/>
  <c r="O155" i="1" s="1"/>
  <c r="M172" i="1" s="1"/>
  <c r="O172" i="1" s="1"/>
  <c r="M174" i="1" s="1"/>
  <c r="O174" i="1" s="1"/>
  <c r="M177" i="1" s="1"/>
  <c r="O156" i="1"/>
  <c r="M160" i="1" s="1"/>
  <c r="O160" i="1" s="1"/>
  <c r="M164" i="1" s="1"/>
  <c r="O164" i="1" s="1"/>
  <c r="O165" i="1"/>
  <c r="O162" i="1"/>
  <c r="O157" i="1"/>
  <c r="M161" i="1" s="1"/>
  <c r="O161" i="1" s="1"/>
  <c r="M167" i="1" s="1"/>
  <c r="O167" i="1" s="1"/>
  <c r="M171" i="1" s="1"/>
  <c r="O171" i="1" s="1"/>
  <c r="M182" i="1" s="1"/>
  <c r="O182" i="1" s="1"/>
  <c r="M186" i="1" s="1"/>
  <c r="O186" i="1" s="1"/>
  <c r="M196" i="1" s="1"/>
  <c r="O196" i="1" s="1"/>
  <c r="M200" i="1" s="1"/>
  <c r="O200" i="1" s="1"/>
  <c r="M204" i="1" s="1"/>
  <c r="O204" i="1" s="1"/>
  <c r="M208" i="1" s="1"/>
  <c r="O208" i="1" s="1"/>
  <c r="M213" i="1" s="1"/>
  <c r="O147" i="1"/>
  <c r="M150" i="1" s="1"/>
  <c r="O150" i="1" s="1"/>
  <c r="M170" i="1" s="1"/>
  <c r="O170" i="1" s="1"/>
  <c r="M173" i="1" s="1"/>
  <c r="O173" i="1" s="1"/>
  <c r="M175" i="1" s="1"/>
  <c r="O139" i="1"/>
  <c r="M142" i="1" s="1"/>
  <c r="O142" i="1" s="1"/>
  <c r="M143" i="1" s="1"/>
  <c r="O143" i="1" s="1"/>
  <c r="M176" i="1" s="1"/>
  <c r="O176" i="1" s="1"/>
  <c r="M179" i="1" s="1"/>
  <c r="O179" i="1" s="1"/>
  <c r="M183" i="1" s="1"/>
  <c r="O183" i="1" s="1"/>
  <c r="M187" i="1" s="1"/>
  <c r="O187" i="1" s="1"/>
  <c r="M191" i="1" s="1"/>
  <c r="O191" i="1" s="1"/>
  <c r="M194" i="1" s="1"/>
  <c r="O194" i="1" s="1"/>
  <c r="M198" i="1" s="1"/>
  <c r="O123" i="1"/>
  <c r="M126" i="1" s="1"/>
  <c r="O126" i="1" s="1"/>
  <c r="M129" i="1" s="1"/>
  <c r="O129" i="1" s="1"/>
  <c r="M132" i="1" s="1"/>
  <c r="O132" i="1" s="1"/>
  <c r="M135" i="1" s="1"/>
  <c r="O135" i="1" s="1"/>
  <c r="M138" i="1" s="1"/>
  <c r="O138" i="1" s="1"/>
  <c r="M145" i="1" s="1"/>
  <c r="O145" i="1" s="1"/>
  <c r="M148" i="1" s="1"/>
  <c r="O148" i="1" s="1"/>
  <c r="M151" i="1" s="1"/>
  <c r="O151" i="1" s="1"/>
  <c r="M154" i="1" s="1"/>
  <c r="O154" i="1" s="1"/>
  <c r="O105" i="1"/>
  <c r="M106" i="1" s="1"/>
  <c r="O106" i="1" s="1"/>
  <c r="M107" i="1" s="1"/>
  <c r="O107" i="1" s="1"/>
  <c r="M108" i="1" s="1"/>
  <c r="O108" i="1" s="1"/>
  <c r="O82" i="1"/>
  <c r="M85" i="1" s="1"/>
  <c r="O85" i="1" s="1"/>
  <c r="M88" i="1" s="1"/>
  <c r="O88" i="1" s="1"/>
  <c r="O84" i="1"/>
  <c r="M87" i="1" s="1"/>
  <c r="O87" i="1" s="1"/>
  <c r="O109" i="1"/>
  <c r="M112" i="1" s="1"/>
  <c r="O112" i="1" s="1"/>
  <c r="M120" i="1" s="1"/>
  <c r="O120" i="1" s="1"/>
  <c r="M125" i="1" s="1"/>
  <c r="K98" i="1"/>
  <c r="O114" i="1"/>
  <c r="M116" i="1" s="1"/>
  <c r="O116" i="1" s="1"/>
  <c r="O91" i="1"/>
  <c r="M92" i="1" s="1"/>
  <c r="O92" i="1" s="1"/>
  <c r="M97" i="1" s="1"/>
  <c r="O97" i="1" s="1"/>
  <c r="M100" i="1" s="1"/>
  <c r="O100" i="1" s="1"/>
  <c r="K34" i="1"/>
  <c r="O103" i="1"/>
  <c r="K101" i="1"/>
  <c r="O94" i="1"/>
  <c r="M95" i="1" s="1"/>
  <c r="O95" i="1" s="1"/>
  <c r="M96" i="1" s="1"/>
  <c r="O96" i="1" s="1"/>
  <c r="M99" i="1" s="1"/>
  <c r="O99" i="1" s="1"/>
  <c r="O68" i="1"/>
  <c r="M71" i="1" s="1"/>
  <c r="O71" i="1" s="1"/>
  <c r="M74" i="1" s="1"/>
  <c r="O74" i="1" s="1"/>
  <c r="M77" i="1" s="1"/>
  <c r="O77" i="1" s="1"/>
  <c r="M80" i="1" s="1"/>
  <c r="O80" i="1" s="1"/>
  <c r="M83" i="1" s="1"/>
  <c r="O83" i="1" s="1"/>
  <c r="M86" i="1" s="1"/>
  <c r="O86" i="1" s="1"/>
  <c r="O64" i="1"/>
  <c r="M66" i="1" s="1"/>
  <c r="O66" i="1" s="1"/>
  <c r="M69" i="1" s="1"/>
  <c r="O69" i="1" s="1"/>
  <c r="M72" i="1" s="1"/>
  <c r="O72" i="1" s="1"/>
  <c r="M75" i="1" s="1"/>
  <c r="O75" i="1" s="1"/>
  <c r="M78" i="1" s="1"/>
  <c r="O78" i="1" s="1"/>
  <c r="O58" i="1"/>
  <c r="M60" i="1" s="1"/>
  <c r="O60" i="1" s="1"/>
  <c r="O59" i="1"/>
  <c r="M61" i="1" s="1"/>
  <c r="O61" i="1" s="1"/>
  <c r="M63" i="1" s="1"/>
  <c r="O63" i="1" s="1"/>
  <c r="M65" i="1" s="1"/>
  <c r="O65" i="1" s="1"/>
  <c r="M67" i="1" s="1"/>
  <c r="O67" i="1" s="1"/>
  <c r="M70" i="1" s="1"/>
  <c r="O70" i="1" s="1"/>
  <c r="M73" i="1" s="1"/>
  <c r="O73" i="1" s="1"/>
  <c r="M76" i="1" s="1"/>
  <c r="O76" i="1" s="1"/>
  <c r="M49" i="1"/>
  <c r="O49" i="1" s="1"/>
  <c r="O54" i="1"/>
  <c r="O48" i="1"/>
  <c r="K46" i="1"/>
  <c r="N51" i="1"/>
  <c r="K48" i="1"/>
  <c r="N40" i="1"/>
  <c r="N36" i="1"/>
  <c r="O32" i="1"/>
  <c r="M34" i="1" s="1"/>
  <c r="O34" i="1" s="1"/>
  <c r="M36" i="1" s="1"/>
  <c r="N25" i="1"/>
  <c r="N23" i="1"/>
  <c r="N21" i="1"/>
  <c r="O7" i="1"/>
  <c r="M10" i="1" s="1"/>
  <c r="O10" i="1" s="1"/>
  <c r="M13" i="1" s="1"/>
  <c r="O13" i="1" s="1"/>
  <c r="M16" i="1" s="1"/>
  <c r="O16" i="1" s="1"/>
  <c r="O3" i="1"/>
  <c r="M5" i="1" s="1"/>
  <c r="O5" i="1" s="1"/>
  <c r="M6" i="1" s="1"/>
  <c r="O6" i="1" s="1"/>
  <c r="M8" i="1" s="1"/>
  <c r="O8" i="1" s="1"/>
  <c r="O198" i="1" l="1"/>
  <c r="M202" i="1" s="1"/>
  <c r="O202" i="1" s="1"/>
  <c r="O289" i="1"/>
  <c r="M296" i="1" s="1"/>
  <c r="O297" i="1"/>
  <c r="O298" i="1"/>
  <c r="O262" i="1"/>
  <c r="M270" i="1" s="1"/>
  <c r="O270" i="1" s="1"/>
  <c r="M206" i="1"/>
  <c r="O206" i="1" s="1"/>
  <c r="O213" i="1"/>
  <c r="M217" i="1" s="1"/>
  <c r="O217" i="1" s="1"/>
  <c r="M222" i="1" s="1"/>
  <c r="M214" i="1"/>
  <c r="O214" i="1" s="1"/>
  <c r="M218" i="1" s="1"/>
  <c r="O218" i="1" s="1"/>
  <c r="O175" i="1"/>
  <c r="M178" i="1" s="1"/>
  <c r="O178" i="1" s="1"/>
  <c r="M197" i="1" s="1"/>
  <c r="O197" i="1" s="1"/>
  <c r="M201" i="1" s="1"/>
  <c r="O201" i="1" s="1"/>
  <c r="O177" i="1"/>
  <c r="M166" i="1"/>
  <c r="O166" i="1" s="1"/>
  <c r="O110" i="1"/>
  <c r="M113" i="1" s="1"/>
  <c r="O113" i="1" s="1"/>
  <c r="M121" i="1" s="1"/>
  <c r="O121" i="1" s="1"/>
  <c r="M131" i="1" s="1"/>
  <c r="O131" i="1" s="1"/>
  <c r="M115" i="1"/>
  <c r="O115" i="1" s="1"/>
  <c r="M117" i="1" s="1"/>
  <c r="O117" i="1" s="1"/>
  <c r="O125" i="1"/>
  <c r="M128" i="1" s="1"/>
  <c r="O128" i="1" s="1"/>
  <c r="M130" i="1" s="1"/>
  <c r="O130" i="1" s="1"/>
  <c r="M133" i="1" s="1"/>
  <c r="O133" i="1" s="1"/>
  <c r="M136" i="1" s="1"/>
  <c r="O136" i="1" s="1"/>
  <c r="M118" i="1"/>
  <c r="O118" i="1" s="1"/>
  <c r="M122" i="1" s="1"/>
  <c r="O122" i="1" s="1"/>
  <c r="M90" i="1"/>
  <c r="O90" i="1" s="1"/>
  <c r="M98" i="1" s="1"/>
  <c r="O98" i="1" s="1"/>
  <c r="M101" i="1" s="1"/>
  <c r="O101" i="1" s="1"/>
  <c r="M134" i="1" s="1"/>
  <c r="O134" i="1" s="1"/>
  <c r="O36" i="1"/>
  <c r="M38" i="1" s="1"/>
  <c r="O38" i="1" s="1"/>
  <c r="M40" i="1" s="1"/>
  <c r="O40" i="1" s="1"/>
  <c r="M42" i="1" s="1"/>
  <c r="O42" i="1" s="1"/>
  <c r="M46" i="1" s="1"/>
  <c r="O46" i="1" s="1"/>
  <c r="M51" i="1" s="1"/>
  <c r="O51" i="1" s="1"/>
  <c r="M53" i="1" s="1"/>
  <c r="O53" i="1" s="1"/>
  <c r="M19" i="1"/>
  <c r="M9" i="1"/>
  <c r="O9" i="1" s="1"/>
  <c r="M11" i="1" s="1"/>
  <c r="O11" i="1" s="1"/>
  <c r="M12" i="1" s="1"/>
  <c r="O12" i="1" s="1"/>
  <c r="M14" i="1" s="1"/>
  <c r="O14" i="1" s="1"/>
  <c r="M15" i="1" s="1"/>
  <c r="O15" i="1" s="1"/>
  <c r="O296" i="1" l="1"/>
  <c r="O222" i="1"/>
  <c r="M225" i="1" s="1"/>
  <c r="O225" i="1" s="1"/>
  <c r="M228" i="1" s="1"/>
  <c r="O228" i="1" s="1"/>
  <c r="M231" i="1" s="1"/>
  <c r="O231" i="1" s="1"/>
  <c r="M240" i="1" s="1"/>
  <c r="O240" i="1" s="1"/>
  <c r="M223" i="1"/>
  <c r="O223" i="1" s="1"/>
  <c r="M226" i="1" s="1"/>
  <c r="O226" i="1" s="1"/>
  <c r="M229" i="1" s="1"/>
  <c r="O229" i="1" s="1"/>
  <c r="M232" i="1" s="1"/>
  <c r="O232" i="1" s="1"/>
  <c r="M234" i="1" s="1"/>
  <c r="O234" i="1" s="1"/>
  <c r="M239" i="1" s="1"/>
  <c r="O239" i="1" s="1"/>
  <c r="M168" i="1"/>
  <c r="O168" i="1" s="1"/>
  <c r="M190" i="1" s="1"/>
  <c r="O190" i="1" s="1"/>
  <c r="M193" i="1" s="1"/>
  <c r="O193" i="1" s="1"/>
  <c r="M195" i="1" s="1"/>
  <c r="O195" i="1" s="1"/>
  <c r="M119" i="1"/>
  <c r="O119" i="1" s="1"/>
  <c r="M124" i="1" s="1"/>
  <c r="O124" i="1" s="1"/>
  <c r="M127" i="1" s="1"/>
  <c r="O127" i="1" s="1"/>
  <c r="M140" i="1" s="1"/>
  <c r="O140" i="1" s="1"/>
  <c r="O17" i="1"/>
  <c r="N18" i="1"/>
  <c r="M18" i="1"/>
  <c r="O18" i="1" l="1"/>
  <c r="O19" i="1"/>
  <c r="M22" i="1" s="1"/>
  <c r="O22" i="1" s="1"/>
  <c r="M20" i="1"/>
  <c r="O20" i="1" s="1"/>
  <c r="M21" i="1" s="1"/>
  <c r="O21" i="1" s="1"/>
  <c r="M23" i="1" s="1"/>
  <c r="O23" i="1" l="1"/>
  <c r="M25" i="1" s="1"/>
  <c r="O25" i="1" s="1"/>
  <c r="M27" i="1" s="1"/>
  <c r="O27" i="1" s="1"/>
  <c r="M30" i="1" s="1"/>
  <c r="O30" i="1" s="1"/>
  <c r="M24" i="1"/>
  <c r="O24" i="1" s="1"/>
  <c r="M26" i="1" s="1"/>
  <c r="O26" i="1" s="1"/>
  <c r="M28" i="1" s="1"/>
  <c r="O28" i="1" s="1"/>
  <c r="M29" i="1" l="1"/>
  <c r="O29" i="1" s="1"/>
  <c r="M31" i="1" s="1"/>
  <c r="O31" i="1" s="1"/>
  <c r="M33" i="1" s="1"/>
  <c r="O33" i="1" s="1"/>
  <c r="M35" i="1" s="1"/>
  <c r="O35" i="1" s="1"/>
  <c r="M37" i="1" s="1"/>
  <c r="O37" i="1" s="1"/>
  <c r="M39" i="1" s="1"/>
  <c r="O39" i="1" s="1"/>
  <c r="M41" i="1" s="1"/>
  <c r="O41" i="1" s="1"/>
  <c r="M43" i="1" s="1"/>
  <c r="O43" i="1" s="1"/>
  <c r="M45" i="1" s="1"/>
  <c r="O45" i="1" s="1"/>
  <c r="M47" i="1" s="1"/>
  <c r="O47" i="1" s="1"/>
  <c r="M50" i="1" s="1"/>
  <c r="O50" i="1" s="1"/>
  <c r="M52" i="1" s="1"/>
  <c r="O52" i="1" s="1"/>
</calcChain>
</file>

<file path=xl/sharedStrings.xml><?xml version="1.0" encoding="utf-8"?>
<sst xmlns="http://schemas.openxmlformats.org/spreadsheetml/2006/main" count="6865" uniqueCount="758">
  <si>
    <t>Line no</t>
  </si>
  <si>
    <t>Shift</t>
  </si>
  <si>
    <t>Consignee</t>
  </si>
  <si>
    <t>P.O.No</t>
  </si>
  <si>
    <t>Type of Bag</t>
  </si>
  <si>
    <t>Size in CM</t>
  </si>
  <si>
    <t>ICO#</t>
  </si>
  <si>
    <t>Weight per pc</t>
  </si>
  <si>
    <t>A</t>
  </si>
  <si>
    <t>AMBIFLEX</t>
  </si>
  <si>
    <t>WERBA SA</t>
  </si>
  <si>
    <t xml:space="preserve">WERBA -04 / 90x90x120 cm </t>
  </si>
  <si>
    <t xml:space="preserve">circular cross corner Top open flat bottom </t>
  </si>
  <si>
    <t>90x90x120</t>
  </si>
  <si>
    <t>OBV 1250047-1 ID/SP1779</t>
  </si>
  <si>
    <t xml:space="preserve">U+2 panel top and bottom spout </t>
  </si>
  <si>
    <t>95x95x200</t>
  </si>
  <si>
    <t>2512-604</t>
  </si>
  <si>
    <t>2512-620</t>
  </si>
  <si>
    <t xml:space="preserve">Date </t>
  </si>
  <si>
    <t>OBV 1250047-1 ID/SP1777</t>
  </si>
  <si>
    <t>2512-603</t>
  </si>
  <si>
    <t>95x95x170</t>
  </si>
  <si>
    <t>pcs</t>
  </si>
  <si>
    <t xml:space="preserve">kgs </t>
  </si>
  <si>
    <t>production</t>
  </si>
  <si>
    <t xml:space="preserve">opening </t>
  </si>
  <si>
    <t xml:space="preserve">balance bag </t>
  </si>
  <si>
    <t>Technopacing spain</t>
  </si>
  <si>
    <t xml:space="preserve">U panel open top </t>
  </si>
  <si>
    <t xml:space="preserve">85x85x90 </t>
  </si>
  <si>
    <t>1012601POH0587/BBSTAP001240</t>
  </si>
  <si>
    <t>2601-519</t>
  </si>
  <si>
    <t>OBV1250047-2/1779</t>
  </si>
  <si>
    <t>2601-488</t>
  </si>
  <si>
    <t xml:space="preserve">dispatched </t>
  </si>
  <si>
    <t>stock</t>
  </si>
  <si>
    <t xml:space="preserve">stock </t>
  </si>
  <si>
    <t>status</t>
  </si>
  <si>
    <t xml:space="preserve">Open order </t>
  </si>
  <si>
    <t xml:space="preserve">Ord. IssueDate </t>
  </si>
  <si>
    <t>Ord. Issues WK</t>
  </si>
  <si>
    <t>ICO No.</t>
  </si>
  <si>
    <t>Customer Name</t>
  </si>
  <si>
    <t>Order No.</t>
  </si>
  <si>
    <t>Bag Size (CM)</t>
  </si>
  <si>
    <t>Order Qty.</t>
  </si>
  <si>
    <t>Issued Qty.</t>
  </si>
  <si>
    <t>Wt/Pcs</t>
  </si>
  <si>
    <t>Issued. Wt.</t>
  </si>
  <si>
    <t>Construction</t>
  </si>
  <si>
    <t>Bag Design</t>
  </si>
  <si>
    <t>Repeat</t>
  </si>
  <si>
    <t>Prv. Prod, Unit</t>
  </si>
  <si>
    <t>Printing</t>
  </si>
  <si>
    <t>Prod. Unit</t>
  </si>
  <si>
    <t>Req. Week</t>
  </si>
  <si>
    <t>2601-487</t>
  </si>
  <si>
    <t>OBV1250047-2/1777</t>
  </si>
  <si>
    <t>UPANEL/COMPLI</t>
  </si>
  <si>
    <t>YES</t>
  </si>
  <si>
    <t>PIA</t>
  </si>
  <si>
    <t>UNPRINTED</t>
  </si>
  <si>
    <t>HPBL-5</t>
  </si>
  <si>
    <t>WK-12</t>
  </si>
  <si>
    <t>2602-368</t>
  </si>
  <si>
    <t>BAZELLE EMBALLAGE</t>
  </si>
  <si>
    <t>29437/AG936</t>
  </si>
  <si>
    <t>60X60X70</t>
  </si>
  <si>
    <t>UPANEL</t>
  </si>
  <si>
    <t>2602-369</t>
  </si>
  <si>
    <t>29437/AG937R2</t>
  </si>
  <si>
    <t>2602-370</t>
  </si>
  <si>
    <t>29437/1112</t>
  </si>
  <si>
    <t>2602-372</t>
  </si>
  <si>
    <t>NNZ DENMARK</t>
  </si>
  <si>
    <t>162600119/16005411</t>
  </si>
  <si>
    <t>93X93X274</t>
  </si>
  <si>
    <t>KPW</t>
  </si>
  <si>
    <t>2602-373</t>
  </si>
  <si>
    <t>162600119/16005541</t>
  </si>
  <si>
    <t>79X131X294</t>
  </si>
  <si>
    <t>NO</t>
  </si>
  <si>
    <t>2602-374</t>
  </si>
  <si>
    <t>162600119/16005548</t>
  </si>
  <si>
    <t>33X131X269</t>
  </si>
  <si>
    <t>2602-375</t>
  </si>
  <si>
    <t>162600119/16005549</t>
  </si>
  <si>
    <t>59X131X279</t>
  </si>
  <si>
    <t>FIBCO/PO/2026/0035/JBPL/CIR/113H (TM479A)</t>
  </si>
  <si>
    <t>100X100X120</t>
  </si>
  <si>
    <t>FIBCO/PO/2026/0035/JBPL/CIR/113H (TM 580)</t>
  </si>
  <si>
    <t>2601-298</t>
  </si>
  <si>
    <t>FVPL/PO/2026-00021</t>
  </si>
  <si>
    <t>2602-122</t>
  </si>
  <si>
    <t>SC-20/2026</t>
  </si>
  <si>
    <t>U+2Panel/Corner</t>
  </si>
  <si>
    <t xml:space="preserve">Sunglow </t>
  </si>
  <si>
    <t xml:space="preserve">4 panel CD bags with liner </t>
  </si>
  <si>
    <t xml:space="preserve">90x90x130 </t>
  </si>
  <si>
    <t>SUNGLOW</t>
  </si>
  <si>
    <t>SC-20/2025 / 90x90x130.CM</t>
  </si>
  <si>
    <t>U panel TYPE C  LINER TABBING 8.POINT</t>
  </si>
  <si>
    <t>90x90x130</t>
  </si>
  <si>
    <t>2602-529</t>
  </si>
  <si>
    <t>OBV1260005/3705</t>
  </si>
  <si>
    <t>2603-041</t>
  </si>
  <si>
    <t>SACHERIE DE PANTIN</t>
  </si>
  <si>
    <t>PST-26002/SN21U40P-01</t>
  </si>
  <si>
    <t>50102/DAJU091110CAFP070MEDENASA</t>
  </si>
  <si>
    <t>91X91X110</t>
  </si>
  <si>
    <t>50088/DAJU125105130CAFPUN13H4Z/120</t>
  </si>
  <si>
    <t>125X105X130</t>
  </si>
  <si>
    <t>50146/DAJU100220BCBD080GREENLOOPS30/120</t>
  </si>
  <si>
    <t>100X100X220</t>
  </si>
  <si>
    <t>50222/DAJU091120BAFP090GRANITO</t>
  </si>
  <si>
    <t>91X91X120</t>
  </si>
  <si>
    <t>50074/DAJU091100BAFP090LOOPS30</t>
  </si>
  <si>
    <t>91X91X100</t>
  </si>
  <si>
    <t>50137/DAJU040090080ISEG8:1</t>
  </si>
  <si>
    <t>40X90X80</t>
  </si>
  <si>
    <t>50225/DAJU091090BAFP070LABOBILA</t>
  </si>
  <si>
    <t>50229/DAJU091090BABD070LOOPS45</t>
  </si>
  <si>
    <t>91X91X90</t>
  </si>
  <si>
    <t>50174/DAJU091090BAFP070CENTELLES</t>
  </si>
  <si>
    <t>50201/DAJU100120CAFP070CANO</t>
  </si>
  <si>
    <t>50253/DAJU091180CABD070LOOPS30</t>
  </si>
  <si>
    <t>91X91X180</t>
  </si>
  <si>
    <t>50263/DAJU091110CABD070TUBULARLOOPS45</t>
  </si>
  <si>
    <t>50265/DAJU091110CABD070LOOPS30</t>
  </si>
  <si>
    <t>50245/DAJU091100BAFP070BRICODEPOT</t>
  </si>
  <si>
    <t>50196/DAJU091100BAFP070BRIPORTU</t>
  </si>
  <si>
    <t xml:space="preserve">Flexochem </t>
  </si>
  <si>
    <t>circular cross corner Type C</t>
  </si>
  <si>
    <t>90x90x170</t>
  </si>
  <si>
    <t>2603-084</t>
  </si>
  <si>
    <t>OBV1250048-1/4589</t>
  </si>
  <si>
    <t>90X90X185</t>
  </si>
  <si>
    <t>2603-085</t>
  </si>
  <si>
    <t>OBV1250048-1/4590</t>
  </si>
  <si>
    <t>FIBCO</t>
  </si>
  <si>
    <t xml:space="preserve">circular cross corner </t>
  </si>
  <si>
    <t>2602-471</t>
  </si>
  <si>
    <t xml:space="preserve">U panel with inner liner </t>
  </si>
  <si>
    <t>80x80x90</t>
  </si>
  <si>
    <t>2603-222</t>
  </si>
  <si>
    <t>OBV1250047-3/1777</t>
  </si>
  <si>
    <t xml:space="preserve">pending </t>
  </si>
  <si>
    <t xml:space="preserve">production pending </t>
  </si>
  <si>
    <t>2602-472</t>
  </si>
  <si>
    <t>90x90x100</t>
  </si>
  <si>
    <t>2603-338</t>
  </si>
  <si>
    <t>OBV1250047-3/1779</t>
  </si>
  <si>
    <t>WK-16</t>
  </si>
  <si>
    <t>2603-307</t>
  </si>
  <si>
    <t>162600212/16005410</t>
  </si>
  <si>
    <t>131X131X294</t>
  </si>
  <si>
    <t>4PANEL</t>
  </si>
  <si>
    <t>U+2 panel</t>
  </si>
  <si>
    <t>95x95x110</t>
  </si>
  <si>
    <t xml:space="preserve">Drum waste bag </t>
  </si>
  <si>
    <t>2604-001</t>
  </si>
  <si>
    <t>GULBRANDSEN</t>
  </si>
  <si>
    <t>91.5X91.5X118</t>
  </si>
  <si>
    <t>ASAP</t>
  </si>
  <si>
    <t>111065000/20001609</t>
  </si>
  <si>
    <t>89X104X165</t>
  </si>
  <si>
    <t>4PANEL/COMPLI/SULZER</t>
  </si>
  <si>
    <t>22646/HIPPO MIDI BAG</t>
  </si>
  <si>
    <t>90X90X90</t>
  </si>
  <si>
    <t>2310-332</t>
  </si>
  <si>
    <t>QPAC</t>
  </si>
  <si>
    <t xml:space="preserve">Dajusa </t>
  </si>
  <si>
    <t>2603-045</t>
  </si>
  <si>
    <t>2603-046</t>
  </si>
  <si>
    <t>2603-047</t>
  </si>
  <si>
    <t>2603-048</t>
  </si>
  <si>
    <t>2603-049</t>
  </si>
  <si>
    <t>2603-050</t>
  </si>
  <si>
    <t>2603-051</t>
  </si>
  <si>
    <t>2603-052</t>
  </si>
  <si>
    <t>2603-053</t>
  </si>
  <si>
    <t>2603-054</t>
  </si>
  <si>
    <t>2603-055</t>
  </si>
  <si>
    <t>2603-056</t>
  </si>
  <si>
    <t>2603-057</t>
  </si>
  <si>
    <t>2603-058</t>
  </si>
  <si>
    <t>2603-059</t>
  </si>
  <si>
    <t>2604-185</t>
  </si>
  <si>
    <t>111065966/50048688</t>
  </si>
  <si>
    <t>Q PAC</t>
  </si>
  <si>
    <t>2604-247</t>
  </si>
  <si>
    <t>HPC-PO003844-9090120-1</t>
  </si>
  <si>
    <t>90X90X120</t>
  </si>
  <si>
    <t>CIRCULER/COMPLI/X-CORNER</t>
  </si>
  <si>
    <t>4S2C</t>
  </si>
  <si>
    <t>HPBL-05</t>
  </si>
  <si>
    <t>WK-20</t>
  </si>
  <si>
    <t>2604-248</t>
  </si>
  <si>
    <t>HPC-PO003844-9090140-2</t>
  </si>
  <si>
    <t>90X90X140</t>
  </si>
  <si>
    <t>2S3C</t>
  </si>
  <si>
    <t>2604-249</t>
  </si>
  <si>
    <t>HPC-PO003844-9090160-3</t>
  </si>
  <si>
    <t>HPC-PO003844-100100140-4</t>
  </si>
  <si>
    <t>2604-251</t>
  </si>
  <si>
    <t>HPC-PO003844-9595180-5</t>
  </si>
  <si>
    <t>95X95X180</t>
  </si>
  <si>
    <t xml:space="preserve">cross corner </t>
  </si>
  <si>
    <t>WK-17</t>
  </si>
  <si>
    <t>2604-294</t>
  </si>
  <si>
    <t>22752/TERRALIS-RC</t>
  </si>
  <si>
    <t>70X90X79</t>
  </si>
  <si>
    <t>PIL-6 4L</t>
  </si>
  <si>
    <t>WK-21</t>
  </si>
  <si>
    <t>2604-295</t>
  </si>
  <si>
    <t>22752/RO-TOPSOIL.CO.UK-RC</t>
  </si>
  <si>
    <t>2604-296</t>
  </si>
  <si>
    <t>22752/RO-HALLSTONE-RC</t>
  </si>
  <si>
    <t>2604-297</t>
  </si>
  <si>
    <t>22752/RO-LANDSCAPE BARK-RC</t>
  </si>
  <si>
    <t>2604-298</t>
  </si>
  <si>
    <t>22752/RO-BEDS &amp; BORDERS TOPSOIL-RC</t>
  </si>
  <si>
    <t>FLEXOCHEM VENTURES PRIVATE LIMITED</t>
  </si>
  <si>
    <t>90X90X70</t>
  </si>
  <si>
    <t>CIRCULER/COMPLI/X-CORNER/TYPE C</t>
  </si>
  <si>
    <t>Circular/X-Corner</t>
  </si>
  <si>
    <t>95x95x210</t>
  </si>
  <si>
    <t>Row Labels</t>
  </si>
  <si>
    <t>Grand Total</t>
  </si>
  <si>
    <t xml:space="preserve">Sum of kgs </t>
  </si>
  <si>
    <t>Sum of pcs</t>
  </si>
  <si>
    <t>2604-373</t>
  </si>
  <si>
    <t>111066165-50048689</t>
  </si>
  <si>
    <t xml:space="preserve">Gulbrandsen </t>
  </si>
  <si>
    <t xml:space="preserve">H Polesy </t>
  </si>
  <si>
    <t>90x90x160</t>
  </si>
  <si>
    <t>WK-19</t>
  </si>
  <si>
    <t> 2605-039</t>
  </si>
  <si>
    <t>FVPL/PO/2026-00103</t>
  </si>
  <si>
    <t>2605-034</t>
  </si>
  <si>
    <t>FIBCO PLASTIC INDUSTRY LLC</t>
  </si>
  <si>
    <t>FIBCO/PO/2026/0057/JBPL-01</t>
  </si>
  <si>
    <t xml:space="preserve">u panel complicated </t>
  </si>
  <si>
    <t xml:space="preserve">U panel liner </t>
  </si>
  <si>
    <t>91X94X90</t>
  </si>
  <si>
    <t>2605-083</t>
  </si>
  <si>
    <t>RUGO BAGS GERMANY</t>
  </si>
  <si>
    <t>202600223/006789</t>
  </si>
  <si>
    <t>100X100X130</t>
  </si>
  <si>
    <t>WK-22</t>
  </si>
  <si>
    <t xml:space="preserve"> 	111065000/50048687</t>
  </si>
  <si>
    <t>2506-218</t>
  </si>
  <si>
    <t>MULTI NEGOCE</t>
  </si>
  <si>
    <t>MN-42-02032026/NEUTRAL+LOOP</t>
  </si>
  <si>
    <t>95X95X110</t>
  </si>
  <si>
    <t>HPBL-4 4L</t>
  </si>
  <si>
    <t>WK-25</t>
  </si>
  <si>
    <t>2506-219</t>
  </si>
  <si>
    <t>MN-42-02032026/GEDIMAT</t>
  </si>
  <si>
    <t>2506-220</t>
  </si>
  <si>
    <t>MN-42-02032026/NEUTRAL-1000LOOPS</t>
  </si>
  <si>
    <t>80X80X80</t>
  </si>
  <si>
    <t>131x131x 294</t>
  </si>
  <si>
    <t xml:space="preserve">multi negoce </t>
  </si>
  <si>
    <t xml:space="preserve">Archit </t>
  </si>
  <si>
    <t>2604-014</t>
  </si>
  <si>
    <t>AOLBD2026270034</t>
  </si>
  <si>
    <t xml:space="preserve">U panel with liner </t>
  </si>
  <si>
    <t>2605-346</t>
  </si>
  <si>
    <t>UNITED TRADEX</t>
  </si>
  <si>
    <t>PO14/100X100X105</t>
  </si>
  <si>
    <t>105X105X110</t>
  </si>
  <si>
    <t>BAFFLE/COMPLI</t>
  </si>
  <si>
    <t>Q-Bag/Corner</t>
  </si>
  <si>
    <t>NC</t>
  </si>
  <si>
    <t>2605-285</t>
  </si>
  <si>
    <t>SADLIERS PACKAGING</t>
  </si>
  <si>
    <t>PO-067345/BB DC 60</t>
  </si>
  <si>
    <t>60X60X60</t>
  </si>
  <si>
    <t>UPANEL/COMPLI/X-CORNER</t>
  </si>
  <si>
    <t>PPL</t>
  </si>
  <si>
    <t>WK-26</t>
  </si>
  <si>
    <t>2605-286</t>
  </si>
  <si>
    <t>PO-067345/DC 1299 S</t>
  </si>
  <si>
    <t>2605-287</t>
  </si>
  <si>
    <t>PO-067345/KDC 121016</t>
  </si>
  <si>
    <t>100X100X160</t>
  </si>
  <si>
    <t>2605-288</t>
  </si>
  <si>
    <t>PO-067345/KDC 12912</t>
  </si>
  <si>
    <t>2605-289</t>
  </si>
  <si>
    <t>PO-067345/KDC 5905</t>
  </si>
  <si>
    <t>90X90X50</t>
  </si>
  <si>
    <t>2605-290</t>
  </si>
  <si>
    <t>PO-067345/KDS 20912</t>
  </si>
  <si>
    <t>100x100x140</t>
  </si>
  <si>
    <t>91x91x100</t>
  </si>
  <si>
    <t>United tradex</t>
  </si>
  <si>
    <t>u panel</t>
  </si>
  <si>
    <t xml:space="preserve">Q bag </t>
  </si>
  <si>
    <t>2605-372</t>
  </si>
  <si>
    <t>FVPL/PO/2026-00123</t>
  </si>
  <si>
    <t>TYPE C</t>
  </si>
  <si>
    <t>WK-23</t>
  </si>
  <si>
    <t>2606-093</t>
  </si>
  <si>
    <t>FVPL/PO/2026-00145</t>
  </si>
  <si>
    <t>2606-094</t>
  </si>
  <si>
    <t>FVPL/PO/2026-00144</t>
  </si>
  <si>
    <t>MN-43-14052026/NEUTRAL-1000L</t>
  </si>
  <si>
    <t>2601-461</t>
  </si>
  <si>
    <t>QPAC LTD</t>
  </si>
  <si>
    <t>22752/JEWSON TERRALIS FIBC-RC</t>
  </si>
  <si>
    <t>U Panel</t>
  </si>
  <si>
    <t>2606-270</t>
  </si>
  <si>
    <t>PO1001/100X100X105</t>
  </si>
  <si>
    <t>MN-43-14052026/NEUTRAL+LOOP</t>
  </si>
  <si>
    <t>2605-218</t>
  </si>
  <si>
    <t>RUGO BAGS GMBH</t>
  </si>
  <si>
    <t>22752/RO-TOPSOILCO.UK-RC</t>
  </si>
  <si>
    <t>U+2</t>
  </si>
  <si>
    <t>2601-460</t>
  </si>
  <si>
    <t>QPAC LTD.</t>
  </si>
  <si>
    <t>2606-412</t>
  </si>
  <si>
    <t>COLOROBBIA CHEMICALS INDIA PVT LTD</t>
  </si>
  <si>
    <t>POD/2627/277</t>
  </si>
  <si>
    <t>90X90X110</t>
  </si>
  <si>
    <t>Priting</t>
  </si>
  <si>
    <t xml:space="preserve">22752/RO-BEDS &amp; BORDERS TOPSOIL-RC </t>
  </si>
  <si>
    <t>Q-BAG</t>
  </si>
  <si>
    <t>2606-463</t>
  </si>
  <si>
    <t>DAJUSA 2002 S.L.</t>
  </si>
  <si>
    <t>51237/DAJU091160CABD080SALABLANCA</t>
  </si>
  <si>
    <t>91X91X160</t>
  </si>
  <si>
    <t>WK-30</t>
  </si>
  <si>
    <t>2606-464</t>
  </si>
  <si>
    <t>51322/DAJU100185BCBD080DPTUBULAR</t>
  </si>
  <si>
    <t>100X100X185</t>
  </si>
  <si>
    <t>2606-465</t>
  </si>
  <si>
    <t>51143/DAJU091100CAFP070AGROBAL</t>
  </si>
  <si>
    <t>2S2C</t>
  </si>
  <si>
    <t>2606-467</t>
  </si>
  <si>
    <t>51327/DAJU091110CABD070LOOPS30</t>
  </si>
  <si>
    <t>2606-468</t>
  </si>
  <si>
    <t>51351/DAJU085090BAFP070CERDANY</t>
  </si>
  <si>
    <t>85X85X90</t>
  </si>
  <si>
    <t>2606-469</t>
  </si>
  <si>
    <t>51298/DAJU080090BAFP070CANTA</t>
  </si>
  <si>
    <t>80X80X90</t>
  </si>
  <si>
    <t>2606-470</t>
  </si>
  <si>
    <t>51291/DAJU085090BAFP070ARIMANY</t>
  </si>
  <si>
    <t>2606-471</t>
  </si>
  <si>
    <t>51332/DAJU080085BAFP070CHICANO</t>
  </si>
  <si>
    <t>4S3C</t>
  </si>
  <si>
    <t>2606-472</t>
  </si>
  <si>
    <t>51307/DAJU085090BAFP070BAHIA</t>
  </si>
  <si>
    <t>4S1C</t>
  </si>
  <si>
    <t>2606-473</t>
  </si>
  <si>
    <t>51217/DAJU080110BAFP090CURRUCHO</t>
  </si>
  <si>
    <t>80X80X110</t>
  </si>
  <si>
    <t>2606-474</t>
  </si>
  <si>
    <t>51240/DAJU091120CAFP070BIASBESTO</t>
  </si>
  <si>
    <t>2606-475</t>
  </si>
  <si>
    <t>51346/DAJU091160CABD080LOOPS30CLEAN</t>
  </si>
  <si>
    <t>MN-43-14052026/GEDIMAT</t>
  </si>
  <si>
    <t>2606-490</t>
  </si>
  <si>
    <t>SACOS DURCAL</t>
  </si>
  <si>
    <t>KPW/2026/CONT-176/01</t>
  </si>
  <si>
    <t>75X75X90</t>
  </si>
  <si>
    <t>UNPRITNED</t>
  </si>
  <si>
    <t>2606-491</t>
  </si>
  <si>
    <t>KPW/2026/CONT-176/02</t>
  </si>
  <si>
    <t>80X80X65</t>
  </si>
  <si>
    <t>2606-492</t>
  </si>
  <si>
    <t>KPW/2026/CONT-176/03</t>
  </si>
  <si>
    <t>2606-493</t>
  </si>
  <si>
    <t>KPW/2026/CONT-176/04</t>
  </si>
  <si>
    <t>2S1C</t>
  </si>
  <si>
    <t>2606-494</t>
  </si>
  <si>
    <t>KPW/2026/CONT-176/05</t>
  </si>
  <si>
    <t>2606-495</t>
  </si>
  <si>
    <t>KPW/2026/CONT-176/06</t>
  </si>
  <si>
    <t>2606-496</t>
  </si>
  <si>
    <t>KPW/2026/CONT-176/07</t>
  </si>
  <si>
    <t>2606-497</t>
  </si>
  <si>
    <t>KPW/2026/CONT-176/08</t>
  </si>
  <si>
    <t>2606-498</t>
  </si>
  <si>
    <t>KPW/2026/CONT-176/09</t>
  </si>
  <si>
    <t>2606-499</t>
  </si>
  <si>
    <t>KPW/2026/CONT-176/10</t>
  </si>
  <si>
    <t>WK-27</t>
  </si>
  <si>
    <t>2606-540</t>
  </si>
  <si>
    <t>NIKIFORAKIS-H.FASOURAKIS LTD</t>
  </si>
  <si>
    <t>PNHF-18-A1</t>
  </si>
  <si>
    <t>WK-31</t>
  </si>
  <si>
    <t>2606-541</t>
  </si>
  <si>
    <t>PNHF-18-B1</t>
  </si>
  <si>
    <t>2606-543</t>
  </si>
  <si>
    <t>2606-544</t>
  </si>
  <si>
    <t>2606-546</t>
  </si>
  <si>
    <t>2606-547</t>
  </si>
  <si>
    <t>80X80X85</t>
  </si>
  <si>
    <t>2606-548</t>
  </si>
  <si>
    <t>2606-549</t>
  </si>
  <si>
    <t>2606-550</t>
  </si>
  <si>
    <t>80X80X70</t>
  </si>
  <si>
    <t>2606-551</t>
  </si>
  <si>
    <t>2606-553</t>
  </si>
  <si>
    <t>FLEXOCHEM</t>
  </si>
  <si>
    <t>C-C</t>
  </si>
  <si>
    <t>COLOROBBIA</t>
  </si>
  <si>
    <t>OMEGA</t>
  </si>
  <si>
    <t>2607-048</t>
  </si>
  <si>
    <t>PO1002/90X90X75 TYPE C BAG</t>
  </si>
  <si>
    <t>90X90X75</t>
  </si>
  <si>
    <t>BAFFLE/COMPLI/TYPE C</t>
  </si>
  <si>
    <t>2607-057</t>
  </si>
  <si>
    <t>FPS FLEXIBLES UK</t>
  </si>
  <si>
    <t>POR-260711/NS902-004-O015</t>
  </si>
  <si>
    <t>2607-069</t>
  </si>
  <si>
    <t>ARCHIT ORGANIC</t>
  </si>
  <si>
    <t>AOLBD2026270157</t>
  </si>
  <si>
    <t>UPANEL/COMPLI/SULZER</t>
  </si>
  <si>
    <t>2607-070</t>
  </si>
  <si>
    <t>AOLBD2026270158</t>
  </si>
  <si>
    <t>UPANEL/COMPLI/SULZER/TYPE C</t>
  </si>
  <si>
    <t>WK-28</t>
  </si>
  <si>
    <t>2607-102</t>
  </si>
  <si>
    <t>PO-070703/KDC 5905</t>
  </si>
  <si>
    <t>PNHF-18-C1.</t>
  </si>
  <si>
    <t>PNHF-18-C2.</t>
  </si>
  <si>
    <t>PNHF-18-D1.</t>
  </si>
  <si>
    <t>PNHF-18-E1.</t>
  </si>
  <si>
    <t>PNHF-18-F1.</t>
  </si>
  <si>
    <t>PNHF-18-F2.</t>
  </si>
  <si>
    <t>PNHF-18-G1.</t>
  </si>
  <si>
    <t>PNHF-18-H1.</t>
  </si>
  <si>
    <t>PNHF-18-J1.</t>
  </si>
  <si>
    <t>2607-135</t>
  </si>
  <si>
    <t>PNHF-18-K1.</t>
  </si>
  <si>
    <t>99X99X204</t>
  </si>
  <si>
    <t>2607-136</t>
  </si>
  <si>
    <t>PNHF-18-K2.</t>
  </si>
  <si>
    <t>103X103X200</t>
  </si>
  <si>
    <t>BAFFLE/COMPLI/FDA</t>
  </si>
  <si>
    <t>2607-137</t>
  </si>
  <si>
    <t>PNHF-18-L1.</t>
  </si>
  <si>
    <t>70X70X95</t>
  </si>
  <si>
    <t>SINGLE LOOP</t>
  </si>
  <si>
    <t>1 Loop/Two Loops</t>
  </si>
  <si>
    <t>1S2C</t>
  </si>
  <si>
    <t>2607-138</t>
  </si>
  <si>
    <t>PNHF-18-L2.</t>
  </si>
  <si>
    <t>90X90X125</t>
  </si>
  <si>
    <t>2607-139</t>
  </si>
  <si>
    <t>PNHF-18-M1.</t>
  </si>
  <si>
    <t>2607-140</t>
  </si>
  <si>
    <t>PNHF-18-M2.</t>
  </si>
  <si>
    <t>DAJUSA 2002 S.L</t>
  </si>
  <si>
    <t>51237/DAJU091160CABDO80SALABLALCA</t>
  </si>
  <si>
    <t>2607-204</t>
  </si>
  <si>
    <t>51506/DAJU091100BAFP080PARAMO (CTN-122)</t>
  </si>
  <si>
    <t>WK-32</t>
  </si>
  <si>
    <t>2607-205</t>
  </si>
  <si>
    <t>51507/DAJU080090BAFP070SANANTON</t>
  </si>
  <si>
    <t>2607-206</t>
  </si>
  <si>
    <t>51384/DAJU091100BAFP070OTI</t>
  </si>
  <si>
    <t>2607-207</t>
  </si>
  <si>
    <t>51492/DAJU091100BAFP090GRIJALBA</t>
  </si>
  <si>
    <t>2607-208</t>
  </si>
  <si>
    <t>51485/DAJU091110BCFP070BILOOPS25</t>
  </si>
  <si>
    <t>2607-209</t>
  </si>
  <si>
    <t>51439/DAJU091100BAFP080FUENTEVI</t>
  </si>
  <si>
    <t>2607-210</t>
  </si>
  <si>
    <t>51442/DAJU080090BAFP070IZNAJEÑOS</t>
  </si>
  <si>
    <t>2607-211</t>
  </si>
  <si>
    <t>51475/DAJU085090BAFP070RECON</t>
  </si>
  <si>
    <t>2607-212</t>
  </si>
  <si>
    <t>51513/DAJU085090BAFP070SANMARCOS</t>
  </si>
  <si>
    <t>2607-213</t>
  </si>
  <si>
    <t>51490/DAJU095200CABD080TUBULARLOOPS30</t>
  </si>
  <si>
    <t>95X95X200</t>
  </si>
  <si>
    <t>2607-214</t>
  </si>
  <si>
    <t>51511/DAJU091130CABD070EBREGA</t>
  </si>
  <si>
    <t>91X91X130</t>
  </si>
  <si>
    <t>2607-215</t>
  </si>
  <si>
    <t>51520/DAJU091090BAFP070PAREDES</t>
  </si>
  <si>
    <t>2607-216</t>
  </si>
  <si>
    <t>51533/DAJU100220BCBD080GREENLOOPS30</t>
  </si>
  <si>
    <t>2607-217</t>
  </si>
  <si>
    <t>51537/DAJU085090BAFP070MATDOMI</t>
  </si>
  <si>
    <t>2607-218</t>
  </si>
  <si>
    <t>51536/DAJU091160BCBD070TUBULARLADPLOOPS35</t>
  </si>
  <si>
    <t>2607-219</t>
  </si>
  <si>
    <t>51530/DAJU110220CABD090SAACIBERICA6:1</t>
  </si>
  <si>
    <t>110X110X220</t>
  </si>
  <si>
    <t>BAFFLE/COMPLI/TYPE B</t>
  </si>
  <si>
    <t>2607-220</t>
  </si>
  <si>
    <t>51530/DAJU110160CABD070QBAGLAMINADO</t>
  </si>
  <si>
    <t>110X110X160</t>
  </si>
  <si>
    <t>2607-221</t>
  </si>
  <si>
    <t>51540/DAJU080085BAFP070CUADROS</t>
  </si>
  <si>
    <t>51351/DAJU085090BAFPO70CERDANY</t>
  </si>
  <si>
    <t>SADLEIRS PACKAGING AUSTRALIA</t>
  </si>
  <si>
    <t>51291/DAJU085090BAFPO70ARIMANY</t>
  </si>
  <si>
    <t>SACOS DURCAL S.A</t>
  </si>
  <si>
    <t>B</t>
  </si>
  <si>
    <t>WK-29</t>
  </si>
  <si>
    <t>2607-412</t>
  </si>
  <si>
    <t>111068050/50048687</t>
  </si>
  <si>
    <t>51327/DAJU091110CABD070LOOP</t>
  </si>
  <si>
    <t>51533DAJU100220BCBB080GREE</t>
  </si>
  <si>
    <t>51217/DAJU080110BAFPO90CURRUCHO</t>
  </si>
  <si>
    <t>2607-553</t>
  </si>
  <si>
    <t>51582/DAJU085090BAFP070BERNIER (CTN-123)</t>
  </si>
  <si>
    <t xml:space="preserve">2S3C </t>
  </si>
  <si>
    <t>WK-34</t>
  </si>
  <si>
    <t>2607-554</t>
  </si>
  <si>
    <t>51510/DAJU091090BAFP070ROMO</t>
  </si>
  <si>
    <t>2607-555</t>
  </si>
  <si>
    <t>51578/DAJU100200CAFP070LOOPS30</t>
  </si>
  <si>
    <t>100X100X200</t>
  </si>
  <si>
    <t>2607-556</t>
  </si>
  <si>
    <t>51575/DAJU080080BAFP070SUMEX</t>
  </si>
  <si>
    <t>2607-557</t>
  </si>
  <si>
    <t>51568/DAJU080080BAFP070ALPAMI</t>
  </si>
  <si>
    <t>2607-558</t>
  </si>
  <si>
    <t>51525/DAJU080090BAFP070COSTAGRES</t>
  </si>
  <si>
    <t>2607-559</t>
  </si>
  <si>
    <t>51531/DAJU085090BAFP070OUT</t>
  </si>
  <si>
    <t>2607-560</t>
  </si>
  <si>
    <t>51538/DAJU085090BAFP070CHICO</t>
  </si>
  <si>
    <t>4S4C</t>
  </si>
  <si>
    <t>2607-561</t>
  </si>
  <si>
    <t>51570/DAJU091180CABD070LOOPS30</t>
  </si>
  <si>
    <t>2607-562</t>
  </si>
  <si>
    <t>51566/DAJU091160CABD080LOOPS30</t>
  </si>
  <si>
    <t>2607-563</t>
  </si>
  <si>
    <t>51572/DAJU091120CAFP070BILOOPS30</t>
  </si>
  <si>
    <t>2607-564</t>
  </si>
  <si>
    <t>51553/DAJU095185BAFP090LOOPS25</t>
  </si>
  <si>
    <t>95X95X185</t>
  </si>
  <si>
    <t>2607-565</t>
  </si>
  <si>
    <t>51554/DAJU095190TABD070LOOPS25</t>
  </si>
  <si>
    <t>95X95X190</t>
  </si>
  <si>
    <t>2607-566</t>
  </si>
  <si>
    <t>51590/DAJU091100BAFP070ALLERNEW</t>
  </si>
  <si>
    <t>2607-567</t>
  </si>
  <si>
    <t>51585/DAJU091120CABD080LOOPS35</t>
  </si>
  <si>
    <t>2607-568</t>
  </si>
  <si>
    <t>51595/DAJU091140CABD090LOOPS30</t>
  </si>
  <si>
    <t>91X91X140</t>
  </si>
  <si>
    <t>2607-569</t>
  </si>
  <si>
    <t>51599/DAJU091090BAFP070RECOTOZE</t>
  </si>
  <si>
    <t>2S4C</t>
  </si>
  <si>
    <t>2607-570</t>
  </si>
  <si>
    <t>51596/DAJU091090BAFP080GELATZU</t>
  </si>
  <si>
    <t>2607-571</t>
  </si>
  <si>
    <t>51576/DAJU085090BAFP070ORESTES</t>
  </si>
  <si>
    <t>2607-572</t>
  </si>
  <si>
    <t>51600/DAJU100150CABD080LOOPS30</t>
  </si>
  <si>
    <t>100X100X150</t>
  </si>
  <si>
    <t>PO-67345/KDC 5905</t>
  </si>
  <si>
    <t>51485/DAJU091110BCFP070BILOO</t>
  </si>
  <si>
    <t>2607-697</t>
  </si>
  <si>
    <t>23-07-2026 (01)</t>
  </si>
  <si>
    <t>BAFFLE/4PANEL/X-CORNER</t>
  </si>
  <si>
    <t>Q-Bag/X-Corner</t>
  </si>
  <si>
    <t>UNRINTED</t>
  </si>
  <si>
    <t>2607-698</t>
  </si>
  <si>
    <t>23-07-2026 (02)</t>
  </si>
  <si>
    <t>105X105X140</t>
  </si>
  <si>
    <t>2607-699</t>
  </si>
  <si>
    <t>23-07-2026 (03)</t>
  </si>
  <si>
    <t>P.NIKIFORNKIS H.FASOURAKIS LTD</t>
  </si>
  <si>
    <t>PNHF-18-MI.</t>
  </si>
  <si>
    <t>U+2-C-C</t>
  </si>
  <si>
    <t>51384/DAJU091100BAFPO70OTI</t>
  </si>
  <si>
    <t>2608-023</t>
  </si>
  <si>
    <t>KPW/2026/CONT-177/01</t>
  </si>
  <si>
    <t>WK-36</t>
  </si>
  <si>
    <t>2608-024</t>
  </si>
  <si>
    <t>KPW/2026/CONT-177/02</t>
  </si>
  <si>
    <t>2608-025</t>
  </si>
  <si>
    <t>KPW/2026/CONT-177/03</t>
  </si>
  <si>
    <t>2608-026</t>
  </si>
  <si>
    <t>KPW/2026/CONT-177/04</t>
  </si>
  <si>
    <t>2608-027</t>
  </si>
  <si>
    <t>KPW/2026/CONT-177/05</t>
  </si>
  <si>
    <t>2608-028</t>
  </si>
  <si>
    <t>KPW/2026/CONT-177/06</t>
  </si>
  <si>
    <t>2608-029</t>
  </si>
  <si>
    <t>KPW/2026/CONT-177/07</t>
  </si>
  <si>
    <t>2608-030</t>
  </si>
  <si>
    <t>KPW/2026/CONT-177/08</t>
  </si>
  <si>
    <t>2608-031</t>
  </si>
  <si>
    <t>KPW/2026/CONT-177/09</t>
  </si>
  <si>
    <t>2608-032</t>
  </si>
  <si>
    <t>KPW/2026/CONT-177/10</t>
  </si>
  <si>
    <t>2608-033</t>
  </si>
  <si>
    <t>KPW/2026/CONT-177/11</t>
  </si>
  <si>
    <t>2608-034</t>
  </si>
  <si>
    <t>KPW/2026/CONT-177/12</t>
  </si>
  <si>
    <t>2608-035</t>
  </si>
  <si>
    <t>KPW/2026/CONT-177/13</t>
  </si>
  <si>
    <t>2608-036</t>
  </si>
  <si>
    <t>KPW/2026/CONT-177/14</t>
  </si>
  <si>
    <t>90X90X150</t>
  </si>
  <si>
    <t>2608-037</t>
  </si>
  <si>
    <t>KPW/2026/CONT-177/15</t>
  </si>
  <si>
    <t>2608-038</t>
  </si>
  <si>
    <t>KPW/2026/CONT-177/16</t>
  </si>
  <si>
    <t>100X100X230</t>
  </si>
  <si>
    <t>FIBCO/PO/2026/0069/JBPL/CIR135</t>
  </si>
  <si>
    <t>84X84X72</t>
  </si>
  <si>
    <t>2605-422</t>
  </si>
  <si>
    <t>P.NIKIFORAKIS</t>
  </si>
  <si>
    <t>PNHF-18-AI</t>
  </si>
  <si>
    <t>51507/DAJU080090BAFP070SANA</t>
  </si>
  <si>
    <t>51506/DAJU091100BAFP080PARA</t>
  </si>
  <si>
    <t>FIBCO/PO/2026/0069/JBPL/CIR/135</t>
  </si>
  <si>
    <t>1S3C</t>
  </si>
  <si>
    <t>51572/DAJU091120CAFP070BILOO</t>
  </si>
  <si>
    <t>51595/DAJU091140CABD090LOOP</t>
  </si>
  <si>
    <t>2608-125</t>
  </si>
  <si>
    <t>51245/DAJU091160CABD070LOOPS30</t>
  </si>
  <si>
    <t>2608-126</t>
  </si>
  <si>
    <t>51603/DAJU091100BAFP080CROSS</t>
  </si>
  <si>
    <t>2608-127</t>
  </si>
  <si>
    <t>51658/DAJU110120CABD100DPCYLTEFF</t>
  </si>
  <si>
    <t>110X110X120</t>
  </si>
  <si>
    <t>2608-128</t>
  </si>
  <si>
    <t xml:space="preserve">51687/DAJU100170BAFP070LOOPS30 </t>
  </si>
  <si>
    <t>100X100X170</t>
  </si>
  <si>
    <t>2608-129</t>
  </si>
  <si>
    <t>51667/DAJU091160CABD080CLEANLOOPS30</t>
  </si>
  <si>
    <t>2608-130</t>
  </si>
  <si>
    <t>51665/DAJU091120CAFP070LOOPS30</t>
  </si>
  <si>
    <t>2608-131</t>
  </si>
  <si>
    <t>51478/DAJU091100BAFP070LOOPS30</t>
  </si>
  <si>
    <t>2608-132</t>
  </si>
  <si>
    <t>51660/DAJU050070115BAFP070LOOPS25</t>
  </si>
  <si>
    <t>50X70X115</t>
  </si>
  <si>
    <t>2608-133</t>
  </si>
  <si>
    <t>51696/DAJU091090BAFP070HIMABISA</t>
  </si>
  <si>
    <t>2608-134</t>
  </si>
  <si>
    <t>51452/DAJU091120CABD070YEMACONSA</t>
  </si>
  <si>
    <t>2608-135</t>
  </si>
  <si>
    <t>51709/DAJU091090BAFP070SOPAM</t>
  </si>
  <si>
    <t>2608-136</t>
  </si>
  <si>
    <t>51714/DAJU091100BABD070CITRICOS</t>
  </si>
  <si>
    <t>2608-137</t>
  </si>
  <si>
    <t>51705/DAJU091120CABD070LOOPS30</t>
  </si>
  <si>
    <t>2608-138</t>
  </si>
  <si>
    <t>51699/DAJU091090BAFP070LOOPS45</t>
  </si>
  <si>
    <t>2608-139</t>
  </si>
  <si>
    <t>51712/DAJU080090BAFP070LOOPS40</t>
  </si>
  <si>
    <t>ARCHIT ORGANOS YS</t>
  </si>
  <si>
    <t>AOLBBD2026270157</t>
  </si>
  <si>
    <t>51566/DAJU091160CABD080LOOP</t>
  </si>
  <si>
    <t>-</t>
  </si>
  <si>
    <t>TCL INTERMEDIATES PRIVATE LIMITED</t>
  </si>
  <si>
    <t>2720446/01</t>
  </si>
  <si>
    <t>95X95X85</t>
  </si>
  <si>
    <t>BELGIUM GLASS &amp; CERAMICS PVT LTD</t>
  </si>
  <si>
    <t>HPBLV/SER/26-27/69</t>
  </si>
  <si>
    <t>51570/JAJU091180CABD070LOOP</t>
  </si>
  <si>
    <t>51585/DAJU091120CABD080LOOP</t>
  </si>
  <si>
    <t>51513/DAJU085090BAFP070SANMARO</t>
  </si>
  <si>
    <t>51475/DAJU085090BAFP070RECO</t>
  </si>
  <si>
    <t>51520/DAJU091090BAFP070PAREDEH</t>
  </si>
  <si>
    <t>PNHF-18-F1</t>
  </si>
  <si>
    <t>PNHF-18-F2</t>
  </si>
  <si>
    <t>PNHF-18-DI.</t>
  </si>
  <si>
    <t>SADLELRS PACKAGING AUSTRALLA</t>
  </si>
  <si>
    <t xml:space="preserve">P.KINIFORAKIS </t>
  </si>
  <si>
    <t>PNHF-18-K I.</t>
  </si>
  <si>
    <t>SACOS DURCL S.A</t>
  </si>
  <si>
    <t>91X91X118</t>
  </si>
  <si>
    <t>51439/DAJU091100BAFP080FUEN</t>
  </si>
  <si>
    <t>51322/DAJU10085BCBD080DPTUBULAR</t>
  </si>
  <si>
    <t>51537/DAJU085090BAFP070MATD</t>
  </si>
  <si>
    <t>BELGIUM GLASS &amp; CERAMICS PVT L</t>
  </si>
  <si>
    <t>2608-335</t>
  </si>
  <si>
    <t>UNITED</t>
  </si>
  <si>
    <t>PO-23JULY</t>
  </si>
  <si>
    <t>Q-BAG-C-C</t>
  </si>
  <si>
    <t>105X105X125</t>
  </si>
  <si>
    <t>51590/DAJU091100BAFO070ALLE</t>
  </si>
  <si>
    <t>51582/DAJU085090BAFP070BERNIER</t>
  </si>
  <si>
    <t xml:space="preserve">P.NIKIFORAKIS </t>
  </si>
  <si>
    <t>51540/DAJU080085BAFP070CUAD</t>
  </si>
  <si>
    <t>2602-221</t>
  </si>
  <si>
    <t>2608-376</t>
  </si>
  <si>
    <t>BGCPL/02/SER/26-27</t>
  </si>
  <si>
    <t>51596/DAJU091090BAFP080GELA</t>
  </si>
  <si>
    <t>51699/DAJU091090BAFP070LOOP</t>
  </si>
  <si>
    <t>51530/DAJU110220CABD090SAAC</t>
  </si>
  <si>
    <t>FPS FLEXIBLES UK LTD</t>
  </si>
  <si>
    <t>2608-414</t>
  </si>
  <si>
    <t>PO-072706/IBR 1299 D</t>
  </si>
  <si>
    <t>2608-415</t>
  </si>
  <si>
    <t>PO-072706/IBR 66 D</t>
  </si>
  <si>
    <t>2608-416</t>
  </si>
  <si>
    <t>PO-072708/IBR 1299 D</t>
  </si>
  <si>
    <t>2608-417</t>
  </si>
  <si>
    <t>PO-072675/IBR 1096 D</t>
  </si>
  <si>
    <t>90X90X60</t>
  </si>
  <si>
    <t>2608-418</t>
  </si>
  <si>
    <t>PO-072675/IBR 1299 D</t>
  </si>
  <si>
    <t>2608-419</t>
  </si>
  <si>
    <t>PO-072675/IBR 66 D</t>
  </si>
  <si>
    <t>2608-420</t>
  </si>
  <si>
    <t>PO-072709/IBR 1299 D</t>
  </si>
  <si>
    <t>2608-421</t>
  </si>
  <si>
    <t>PO-072709/IBR 15912 D</t>
  </si>
  <si>
    <t>2608-422</t>
  </si>
  <si>
    <t>PO-072709/IBR 66 D</t>
  </si>
  <si>
    <t>2608-423</t>
  </si>
  <si>
    <t>PO-072622/CS DC 12980</t>
  </si>
  <si>
    <t>90X90X80</t>
  </si>
  <si>
    <t>WK-38</t>
  </si>
  <si>
    <t xml:space="preserve">Month </t>
  </si>
  <si>
    <t>Feb</t>
  </si>
  <si>
    <t>March</t>
  </si>
  <si>
    <t>April</t>
  </si>
  <si>
    <t>May</t>
  </si>
  <si>
    <t>June</t>
  </si>
  <si>
    <t>July</t>
  </si>
  <si>
    <t>August</t>
  </si>
  <si>
    <t>(Multiple Items)</t>
  </si>
  <si>
    <t>0.6-0.8</t>
  </si>
  <si>
    <t>0.8-1</t>
  </si>
  <si>
    <t>1-1.2</t>
  </si>
  <si>
    <t>1.2-1.4</t>
  </si>
  <si>
    <t>1.4-1.6</t>
  </si>
  <si>
    <t>1.6-1.8</t>
  </si>
  <si>
    <t>1.8-2</t>
  </si>
  <si>
    <t>2-2.2</t>
  </si>
  <si>
    <t>2.2-2.4</t>
  </si>
  <si>
    <t>2.4-2.6</t>
  </si>
  <si>
    <t>2.8-3</t>
  </si>
  <si>
    <t>3.2-3.4</t>
  </si>
  <si>
    <t>3.4-3.6</t>
  </si>
  <si>
    <t>4-4.2</t>
  </si>
  <si>
    <t>%</t>
  </si>
  <si>
    <t xml:space="preserve">Range in kgs / pc  </t>
  </si>
  <si>
    <t>0.6-1</t>
  </si>
  <si>
    <t>1-1.4</t>
  </si>
  <si>
    <t>1.4-1.8</t>
  </si>
  <si>
    <t>1.8-2.2</t>
  </si>
  <si>
    <t>2.2-2.6</t>
  </si>
  <si>
    <t>2.6-3</t>
  </si>
  <si>
    <t>3-3.4</t>
  </si>
  <si>
    <t>3.4-3.8</t>
  </si>
  <si>
    <t>3.8-4.2</t>
  </si>
  <si>
    <t xml:space="preserve">Price in USD </t>
  </si>
  <si>
    <t xml:space="preserve">Price in euro </t>
  </si>
  <si>
    <t xml:space="preserve">Price in INR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</si>
</sst>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/m/yy;@"/>
    <numFmt numFmtId="165" formatCode="0.0%"/>
  </numFmts>
  <fonts count="4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rgb="FF0D0D0D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10"/>
      <color rgb="FF0D0D0D"/>
      <name val="Arial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Congenial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13" fillId="0" borderId="0">
      <alignment vertical="center"/>
    </xf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9" fontId="13" fillId="0" borderId="0" applyFont="0" applyFill="0" applyBorder="0" applyAlignment="0" applyProtection="0"/>
  </cellStyleXfs>
  <cellXfs count="301">
    <xf numFmtId="0" fontId="0" fillId="0" borderId="0" xfId="0">
      <alignment vertical="center"/>
    </xf>
    <xf numFmtId="3" fontId="14" fillId="0" borderId="0" xfId="0" applyNumberFormat="1" applyFont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25" fillId="0" borderId="3" xfId="0" applyNumberFormat="1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/>
    </xf>
    <xf numFmtId="3" fontId="14" fillId="0" borderId="3" xfId="0" applyNumberFormat="1" applyFont="1" applyBorder="1" applyAlignment="1">
      <alignment horizontal="left" vertical="center"/>
    </xf>
    <xf numFmtId="14" fontId="33" fillId="0" borderId="7" xfId="0" applyNumberFormat="1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14" fontId="35" fillId="0" borderId="10" xfId="0" applyNumberFormat="1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14" fontId="35" fillId="0" borderId="7" xfId="0" applyNumberFormat="1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3" fontId="18" fillId="0" borderId="3" xfId="0" applyNumberFormat="1" applyFont="1" applyBorder="1" applyAlignment="1">
      <alignment horizontal="left" vertical="center"/>
    </xf>
    <xf numFmtId="3" fontId="18" fillId="0" borderId="3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3" fontId="29" fillId="0" borderId="3" xfId="0" applyNumberFormat="1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3" fontId="14" fillId="0" borderId="2" xfId="0" applyNumberFormat="1" applyFont="1" applyBorder="1" applyAlignment="1">
      <alignment horizontal="left" vertical="center"/>
    </xf>
    <xf numFmtId="0" fontId="25" fillId="0" borderId="3" xfId="0" applyFont="1" applyBorder="1" applyAlignment="1">
      <alignment horizontal="left"/>
    </xf>
    <xf numFmtId="0" fontId="35" fillId="0" borderId="5" xfId="0" applyFont="1" applyBorder="1" applyAlignment="1">
      <alignment horizontal="left" vertical="center"/>
    </xf>
    <xf numFmtId="0" fontId="34" fillId="0" borderId="3" xfId="2" applyFont="1" applyBorder="1" applyAlignment="1">
      <alignment horizontal="left" vertical="center"/>
    </xf>
    <xf numFmtId="0" fontId="37" fillId="0" borderId="1" xfId="2" applyFont="1" applyBorder="1" applyAlignment="1">
      <alignment horizontal="left" vertical="center"/>
    </xf>
    <xf numFmtId="0" fontId="37" fillId="0" borderId="3" xfId="2" applyFont="1" applyBorder="1" applyAlignment="1">
      <alignment horizontal="left" vertical="center"/>
    </xf>
    <xf numFmtId="0" fontId="37" fillId="0" borderId="12" xfId="2" applyFont="1" applyBorder="1" applyAlignment="1">
      <alignment horizontal="left" vertical="center"/>
    </xf>
    <xf numFmtId="0" fontId="34" fillId="0" borderId="4" xfId="2" applyFont="1" applyBorder="1" applyAlignment="1">
      <alignment horizontal="left" vertical="center"/>
    </xf>
    <xf numFmtId="14" fontId="33" fillId="0" borderId="10" xfId="0" applyNumberFormat="1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0" fontId="37" fillId="0" borderId="12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/>
    </xf>
    <xf numFmtId="1" fontId="0" fillId="0" borderId="0" xfId="0" applyNumberFormat="1">
      <alignment vertical="center"/>
    </xf>
    <xf numFmtId="0" fontId="34" fillId="0" borderId="12" xfId="0" applyFont="1" applyBorder="1" applyAlignment="1">
      <alignment horizontal="left" vertical="center"/>
    </xf>
    <xf numFmtId="0" fontId="34" fillId="0" borderId="3" xfId="3" applyFont="1" applyBorder="1" applyAlignment="1">
      <alignment horizontal="left" vertical="center"/>
    </xf>
    <xf numFmtId="0" fontId="37" fillId="0" borderId="1" xfId="3" applyFont="1" applyBorder="1" applyAlignment="1">
      <alignment horizontal="left" vertical="center"/>
    </xf>
    <xf numFmtId="0" fontId="37" fillId="0" borderId="12" xfId="3" applyFont="1" applyBorder="1" applyAlignment="1">
      <alignment horizontal="left" vertical="center"/>
    </xf>
    <xf numFmtId="0" fontId="34" fillId="0" borderId="4" xfId="3" applyFont="1" applyBorder="1" applyAlignment="1">
      <alignment horizontal="left" vertical="center"/>
    </xf>
    <xf numFmtId="14" fontId="38" fillId="0" borderId="10" xfId="0" applyNumberFormat="1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4" fontId="38" fillId="0" borderId="7" xfId="0" applyNumberFormat="1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4" fillId="0" borderId="3" xfId="4" applyFont="1" applyBorder="1" applyAlignment="1">
      <alignment horizontal="left" vertical="center"/>
    </xf>
    <xf numFmtId="0" fontId="37" fillId="0" borderId="1" xfId="4" applyFont="1" applyBorder="1" applyAlignment="1">
      <alignment horizontal="left" vertical="center"/>
    </xf>
    <xf numFmtId="0" fontId="37" fillId="0" borderId="12" xfId="4" applyFont="1" applyBorder="1" applyAlignment="1">
      <alignment horizontal="left" vertical="center"/>
    </xf>
    <xf numFmtId="0" fontId="34" fillId="0" borderId="4" xfId="4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1" fontId="34" fillId="0" borderId="3" xfId="0" applyNumberFormat="1" applyFont="1" applyBorder="1" applyAlignment="1">
      <alignment horizontal="left" vertical="center"/>
    </xf>
    <xf numFmtId="0" fontId="34" fillId="0" borderId="3" xfId="5" applyFont="1" applyBorder="1" applyAlignment="1">
      <alignment horizontal="left" vertical="center"/>
    </xf>
    <xf numFmtId="0" fontId="37" fillId="0" borderId="1" xfId="5" applyFont="1" applyBorder="1" applyAlignment="1">
      <alignment horizontal="left" vertical="center"/>
    </xf>
    <xf numFmtId="0" fontId="37" fillId="0" borderId="12" xfId="5" applyFont="1" applyBorder="1" applyAlignment="1">
      <alignment horizontal="left" vertical="center"/>
    </xf>
    <xf numFmtId="0" fontId="34" fillId="0" borderId="4" xfId="5" applyFont="1" applyBorder="1" applyAlignment="1">
      <alignment horizontal="left" vertical="center"/>
    </xf>
    <xf numFmtId="0" fontId="37" fillId="0" borderId="3" xfId="5" applyFont="1" applyBorder="1" applyAlignment="1">
      <alignment horizontal="left" vertical="center"/>
    </xf>
    <xf numFmtId="0" fontId="37" fillId="0" borderId="12" xfId="6" applyFont="1" applyBorder="1" applyAlignment="1">
      <alignment horizontal="left" vertical="center"/>
    </xf>
    <xf numFmtId="0" fontId="34" fillId="0" borderId="4" xfId="6" applyFont="1" applyBorder="1" applyAlignment="1">
      <alignment horizontal="left" vertical="center"/>
    </xf>
    <xf numFmtId="0" fontId="34" fillId="0" borderId="3" xfId="6" applyFont="1" applyBorder="1" applyAlignment="1">
      <alignment horizontal="left" vertical="center"/>
    </xf>
    <xf numFmtId="0" fontId="37" fillId="0" borderId="1" xfId="6" applyFont="1" applyBorder="1" applyAlignment="1">
      <alignment horizontal="left" vertical="center"/>
    </xf>
    <xf numFmtId="0" fontId="37" fillId="0" borderId="4" xfId="6" applyFont="1" applyBorder="1" applyAlignment="1">
      <alignment horizontal="left" vertical="center"/>
    </xf>
    <xf numFmtId="0" fontId="37" fillId="0" borderId="12" xfId="7" applyFont="1" applyBorder="1" applyAlignment="1">
      <alignment horizontal="left" vertical="center"/>
    </xf>
    <xf numFmtId="0" fontId="34" fillId="0" borderId="4" xfId="7" applyFont="1" applyBorder="1" applyAlignment="1">
      <alignment horizontal="left" vertical="center"/>
    </xf>
    <xf numFmtId="0" fontId="34" fillId="0" borderId="3" xfId="7" applyFont="1" applyBorder="1" applyAlignment="1">
      <alignment horizontal="left" vertical="center"/>
    </xf>
    <xf numFmtId="0" fontId="37" fillId="0" borderId="1" xfId="7" applyFont="1" applyBorder="1" applyAlignment="1">
      <alignment horizontal="left" vertical="center"/>
    </xf>
    <xf numFmtId="0" fontId="37" fillId="0" borderId="4" xfId="7" applyFont="1" applyBorder="1" applyAlignment="1">
      <alignment horizontal="left" vertical="center"/>
    </xf>
    <xf numFmtId="0" fontId="37" fillId="0" borderId="3" xfId="7" applyFont="1" applyBorder="1" applyAlignment="1">
      <alignment horizontal="left" vertical="center"/>
    </xf>
    <xf numFmtId="0" fontId="34" fillId="0" borderId="3" xfId="8" applyFont="1" applyBorder="1" applyAlignment="1">
      <alignment horizontal="left" vertical="center"/>
    </xf>
    <xf numFmtId="0" fontId="37" fillId="0" borderId="12" xfId="8" applyFont="1" applyBorder="1" applyAlignment="1">
      <alignment horizontal="left" vertical="center"/>
    </xf>
    <xf numFmtId="0" fontId="34" fillId="0" borderId="4" xfId="8" applyFont="1" applyBorder="1" applyAlignment="1">
      <alignment horizontal="left" vertical="center"/>
    </xf>
    <xf numFmtId="0" fontId="37" fillId="0" borderId="4" xfId="8" applyFont="1" applyBorder="1" applyAlignment="1">
      <alignment horizontal="left" vertical="center"/>
    </xf>
    <xf numFmtId="0" fontId="37" fillId="0" borderId="12" xfId="9" applyFont="1" applyBorder="1" applyAlignment="1">
      <alignment horizontal="left" vertical="center"/>
    </xf>
    <xf numFmtId="0" fontId="34" fillId="0" borderId="4" xfId="9" applyFont="1" applyBorder="1" applyAlignment="1">
      <alignment horizontal="left" vertical="center"/>
    </xf>
    <xf numFmtId="0" fontId="37" fillId="0" borderId="1" xfId="9" applyFont="1" applyBorder="1" applyAlignment="1">
      <alignment horizontal="left" vertical="center"/>
    </xf>
    <xf numFmtId="0" fontId="37" fillId="0" borderId="3" xfId="9" applyFont="1" applyBorder="1" applyAlignment="1">
      <alignment horizontal="left" vertical="center"/>
    </xf>
    <xf numFmtId="0" fontId="37" fillId="0" borderId="12" xfId="10" applyFont="1" applyBorder="1" applyAlignment="1">
      <alignment horizontal="left" vertical="center"/>
    </xf>
    <xf numFmtId="0" fontId="34" fillId="0" borderId="4" xfId="10" applyFont="1" applyBorder="1" applyAlignment="1">
      <alignment horizontal="left" vertical="center"/>
    </xf>
    <xf numFmtId="0" fontId="37" fillId="0" borderId="12" xfId="11" applyFont="1" applyBorder="1" applyAlignment="1">
      <alignment horizontal="left" vertical="center"/>
    </xf>
    <xf numFmtId="0" fontId="34" fillId="0" borderId="4" xfId="11" applyFont="1" applyBorder="1" applyAlignment="1">
      <alignment horizontal="left" vertical="center"/>
    </xf>
    <xf numFmtId="0" fontId="37" fillId="0" borderId="4" xfId="11" applyFont="1" applyBorder="1" applyAlignment="1">
      <alignment horizontal="left" vertical="center"/>
    </xf>
    <xf numFmtId="0" fontId="37" fillId="0" borderId="12" xfId="12" applyFont="1" applyBorder="1" applyAlignment="1">
      <alignment horizontal="left" vertical="center"/>
    </xf>
    <xf numFmtId="0" fontId="34" fillId="0" borderId="4" xfId="12" applyFont="1" applyBorder="1" applyAlignment="1">
      <alignment horizontal="left" vertical="center"/>
    </xf>
    <xf numFmtId="0" fontId="37" fillId="0" borderId="1" xfId="12" applyFont="1" applyBorder="1" applyAlignment="1">
      <alignment horizontal="left" vertical="center"/>
    </xf>
    <xf numFmtId="0" fontId="37" fillId="0" borderId="3" xfId="12" applyFont="1" applyBorder="1" applyAlignment="1">
      <alignment horizontal="left" vertical="center"/>
    </xf>
    <xf numFmtId="14" fontId="26" fillId="0" borderId="10" xfId="0" applyNumberFormat="1" applyFont="1" applyBorder="1" applyAlignment="1">
      <alignment horizontal="center" vertical="center"/>
    </xf>
    <xf numFmtId="14" fontId="26" fillId="0" borderId="7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4" fontId="39" fillId="0" borderId="14" xfId="0" applyNumberFormat="1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center"/>
    </xf>
    <xf numFmtId="3" fontId="32" fillId="0" borderId="3" xfId="0" applyNumberFormat="1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5" borderId="3" xfId="0" applyFont="1" applyFill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33" fillId="0" borderId="8" xfId="0" applyFont="1" applyBorder="1" applyAlignment="1">
      <alignment horizontal="left" vertical="center"/>
    </xf>
    <xf numFmtId="0" fontId="37" fillId="0" borderId="3" xfId="3" applyFont="1" applyBorder="1" applyAlignment="1">
      <alignment horizontal="left" vertical="center"/>
    </xf>
    <xf numFmtId="0" fontId="37" fillId="0" borderId="3" xfId="4" applyFont="1" applyBorder="1" applyAlignment="1">
      <alignment horizontal="left" vertical="center"/>
    </xf>
    <xf numFmtId="0" fontId="37" fillId="0" borderId="4" xfId="4" applyFont="1" applyBorder="1" applyAlignment="1">
      <alignment horizontal="left" vertical="center"/>
    </xf>
    <xf numFmtId="0" fontId="37" fillId="0" borderId="3" xfId="6" applyFont="1" applyBorder="1" applyAlignment="1">
      <alignment horizontal="left" vertical="center"/>
    </xf>
    <xf numFmtId="0" fontId="34" fillId="0" borderId="12" xfId="8" applyFont="1" applyBorder="1" applyAlignment="1">
      <alignment horizontal="left" vertical="center"/>
    </xf>
    <xf numFmtId="0" fontId="37" fillId="0" borderId="4" xfId="9" applyFont="1" applyBorder="1" applyAlignment="1">
      <alignment horizontal="left" vertical="center"/>
    </xf>
    <xf numFmtId="0" fontId="34" fillId="0" borderId="12" xfId="9" applyFont="1" applyBorder="1" applyAlignment="1">
      <alignment horizontal="left" vertical="center"/>
    </xf>
    <xf numFmtId="0" fontId="37" fillId="0" borderId="4" xfId="10" applyFont="1" applyBorder="1" applyAlignment="1">
      <alignment horizontal="left" vertical="center"/>
    </xf>
    <xf numFmtId="0" fontId="34" fillId="0" borderId="12" xfId="10" applyFont="1" applyBorder="1" applyAlignment="1">
      <alignment horizontal="left" vertical="center"/>
    </xf>
    <xf numFmtId="0" fontId="34" fillId="0" borderId="12" xfId="11" applyFont="1" applyBorder="1" applyAlignment="1">
      <alignment horizontal="left" vertical="center"/>
    </xf>
    <xf numFmtId="0" fontId="37" fillId="0" borderId="4" xfId="12" applyFont="1" applyBorder="1" applyAlignment="1">
      <alignment horizontal="left" vertical="center"/>
    </xf>
    <xf numFmtId="0" fontId="34" fillId="0" borderId="12" xfId="12" applyFont="1" applyBorder="1" applyAlignment="1">
      <alignment horizontal="left" vertical="center"/>
    </xf>
    <xf numFmtId="3" fontId="15" fillId="2" borderId="3" xfId="0" applyNumberFormat="1" applyFont="1" applyFill="1" applyBorder="1" applyAlignment="1">
      <alignment horizontal="left" vertical="center" wrapText="1"/>
    </xf>
    <xf numFmtId="3" fontId="15" fillId="2" borderId="4" xfId="0" applyNumberFormat="1" applyFont="1" applyFill="1" applyBorder="1" applyAlignment="1">
      <alignment horizontal="left" vertical="center"/>
    </xf>
    <xf numFmtId="3" fontId="15" fillId="2" borderId="1" xfId="0" applyNumberFormat="1" applyFont="1" applyFill="1" applyBorder="1" applyAlignment="1">
      <alignment horizontal="left" vertical="center"/>
    </xf>
    <xf numFmtId="3" fontId="15" fillId="2" borderId="2" xfId="0" applyNumberFormat="1" applyFont="1" applyFill="1" applyBorder="1" applyAlignment="1">
      <alignment horizontal="left" vertical="center"/>
    </xf>
    <xf numFmtId="3" fontId="16" fillId="2" borderId="3" xfId="0" applyNumberFormat="1" applyFont="1" applyFill="1" applyBorder="1" applyAlignment="1">
      <alignment horizontal="left" vertical="center"/>
    </xf>
    <xf numFmtId="3" fontId="15" fillId="2" borderId="3" xfId="0" applyNumberFormat="1" applyFont="1" applyFill="1" applyBorder="1" applyAlignment="1">
      <alignment horizontal="left" vertical="center"/>
    </xf>
    <xf numFmtId="14" fontId="22" fillId="0" borderId="3" xfId="0" applyNumberFormat="1" applyFont="1" applyBorder="1" applyAlignment="1">
      <alignment horizontal="left" vertical="center"/>
    </xf>
    <xf numFmtId="3" fontId="17" fillId="0" borderId="3" xfId="0" applyNumberFormat="1" applyFont="1" applyBorder="1" applyAlignment="1">
      <alignment horizontal="left" vertical="center"/>
    </xf>
    <xf numFmtId="3" fontId="17" fillId="0" borderId="3" xfId="0" applyNumberFormat="1" applyFont="1" applyBorder="1" applyAlignment="1">
      <alignment horizontal="left"/>
    </xf>
    <xf numFmtId="0" fontId="23" fillId="3" borderId="3" xfId="0" applyFont="1" applyFill="1" applyBorder="1" applyAlignment="1">
      <alignment horizontal="left" vertical="center"/>
    </xf>
    <xf numFmtId="3" fontId="19" fillId="0" borderId="3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3" borderId="3" xfId="0" applyFont="1" applyFill="1" applyBorder="1" applyAlignment="1">
      <alignment horizontal="left" vertical="center"/>
    </xf>
    <xf numFmtId="4" fontId="17" fillId="0" borderId="3" xfId="0" applyNumberFormat="1" applyFont="1" applyBorder="1" applyAlignment="1">
      <alignment horizontal="left" vertical="center"/>
    </xf>
    <xf numFmtId="3" fontId="19" fillId="3" borderId="3" xfId="0" applyNumberFormat="1" applyFont="1" applyFill="1" applyBorder="1" applyAlignment="1">
      <alignment horizontal="left" vertical="center"/>
    </xf>
    <xf numFmtId="3" fontId="17" fillId="3" borderId="3" xfId="0" applyNumberFormat="1" applyFont="1" applyFill="1" applyBorder="1" applyAlignment="1">
      <alignment horizontal="left" vertical="center"/>
    </xf>
    <xf numFmtId="3" fontId="22" fillId="0" borderId="0" xfId="0" applyNumberFormat="1" applyFont="1" applyAlignment="1">
      <alignment horizontal="left" vertical="center"/>
    </xf>
    <xf numFmtId="164" fontId="22" fillId="0" borderId="3" xfId="0" applyNumberFormat="1" applyFont="1" applyBorder="1" applyAlignment="1">
      <alignment horizontal="left" vertical="center"/>
    </xf>
    <xf numFmtId="3" fontId="19" fillId="0" borderId="3" xfId="0" applyNumberFormat="1" applyFont="1" applyBorder="1" applyAlignment="1">
      <alignment horizontal="left" vertical="center" wrapText="1"/>
    </xf>
    <xf numFmtId="164" fontId="14" fillId="0" borderId="3" xfId="0" applyNumberFormat="1" applyFont="1" applyBorder="1" applyAlignment="1">
      <alignment horizontal="left" vertical="center"/>
    </xf>
    <xf numFmtId="4" fontId="14" fillId="0" borderId="3" xfId="0" applyNumberFormat="1" applyFont="1" applyBorder="1" applyAlignment="1">
      <alignment horizontal="left" vertical="center"/>
    </xf>
    <xf numFmtId="164" fontId="27" fillId="0" borderId="3" xfId="0" applyNumberFormat="1" applyFont="1" applyBorder="1" applyAlignment="1">
      <alignment horizontal="left" vertical="center"/>
    </xf>
    <xf numFmtId="3" fontId="28" fillId="0" borderId="3" xfId="0" applyNumberFormat="1" applyFont="1" applyBorder="1" applyAlignment="1">
      <alignment horizontal="left" vertical="center"/>
    </xf>
    <xf numFmtId="3" fontId="28" fillId="0" borderId="3" xfId="0" applyNumberFormat="1" applyFont="1" applyBorder="1" applyAlignment="1">
      <alignment horizontal="left"/>
    </xf>
    <xf numFmtId="3" fontId="29" fillId="0" borderId="3" xfId="0" applyNumberFormat="1" applyFont="1" applyBorder="1" applyAlignment="1">
      <alignment horizontal="left" vertical="center" wrapText="1"/>
    </xf>
    <xf numFmtId="3" fontId="30" fillId="0" borderId="3" xfId="0" applyNumberFormat="1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3" borderId="3" xfId="0" applyFont="1" applyFill="1" applyBorder="1" applyAlignment="1">
      <alignment horizontal="left" vertical="center"/>
    </xf>
    <xf numFmtId="4" fontId="28" fillId="0" borderId="3" xfId="0" applyNumberFormat="1" applyFont="1" applyBorder="1" applyAlignment="1">
      <alignment horizontal="left" vertical="center"/>
    </xf>
    <xf numFmtId="3" fontId="30" fillId="3" borderId="3" xfId="0" applyNumberFormat="1" applyFont="1" applyFill="1" applyBorder="1" applyAlignment="1">
      <alignment horizontal="left" vertical="center"/>
    </xf>
    <xf numFmtId="3" fontId="28" fillId="3" borderId="3" xfId="0" applyNumberFormat="1" applyFont="1" applyFill="1" applyBorder="1" applyAlignment="1">
      <alignment horizontal="left" vertical="center"/>
    </xf>
    <xf numFmtId="4" fontId="32" fillId="0" borderId="3" xfId="0" applyNumberFormat="1" applyFont="1" applyBorder="1" applyAlignment="1">
      <alignment horizontal="left" vertical="center"/>
    </xf>
    <xf numFmtId="0" fontId="26" fillId="4" borderId="3" xfId="0" applyFont="1" applyFill="1" applyBorder="1" applyAlignment="1">
      <alignment horizontal="left" vertical="center"/>
    </xf>
    <xf numFmtId="0" fontId="26" fillId="4" borderId="5" xfId="0" applyFont="1" applyFill="1" applyBorder="1" applyAlignment="1">
      <alignment horizontal="left" vertical="center"/>
    </xf>
    <xf numFmtId="164" fontId="27" fillId="0" borderId="4" xfId="0" applyNumberFormat="1" applyFont="1" applyBorder="1" applyAlignment="1">
      <alignment horizontal="left" vertical="center"/>
    </xf>
    <xf numFmtId="3" fontId="14" fillId="0" borderId="4" xfId="0" applyNumberFormat="1" applyFont="1" applyBorder="1" applyAlignment="1">
      <alignment horizontal="left" vertical="center"/>
    </xf>
    <xf numFmtId="0" fontId="26" fillId="4" borderId="6" xfId="0" applyFont="1" applyFill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3" fontId="17" fillId="0" borderId="4" xfId="0" applyNumberFormat="1" applyFont="1" applyBorder="1" applyAlignment="1">
      <alignment horizontal="left" vertical="center"/>
    </xf>
    <xf numFmtId="4" fontId="26" fillId="0" borderId="3" xfId="0" applyNumberFormat="1" applyFont="1" applyBorder="1" applyAlignment="1">
      <alignment horizontal="left" vertical="center"/>
    </xf>
    <xf numFmtId="4" fontId="26" fillId="0" borderId="6" xfId="0" applyNumberFormat="1" applyFont="1" applyBorder="1" applyAlignment="1">
      <alignment horizontal="left" vertical="center"/>
    </xf>
    <xf numFmtId="0" fontId="25" fillId="4" borderId="3" xfId="0" applyFont="1" applyFill="1" applyBorder="1" applyAlignment="1">
      <alignment horizontal="left" vertical="center"/>
    </xf>
    <xf numFmtId="4" fontId="25" fillId="0" borderId="3" xfId="0" applyNumberFormat="1" applyFont="1" applyBorder="1" applyAlignment="1">
      <alignment horizontal="left" vertical="center"/>
    </xf>
    <xf numFmtId="3" fontId="25" fillId="0" borderId="3" xfId="0" applyNumberFormat="1" applyFont="1" applyBorder="1" applyAlignment="1">
      <alignment horizontal="left" vertical="center"/>
    </xf>
    <xf numFmtId="3" fontId="26" fillId="0" borderId="3" xfId="0" applyNumberFormat="1" applyFont="1" applyBorder="1" applyAlignment="1">
      <alignment horizontal="left" vertical="center"/>
    </xf>
    <xf numFmtId="164" fontId="27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30" fillId="0" borderId="3" xfId="2" applyFont="1" applyBorder="1" applyAlignment="1">
      <alignment horizontal="left" vertical="center"/>
    </xf>
    <xf numFmtId="0" fontId="34" fillId="0" borderId="1" xfId="2" applyFont="1" applyBorder="1" applyAlignment="1">
      <alignment horizontal="left" vertical="center"/>
    </xf>
    <xf numFmtId="0" fontId="36" fillId="0" borderId="1" xfId="2" applyFont="1" applyBorder="1" applyAlignment="1">
      <alignment horizontal="left" vertical="center"/>
    </xf>
    <xf numFmtId="0" fontId="36" fillId="0" borderId="3" xfId="2" applyFont="1" applyBorder="1" applyAlignment="1">
      <alignment horizontal="left" vertical="center"/>
    </xf>
    <xf numFmtId="0" fontId="36" fillId="0" borderId="4" xfId="2" applyFont="1" applyBorder="1" applyAlignment="1">
      <alignment horizontal="left" vertical="center"/>
    </xf>
    <xf numFmtId="0" fontId="34" fillId="0" borderId="12" xfId="2" applyFont="1" applyBorder="1" applyAlignment="1">
      <alignment horizontal="left" vertical="center"/>
    </xf>
    <xf numFmtId="4" fontId="14" fillId="0" borderId="0" xfId="0" applyNumberFormat="1" applyFont="1" applyAlignment="1">
      <alignment horizontal="left" vertical="center"/>
    </xf>
    <xf numFmtId="0" fontId="34" fillId="3" borderId="3" xfId="0" applyFont="1" applyFill="1" applyBorder="1" applyAlignment="1">
      <alignment horizontal="left" vertical="center"/>
    </xf>
    <xf numFmtId="0" fontId="36" fillId="0" borderId="4" xfId="0" applyFont="1" applyBorder="1" applyAlignment="1">
      <alignment horizontal="left" vertical="center"/>
    </xf>
    <xf numFmtId="0" fontId="34" fillId="3" borderId="4" xfId="0" applyFont="1" applyFill="1" applyBorder="1" applyAlignment="1">
      <alignment horizontal="left" vertical="center"/>
    </xf>
    <xf numFmtId="0" fontId="30" fillId="0" borderId="3" xfId="3" applyFont="1" applyBorder="1" applyAlignment="1">
      <alignment horizontal="left" vertical="center"/>
    </xf>
    <xf numFmtId="0" fontId="36" fillId="0" borderId="1" xfId="3" applyFont="1" applyBorder="1" applyAlignment="1">
      <alignment horizontal="left" vertical="center"/>
    </xf>
    <xf numFmtId="0" fontId="36" fillId="0" borderId="4" xfId="3" applyFont="1" applyBorder="1" applyAlignment="1">
      <alignment horizontal="left" vertical="center"/>
    </xf>
    <xf numFmtId="0" fontId="34" fillId="0" borderId="12" xfId="3" applyFont="1" applyBorder="1" applyAlignment="1">
      <alignment horizontal="left" vertical="center"/>
    </xf>
    <xf numFmtId="0" fontId="30" fillId="0" borderId="3" xfId="4" applyFont="1" applyBorder="1" applyAlignment="1">
      <alignment horizontal="left" vertical="center"/>
    </xf>
    <xf numFmtId="0" fontId="36" fillId="0" borderId="1" xfId="4" applyFont="1" applyBorder="1" applyAlignment="1">
      <alignment horizontal="left" vertical="center"/>
    </xf>
    <xf numFmtId="0" fontId="30" fillId="0" borderId="4" xfId="4" applyFont="1" applyBorder="1" applyAlignment="1">
      <alignment horizontal="left" vertical="center"/>
    </xf>
    <xf numFmtId="0" fontId="36" fillId="0" borderId="12" xfId="4" applyFont="1" applyBorder="1" applyAlignment="1">
      <alignment horizontal="left" vertical="center"/>
    </xf>
    <xf numFmtId="0" fontId="36" fillId="0" borderId="4" xfId="4" applyFont="1" applyBorder="1" applyAlignment="1">
      <alignment horizontal="left" vertical="center"/>
    </xf>
    <xf numFmtId="0" fontId="34" fillId="0" borderId="12" xfId="4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36" fillId="0" borderId="12" xfId="0" applyFont="1" applyBorder="1" applyAlignment="1">
      <alignment horizontal="left" vertical="center"/>
    </xf>
    <xf numFmtId="0" fontId="30" fillId="0" borderId="3" xfId="5" applyFont="1" applyBorder="1" applyAlignment="1">
      <alignment horizontal="left" vertical="center"/>
    </xf>
    <xf numFmtId="0" fontId="36" fillId="0" borderId="1" xfId="5" applyFont="1" applyBorder="1" applyAlignment="1">
      <alignment horizontal="left" vertical="center"/>
    </xf>
    <xf numFmtId="0" fontId="34" fillId="3" borderId="3" xfId="5" applyFont="1" applyFill="1" applyBorder="1" applyAlignment="1">
      <alignment horizontal="left" vertical="center"/>
    </xf>
    <xf numFmtId="0" fontId="36" fillId="0" borderId="4" xfId="5" applyFont="1" applyBorder="1" applyAlignment="1">
      <alignment horizontal="left" vertical="center"/>
    </xf>
    <xf numFmtId="0" fontId="34" fillId="0" borderId="12" xfId="5" applyFont="1" applyBorder="1" applyAlignment="1">
      <alignment horizontal="left" vertical="center"/>
    </xf>
    <xf numFmtId="0" fontId="34" fillId="3" borderId="4" xfId="5" applyFont="1" applyFill="1" applyBorder="1" applyAlignment="1">
      <alignment horizontal="left" vertical="center"/>
    </xf>
    <xf numFmtId="0" fontId="30" fillId="0" borderId="4" xfId="6" applyFont="1" applyBorder="1" applyAlignment="1">
      <alignment horizontal="left" vertical="center"/>
    </xf>
    <xf numFmtId="0" fontId="36" fillId="0" borderId="12" xfId="6" applyFont="1" applyBorder="1" applyAlignment="1">
      <alignment horizontal="left" vertical="center"/>
    </xf>
    <xf numFmtId="0" fontId="36" fillId="0" borderId="4" xfId="6" applyFont="1" applyBorder="1" applyAlignment="1">
      <alignment horizontal="left" vertical="center"/>
    </xf>
    <xf numFmtId="0" fontId="34" fillId="0" borderId="12" xfId="6" applyFont="1" applyBorder="1" applyAlignment="1">
      <alignment horizontal="left" vertical="center"/>
    </xf>
    <xf numFmtId="0" fontId="30" fillId="0" borderId="3" xfId="6" applyFont="1" applyBorder="1" applyAlignment="1">
      <alignment horizontal="left" vertical="center"/>
    </xf>
    <xf numFmtId="0" fontId="36" fillId="0" borderId="1" xfId="6" applyFont="1" applyBorder="1" applyAlignment="1">
      <alignment horizontal="left" vertical="center"/>
    </xf>
    <xf numFmtId="0" fontId="30" fillId="0" borderId="4" xfId="7" applyFont="1" applyBorder="1" applyAlignment="1">
      <alignment horizontal="left" vertical="center"/>
    </xf>
    <xf numFmtId="0" fontId="36" fillId="0" borderId="12" xfId="7" applyFont="1" applyBorder="1" applyAlignment="1">
      <alignment horizontal="left" vertical="center"/>
    </xf>
    <xf numFmtId="0" fontId="34" fillId="3" borderId="4" xfId="7" applyFont="1" applyFill="1" applyBorder="1" applyAlignment="1">
      <alignment horizontal="left" vertical="center"/>
    </xf>
    <xf numFmtId="0" fontId="30" fillId="0" borderId="3" xfId="7" applyFont="1" applyBorder="1" applyAlignment="1">
      <alignment horizontal="left" vertical="center"/>
    </xf>
    <xf numFmtId="0" fontId="36" fillId="0" borderId="1" xfId="7" applyFont="1" applyBorder="1" applyAlignment="1">
      <alignment horizontal="left" vertical="center"/>
    </xf>
    <xf numFmtId="0" fontId="34" fillId="3" borderId="3" xfId="7" applyFont="1" applyFill="1" applyBorder="1" applyAlignment="1">
      <alignment horizontal="left" vertical="center"/>
    </xf>
    <xf numFmtId="0" fontId="36" fillId="0" borderId="4" xfId="7" applyFont="1" applyBorder="1" applyAlignment="1">
      <alignment horizontal="left" vertical="center"/>
    </xf>
    <xf numFmtId="0" fontId="34" fillId="0" borderId="12" xfId="7" applyFont="1" applyBorder="1" applyAlignment="1">
      <alignment horizontal="left" vertical="center"/>
    </xf>
    <xf numFmtId="0" fontId="36" fillId="0" borderId="3" xfId="7" applyFont="1" applyBorder="1" applyAlignment="1">
      <alignment horizontal="left" vertical="center"/>
    </xf>
    <xf numFmtId="3" fontId="14" fillId="0" borderId="13" xfId="0" applyNumberFormat="1" applyFont="1" applyBorder="1" applyAlignment="1">
      <alignment horizontal="left" vertical="center"/>
    </xf>
    <xf numFmtId="0" fontId="30" fillId="0" borderId="4" xfId="8" applyFont="1" applyBorder="1" applyAlignment="1">
      <alignment horizontal="left" vertical="center"/>
    </xf>
    <xf numFmtId="0" fontId="36" fillId="0" borderId="12" xfId="8" applyFont="1" applyBorder="1" applyAlignment="1">
      <alignment horizontal="left" vertical="center"/>
    </xf>
    <xf numFmtId="0" fontId="37" fillId="0" borderId="3" xfId="8" applyFont="1" applyBorder="1" applyAlignment="1">
      <alignment horizontal="left" vertical="center"/>
    </xf>
    <xf numFmtId="0" fontId="34" fillId="0" borderId="1" xfId="8" applyFont="1" applyBorder="1" applyAlignment="1">
      <alignment horizontal="left" vertical="center"/>
    </xf>
    <xf numFmtId="0" fontId="30" fillId="0" borderId="4" xfId="9" applyFont="1" applyBorder="1" applyAlignment="1">
      <alignment horizontal="left" vertical="center"/>
    </xf>
    <xf numFmtId="0" fontId="36" fillId="0" borderId="12" xfId="9" applyFont="1" applyBorder="1" applyAlignment="1">
      <alignment horizontal="left" vertical="center"/>
    </xf>
    <xf numFmtId="0" fontId="34" fillId="3" borderId="4" xfId="9" applyFont="1" applyFill="1" applyBorder="1" applyAlignment="1">
      <alignment horizontal="left" vertical="center"/>
    </xf>
    <xf numFmtId="0" fontId="36" fillId="0" borderId="4" xfId="9" applyFont="1" applyBorder="1" applyAlignment="1">
      <alignment horizontal="left" vertical="center"/>
    </xf>
    <xf numFmtId="0" fontId="30" fillId="0" borderId="3" xfId="9" applyFont="1" applyBorder="1" applyAlignment="1">
      <alignment horizontal="left" vertical="center"/>
    </xf>
    <xf numFmtId="0" fontId="36" fillId="0" borderId="1" xfId="9" applyFont="1" applyBorder="1" applyAlignment="1">
      <alignment horizontal="left" vertical="center"/>
    </xf>
    <xf numFmtId="0" fontId="34" fillId="3" borderId="3" xfId="9" applyFont="1" applyFill="1" applyBorder="1" applyAlignment="1">
      <alignment horizontal="left" vertical="center"/>
    </xf>
    <xf numFmtId="0" fontId="30" fillId="0" borderId="4" xfId="10" applyFont="1" applyBorder="1" applyAlignment="1">
      <alignment horizontal="left" vertical="center"/>
    </xf>
    <xf numFmtId="0" fontId="36" fillId="0" borderId="12" xfId="10" applyFont="1" applyBorder="1" applyAlignment="1">
      <alignment horizontal="left" vertical="center"/>
    </xf>
    <xf numFmtId="0" fontId="36" fillId="0" borderId="4" xfId="10" applyFont="1" applyBorder="1" applyAlignment="1">
      <alignment horizontal="left" vertical="center"/>
    </xf>
    <xf numFmtId="0" fontId="30" fillId="0" borderId="4" xfId="11" applyFont="1" applyBorder="1" applyAlignment="1">
      <alignment horizontal="left" vertical="center"/>
    </xf>
    <xf numFmtId="0" fontId="36" fillId="0" borderId="12" xfId="11" applyFont="1" applyBorder="1" applyAlignment="1">
      <alignment horizontal="left" vertical="center"/>
    </xf>
    <xf numFmtId="0" fontId="36" fillId="0" borderId="4" xfId="11" applyFont="1" applyBorder="1" applyAlignment="1">
      <alignment horizontal="left" vertical="center"/>
    </xf>
    <xf numFmtId="0" fontId="30" fillId="0" borderId="4" xfId="12" applyFont="1" applyBorder="1" applyAlignment="1">
      <alignment horizontal="left" vertical="center"/>
    </xf>
    <xf numFmtId="0" fontId="36" fillId="0" borderId="12" xfId="12" applyFont="1" applyBorder="1" applyAlignment="1">
      <alignment horizontal="left" vertical="center"/>
    </xf>
    <xf numFmtId="0" fontId="34" fillId="3" borderId="4" xfId="12" applyFont="1" applyFill="1" applyBorder="1" applyAlignment="1">
      <alignment horizontal="left" vertical="center"/>
    </xf>
    <xf numFmtId="0" fontId="30" fillId="0" borderId="3" xfId="12" applyFont="1" applyBorder="1" applyAlignment="1">
      <alignment horizontal="left" vertical="center"/>
    </xf>
    <xf numFmtId="0" fontId="36" fillId="0" borderId="1" xfId="12" applyFont="1" applyBorder="1" applyAlignment="1">
      <alignment horizontal="left" vertical="center"/>
    </xf>
    <xf numFmtId="0" fontId="34" fillId="3" borderId="3" xfId="12" applyFont="1" applyFill="1" applyBorder="1" applyAlignment="1">
      <alignment horizontal="left" vertical="center"/>
    </xf>
    <xf numFmtId="0" fontId="34" fillId="0" borderId="3" xfId="12" applyFont="1" applyBorder="1" applyAlignment="1">
      <alignment horizontal="left" vertical="center"/>
    </xf>
    <xf numFmtId="0" fontId="34" fillId="0" borderId="3" xfId="10" applyFont="1" applyBorder="1" applyAlignment="1">
      <alignment horizontal="left" vertical="center"/>
    </xf>
    <xf numFmtId="0" fontId="34" fillId="0" borderId="3" xfId="13" applyFont="1" applyBorder="1" applyAlignment="1">
      <alignment horizontal="left" vertical="center"/>
    </xf>
    <xf numFmtId="0" fontId="37" fillId="0" borderId="1" xfId="13" applyFont="1" applyBorder="1" applyAlignment="1">
      <alignment horizontal="left" vertical="center"/>
    </xf>
    <xf numFmtId="0" fontId="37" fillId="0" borderId="12" xfId="13" applyFont="1" applyBorder="1" applyAlignment="1">
      <alignment horizontal="left" vertical="center"/>
    </xf>
    <xf numFmtId="0" fontId="34" fillId="0" borderId="4" xfId="13" applyFont="1" applyBorder="1" applyAlignment="1">
      <alignment horizontal="left" vertical="center"/>
    </xf>
    <xf numFmtId="0" fontId="30" fillId="0" borderId="4" xfId="13" applyFont="1" applyBorder="1" applyAlignment="1">
      <alignment horizontal="left" vertical="center"/>
    </xf>
    <xf numFmtId="0" fontId="37" fillId="0" borderId="3" xfId="13" applyFont="1" applyBorder="1" applyAlignment="1">
      <alignment horizontal="left" vertical="center"/>
    </xf>
    <xf numFmtId="0" fontId="37" fillId="0" borderId="4" xfId="13" applyFont="1" applyBorder="1" applyAlignment="1">
      <alignment horizontal="left" vertical="center"/>
    </xf>
    <xf numFmtId="0" fontId="36" fillId="0" borderId="12" xfId="13" applyFont="1" applyBorder="1" applyAlignment="1">
      <alignment horizontal="left" vertical="center"/>
    </xf>
    <xf numFmtId="0" fontId="34" fillId="3" borderId="4" xfId="13" applyFont="1" applyFill="1" applyBorder="1" applyAlignment="1">
      <alignment horizontal="left" vertical="center"/>
    </xf>
    <xf numFmtId="0" fontId="30" fillId="0" borderId="3" xfId="13" applyFont="1" applyBorder="1" applyAlignment="1">
      <alignment horizontal="left" vertical="center"/>
    </xf>
    <xf numFmtId="0" fontId="36" fillId="0" borderId="1" xfId="13" applyFont="1" applyBorder="1" applyAlignment="1">
      <alignment horizontal="left" vertical="center"/>
    </xf>
    <xf numFmtId="0" fontId="34" fillId="3" borderId="3" xfId="13" applyFont="1" applyFill="1" applyBorder="1" applyAlignment="1">
      <alignment horizontal="left" vertical="center"/>
    </xf>
    <xf numFmtId="0" fontId="37" fillId="3" borderId="4" xfId="0" applyFont="1" applyFill="1" applyBorder="1" applyAlignment="1">
      <alignment horizontal="left" vertical="center"/>
    </xf>
    <xf numFmtId="2" fontId="34" fillId="0" borderId="3" xfId="0" applyNumberFormat="1" applyFont="1" applyBorder="1" applyAlignment="1">
      <alignment horizontal="left" vertical="center"/>
    </xf>
    <xf numFmtId="0" fontId="37" fillId="3" borderId="3" xfId="0" applyFont="1" applyFill="1" applyBorder="1" applyAlignment="1">
      <alignment horizontal="left" vertical="center"/>
    </xf>
    <xf numFmtId="3" fontId="34" fillId="0" borderId="3" xfId="0" applyNumberFormat="1" applyFont="1" applyBorder="1" applyAlignment="1">
      <alignment horizontal="left" vertical="center"/>
    </xf>
    <xf numFmtId="1" fontId="34" fillId="3" borderId="3" xfId="0" quotePrefix="1" applyNumberFormat="1" applyFont="1" applyFill="1" applyBorder="1" applyAlignment="1">
      <alignment horizontal="left" vertical="center"/>
    </xf>
    <xf numFmtId="0" fontId="34" fillId="0" borderId="3" xfId="0" applyFont="1" applyBorder="1">
      <alignment vertical="center"/>
    </xf>
    <xf numFmtId="0" fontId="37" fillId="0" borderId="3" xfId="0" applyFont="1" applyBorder="1">
      <alignment vertical="center"/>
    </xf>
    <xf numFmtId="0" fontId="30" fillId="0" borderId="3" xfId="0" applyFont="1" applyBorder="1">
      <alignment vertical="center"/>
    </xf>
    <xf numFmtId="0" fontId="36" fillId="0" borderId="3" xfId="0" applyFont="1" applyBorder="1">
      <alignment vertical="center"/>
    </xf>
    <xf numFmtId="0" fontId="37" fillId="3" borderId="3" xfId="0" applyFont="1" applyFill="1" applyBorder="1">
      <alignment vertical="center"/>
    </xf>
    <xf numFmtId="1" fontId="34" fillId="3" borderId="4" xfId="0" quotePrefix="1" applyNumberFormat="1" applyFont="1" applyFill="1" applyBorder="1" applyAlignment="1">
      <alignment horizontal="left" vertical="center"/>
    </xf>
    <xf numFmtId="1" fontId="34" fillId="0" borderId="4" xfId="0" applyNumberFormat="1" applyFont="1" applyBorder="1" applyAlignment="1">
      <alignment horizontal="left" vertical="center"/>
    </xf>
    <xf numFmtId="3" fontId="34" fillId="0" borderId="4" xfId="0" applyNumberFormat="1" applyFont="1" applyBorder="1" applyAlignment="1">
      <alignment horizontal="left" vertical="center"/>
    </xf>
    <xf numFmtId="164" fontId="27" fillId="3" borderId="3" xfId="0" applyNumberFormat="1" applyFont="1" applyFill="1" applyBorder="1" applyAlignment="1">
      <alignment horizontal="left" vertical="center"/>
    </xf>
    <xf numFmtId="0" fontId="30" fillId="3" borderId="3" xfId="0" applyFont="1" applyFill="1" applyBorder="1" applyAlignment="1">
      <alignment horizontal="left" vertical="center"/>
    </xf>
    <xf numFmtId="0" fontId="36" fillId="3" borderId="3" xfId="0" applyFont="1" applyFill="1" applyBorder="1" applyAlignment="1">
      <alignment horizontal="left" vertical="center"/>
    </xf>
    <xf numFmtId="1" fontId="34" fillId="3" borderId="3" xfId="0" applyNumberFormat="1" applyFont="1" applyFill="1" applyBorder="1" applyAlignment="1">
      <alignment horizontal="left" vertical="center"/>
    </xf>
    <xf numFmtId="3" fontId="14" fillId="3" borderId="3" xfId="0" applyNumberFormat="1" applyFont="1" applyFill="1" applyBorder="1" applyAlignment="1">
      <alignment horizontal="left" vertical="center"/>
    </xf>
    <xf numFmtId="14" fontId="33" fillId="0" borderId="16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0" fillId="0" borderId="3" xfId="0" applyBorder="1">
      <alignment vertical="center"/>
    </xf>
    <xf numFmtId="14" fontId="25" fillId="0" borderId="19" xfId="0" applyNumberFormat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14" fontId="25" fillId="0" borderId="21" xfId="0" applyNumberFormat="1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 wrapText="1"/>
    </xf>
    <xf numFmtId="0" fontId="40" fillId="0" borderId="23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25" fillId="0" borderId="23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 wrapText="1"/>
    </xf>
    <xf numFmtId="165" fontId="0" fillId="0" borderId="3" xfId="14" applyNumberFormat="1" applyFont="1" applyBorder="1" applyAlignment="1">
      <alignment horizontal="center" vertical="center"/>
    </xf>
    <xf numFmtId="165" fontId="25" fillId="0" borderId="3" xfId="0" applyNumberFormat="1" applyFont="1" applyBorder="1" applyAlignment="1">
      <alignment horizontal="center" vertical="center"/>
    </xf>
    <xf numFmtId="0" fontId="0" fillId="0" borderId="3" xfId="0" pivotButton="1" applyBorder="1">
      <alignment vertical="center"/>
    </xf>
    <xf numFmtId="1" fontId="0" fillId="0" borderId="3" xfId="0" applyNumberFormat="1" applyBorder="1">
      <alignment vertical="center"/>
    </xf>
    <xf numFmtId="0" fontId="0" fillId="0" borderId="3" xfId="0" applyBorder="1" applyAlignment="1">
      <alignment horizontal="left" vertical="center" indent="1"/>
    </xf>
  </cellXfs>
  <cellStyles count="15">
    <cellStyle name="Normal" xfId="0" builtinId="0"/>
    <cellStyle name="Normal 10" xfId="9" xr:uid="{DD36CBFA-2CFA-4458-A97D-6A089199B307}"/>
    <cellStyle name="Normal 11" xfId="10" xr:uid="{6CE86016-35A2-4D18-A87B-08521D828978}"/>
    <cellStyle name="Normal 12" xfId="11" xr:uid="{32A4FD33-16DA-42F5-93F7-ED68355CFFD0}"/>
    <cellStyle name="Normal 13" xfId="12" xr:uid="{51F5910A-6821-4796-88E1-E64695410304}"/>
    <cellStyle name="Normal 14" xfId="13" xr:uid="{1A080F0C-C800-4DAC-ABDB-62A0D00F0ADA}"/>
    <cellStyle name="Normal 2" xfId="2" xr:uid="{7B6A71CF-6A0E-4964-9A6F-C134B5017D82}"/>
    <cellStyle name="Normal 3" xfId="3" xr:uid="{DBAF1D19-DAD5-4960-B6E8-03564B86545D}"/>
    <cellStyle name="Normal 4" xfId="1" xr:uid="{00000000-0005-0000-0000-000002000000}"/>
    <cellStyle name="Normal 5" xfId="4" xr:uid="{8431C693-4B1C-4293-A26C-9D2FD2AFD117}"/>
    <cellStyle name="Normal 6" xfId="5" xr:uid="{DEE6AEE2-0E12-40B7-A60D-32DEE153BB03}"/>
    <cellStyle name="Normal 7" xfId="6" xr:uid="{737F4B99-7A6F-4687-88E3-68A4D5B586DE}"/>
    <cellStyle name="Normal 8" xfId="7" xr:uid="{3829925F-D17D-4ACC-97E7-8BDF408E0639}"/>
    <cellStyle name="Normal 9" xfId="8" xr:uid="{E4EAFA56-F2C3-4A45-99B3-45469B8D6C97}"/>
    <cellStyle name="Percent" xfId="14" builtinId="5"/>
  </cellStyles>
  <dxfs count="8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Sum of pcs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0F-4060-B2CA-6C2237FB72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0F-4060-B2CA-6C2237FB72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0F-4060-B2CA-6C2237FB72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0F-4060-B2CA-6C2237FB72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0F-4060-B2CA-6C2237FB72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0F-4060-B2CA-6C2237FB72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30F-4060-B2CA-6C2237FB72F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30F-4060-B2CA-6C2237FB72F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30F-4060-B2CA-6C2237FB72F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30F-4060-B2CA-6C2237FB72F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30F-4060-B2CA-6C2237FB72F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30F-4060-B2CA-6C2237FB72F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30F-4060-B2CA-6C2237FB72F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30F-4060-B2CA-6C2237FB72F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30F-4060-B2CA-6C2237FB72F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Sheet3!$A$2:$A$15</c:f>
              <c:strCache>
                <c:ptCount val="14"/>
                <c:pt idx="0">
                  <c:v>0.6-0.8</c:v>
                </c:pt>
                <c:pt idx="1">
                  <c:v>0.8-1</c:v>
                </c:pt>
                <c:pt idx="2">
                  <c:v>1-1.2</c:v>
                </c:pt>
                <c:pt idx="3">
                  <c:v>1.2-1.4</c:v>
                </c:pt>
                <c:pt idx="4">
                  <c:v>1.4-1.6</c:v>
                </c:pt>
                <c:pt idx="5">
                  <c:v>1.6-1.8</c:v>
                </c:pt>
                <c:pt idx="6">
                  <c:v>1.8-2</c:v>
                </c:pt>
                <c:pt idx="7">
                  <c:v>2-2.2</c:v>
                </c:pt>
                <c:pt idx="8">
                  <c:v>2.2-2.4</c:v>
                </c:pt>
                <c:pt idx="9">
                  <c:v>2.4-2.6</c:v>
                </c:pt>
                <c:pt idx="10">
                  <c:v>2.8-3</c:v>
                </c:pt>
                <c:pt idx="11">
                  <c:v>3.2-3.4</c:v>
                </c:pt>
                <c:pt idx="12">
                  <c:v>3.4-3.6</c:v>
                </c:pt>
                <c:pt idx="13">
                  <c:v>4-4.2</c:v>
                </c:pt>
              </c:strCache>
            </c:strRef>
          </c:cat>
          <c:val>
            <c:numRef>
              <c:f>Sheet3!$B$2:$B$15</c:f>
              <c:numCache>
                <c:formatCode>General</c:formatCode>
                <c:ptCount val="14"/>
                <c:pt idx="0">
                  <c:v>49840</c:v>
                </c:pt>
                <c:pt idx="1">
                  <c:v>16405</c:v>
                </c:pt>
                <c:pt idx="2">
                  <c:v>10300</c:v>
                </c:pt>
                <c:pt idx="3">
                  <c:v>11275</c:v>
                </c:pt>
                <c:pt idx="4">
                  <c:v>2460</c:v>
                </c:pt>
                <c:pt idx="5">
                  <c:v>3210</c:v>
                </c:pt>
                <c:pt idx="6">
                  <c:v>21650</c:v>
                </c:pt>
                <c:pt idx="7">
                  <c:v>7515</c:v>
                </c:pt>
                <c:pt idx="8">
                  <c:v>4660</c:v>
                </c:pt>
                <c:pt idx="9">
                  <c:v>175</c:v>
                </c:pt>
                <c:pt idx="10">
                  <c:v>245</c:v>
                </c:pt>
                <c:pt idx="11">
                  <c:v>125</c:v>
                </c:pt>
                <c:pt idx="12">
                  <c:v>300</c:v>
                </c:pt>
                <c:pt idx="1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9-4716-95DD-0E19AF181241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30F-4060-B2CA-6C2237FB72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30F-4060-B2CA-6C2237FB72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30F-4060-B2CA-6C2237FB72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30F-4060-B2CA-6C2237FB72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930F-4060-B2CA-6C2237FB72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930F-4060-B2CA-6C2237FB72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930F-4060-B2CA-6C2237FB72F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30F-4060-B2CA-6C2237FB72F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30F-4060-B2CA-6C2237FB72F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30F-4060-B2CA-6C2237FB72F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930F-4060-B2CA-6C2237FB72F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930F-4060-B2CA-6C2237FB72F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930F-4060-B2CA-6C2237FB72F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930F-4060-B2CA-6C2237FB72F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930F-4060-B2CA-6C2237FB72F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Sheet3!$A$2:$A$15</c:f>
              <c:strCache>
                <c:ptCount val="14"/>
                <c:pt idx="0">
                  <c:v>0.6-0.8</c:v>
                </c:pt>
                <c:pt idx="1">
                  <c:v>0.8-1</c:v>
                </c:pt>
                <c:pt idx="2">
                  <c:v>1-1.2</c:v>
                </c:pt>
                <c:pt idx="3">
                  <c:v>1.2-1.4</c:v>
                </c:pt>
                <c:pt idx="4">
                  <c:v>1.4-1.6</c:v>
                </c:pt>
                <c:pt idx="5">
                  <c:v>1.6-1.8</c:v>
                </c:pt>
                <c:pt idx="6">
                  <c:v>1.8-2</c:v>
                </c:pt>
                <c:pt idx="7">
                  <c:v>2-2.2</c:v>
                </c:pt>
                <c:pt idx="8">
                  <c:v>2.2-2.4</c:v>
                </c:pt>
                <c:pt idx="9">
                  <c:v>2.4-2.6</c:v>
                </c:pt>
                <c:pt idx="10">
                  <c:v>2.8-3</c:v>
                </c:pt>
                <c:pt idx="11">
                  <c:v>3.2-3.4</c:v>
                </c:pt>
                <c:pt idx="12">
                  <c:v>3.4-3.6</c:v>
                </c:pt>
                <c:pt idx="13">
                  <c:v>4-4.2</c:v>
                </c:pt>
              </c:strCache>
            </c:strRef>
          </c:cat>
          <c:val>
            <c:numRef>
              <c:f>Sheet3!$C$2:$C$15</c:f>
              <c:numCache>
                <c:formatCode>0.0%</c:formatCode>
                <c:ptCount val="14"/>
                <c:pt idx="0">
                  <c:v>0.38828295419133685</c:v>
                </c:pt>
                <c:pt idx="1">
                  <c:v>0.12780461202866936</c:v>
                </c:pt>
                <c:pt idx="2">
                  <c:v>8.0243066375818017E-2</c:v>
                </c:pt>
                <c:pt idx="3">
                  <c:v>8.783889062013088E-2</c:v>
                </c:pt>
                <c:pt idx="4">
                  <c:v>1.916484886257401E-2</c:v>
                </c:pt>
                <c:pt idx="5">
                  <c:v>2.5007790588968525E-2</c:v>
                </c:pt>
                <c:pt idx="6">
                  <c:v>0.16866625116858835</c:v>
                </c:pt>
                <c:pt idx="7">
                  <c:v>5.8546276098473043E-2</c:v>
                </c:pt>
                <c:pt idx="8">
                  <c:v>3.6304144593331256E-2</c:v>
                </c:pt>
                <c:pt idx="9">
                  <c:v>1.3633530694920537E-3</c:v>
                </c:pt>
                <c:pt idx="10">
                  <c:v>1.908694297288875E-3</c:v>
                </c:pt>
                <c:pt idx="11">
                  <c:v>9.7382362106575261E-4</c:v>
                </c:pt>
                <c:pt idx="12">
                  <c:v>2.3371766905578061E-3</c:v>
                </c:pt>
                <c:pt idx="13">
                  <c:v>1.5581177937052041E-3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9-4716-95DD-0E19AF1812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Sheet3!$C$1</c:f>
              <c:strCache>
                <c:ptCount val="1"/>
                <c:pt idx="0">
                  <c:v>%</c:v>
                </c:pt>
              </c:strCache>
            </c:strRef>
          </c:tx>
          <c:spPr>
            <a:ln w="1905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4-4A56-9A3C-A4D699F060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4-4A56-9A3C-A4D699F060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34-4A56-9A3C-A4D699F060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34-4A56-9A3C-A4D699F060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D34-4A56-9A3C-A4D699F060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D34-4A56-9A3C-A4D699F060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D34-4A56-9A3C-A4D699F060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D34-4A56-9A3C-A4D699F060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D34-4A56-9A3C-A4D699F060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D34-4A56-9A3C-A4D699F060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D34-4A56-9A3C-A4D699F060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D34-4A56-9A3C-A4D699F0607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D34-4A56-9A3C-A4D699F0607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D34-4A56-9A3C-A4D699F0607C}"/>
              </c:ext>
            </c:extLst>
          </c:dPt>
          <c:cat>
            <c:strRef>
              <c:f>Sheet3!$A$2:$A$15</c:f>
              <c:strCache>
                <c:ptCount val="14"/>
                <c:pt idx="0">
                  <c:v>0.6-0.8</c:v>
                </c:pt>
                <c:pt idx="1">
                  <c:v>0.8-1</c:v>
                </c:pt>
                <c:pt idx="2">
                  <c:v>1-1.2</c:v>
                </c:pt>
                <c:pt idx="3">
                  <c:v>1.2-1.4</c:v>
                </c:pt>
                <c:pt idx="4">
                  <c:v>1.4-1.6</c:v>
                </c:pt>
                <c:pt idx="5">
                  <c:v>1.6-1.8</c:v>
                </c:pt>
                <c:pt idx="6">
                  <c:v>1.8-2</c:v>
                </c:pt>
                <c:pt idx="7">
                  <c:v>2-2.2</c:v>
                </c:pt>
                <c:pt idx="8">
                  <c:v>2.2-2.4</c:v>
                </c:pt>
                <c:pt idx="9">
                  <c:v>2.4-2.6</c:v>
                </c:pt>
                <c:pt idx="10">
                  <c:v>2.8-3</c:v>
                </c:pt>
                <c:pt idx="11">
                  <c:v>3.2-3.4</c:v>
                </c:pt>
                <c:pt idx="12">
                  <c:v>3.4-3.6</c:v>
                </c:pt>
                <c:pt idx="13">
                  <c:v>4-4.2</c:v>
                </c:pt>
              </c:strCache>
            </c:strRef>
          </c:cat>
          <c:val>
            <c:numRef>
              <c:f>Sheet3!$C$2:$C$15</c:f>
              <c:numCache>
                <c:formatCode>0.0%</c:formatCode>
                <c:ptCount val="14"/>
                <c:pt idx="0">
                  <c:v>0.38828295419133685</c:v>
                </c:pt>
                <c:pt idx="1">
                  <c:v>0.12780461202866936</c:v>
                </c:pt>
                <c:pt idx="2">
                  <c:v>8.0243066375818017E-2</c:v>
                </c:pt>
                <c:pt idx="3">
                  <c:v>8.783889062013088E-2</c:v>
                </c:pt>
                <c:pt idx="4">
                  <c:v>1.916484886257401E-2</c:v>
                </c:pt>
                <c:pt idx="5">
                  <c:v>2.5007790588968525E-2</c:v>
                </c:pt>
                <c:pt idx="6">
                  <c:v>0.16866625116858835</c:v>
                </c:pt>
                <c:pt idx="7">
                  <c:v>5.8546276098473043E-2</c:v>
                </c:pt>
                <c:pt idx="8">
                  <c:v>3.6304144593331256E-2</c:v>
                </c:pt>
                <c:pt idx="9">
                  <c:v>1.3633530694920537E-3</c:v>
                </c:pt>
                <c:pt idx="10">
                  <c:v>1.908694297288875E-3</c:v>
                </c:pt>
                <c:pt idx="11">
                  <c:v>9.7382362106575261E-4</c:v>
                </c:pt>
                <c:pt idx="12">
                  <c:v>2.3371766905578061E-3</c:v>
                </c:pt>
                <c:pt idx="13">
                  <c:v>1.5581177937052041E-3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2-4CFE-AFB8-09D94AA03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517525</xdr:colOff>
      <xdr:row>2</xdr:row>
      <xdr:rowOff>139700</xdr:rowOff>
    </xdr:from>
    <xdr:to>
      <xdr:col>12</xdr:col>
      <xdr:colOff>212725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8EAD0-94FF-43ED-C89E-CD32B6392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517525</xdr:colOff>
      <xdr:row>2</xdr:row>
      <xdr:rowOff>139700</xdr:rowOff>
    </xdr:from>
    <xdr:to>
      <xdr:col>12</xdr:col>
      <xdr:colOff>212725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79CAB0-5591-03F6-08C0-5A30F919F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il Shah" refreshedDate="46256.450239467595" createdVersion="8" refreshedVersion="8" minRefreshableVersion="3" recordCount="674" xr:uid="{CBC037C7-EDA6-4C0F-8963-B0798EEE49B9}">
  <cacheSource type="worksheet">
    <worksheetSource ref="A1:P675" sheet="production report "/>
  </cacheSource>
  <cacheFields count="16">
    <cacheField name="Date " numFmtId="0">
      <sharedItems containsSemiMixedTypes="0" containsNonDate="0" containsDate="1" containsString="0" minDate="2026-02-02T00:00:00" maxDate="2026-08-22T00:00:00"/>
    </cacheField>
    <cacheField name="Month " numFmtId="0">
      <sharedItems count="7">
        <s v="Feb"/>
        <s v="March"/>
        <s v="April"/>
        <s v="May"/>
        <s v="June"/>
        <s v="July"/>
        <s v="August"/>
      </sharedItems>
    </cacheField>
    <cacheField name="Line no" numFmtId="0">
      <sharedItems containsSemiMixedTypes="0" containsString="0" containsNumber="1" containsInteger="1" minValue="1" maxValue="3"/>
    </cacheField>
    <cacheField name="Shift" numFmtId="0">
      <sharedItems/>
    </cacheField>
    <cacheField name="Consignee" numFmtId="0">
      <sharedItems/>
    </cacheField>
    <cacheField name="P.O.No" numFmtId="0">
      <sharedItems/>
    </cacheField>
    <cacheField name="Type of Bag" numFmtId="0">
      <sharedItems/>
    </cacheField>
    <cacheField name="Size in CM" numFmtId="0">
      <sharedItems containsMixedTypes="1" containsNumber="1" containsInteger="1" minValue="0" maxValue="0"/>
    </cacheField>
    <cacheField name="ICO#" numFmtId="0">
      <sharedItems containsMixedTypes="1" containsNumber="1" containsInteger="1" minValue="0" maxValue="0"/>
    </cacheField>
    <cacheField name="pcs" numFmtId="0">
      <sharedItems containsSemiMixedTypes="0" containsString="0" containsNumber="1" containsInteger="1" minValue="25" maxValue="2920"/>
    </cacheField>
    <cacheField name="kgs " numFmtId="0">
      <sharedItems containsSemiMixedTypes="0" containsString="0" containsNumber="1" minValue="38.29" maxValue="3712.2"/>
    </cacheField>
    <cacheField name="Weight per pc" numFmtId="0">
      <sharedItems containsSemiMixedTypes="0" containsString="0" containsNumber="1" minValue="0.60719999999999996" maxValue="7.3" count="121">
        <n v="2.23"/>
        <n v="1.1559999999999999"/>
        <n v="2.21"/>
        <n v="1.86"/>
        <n v="0.78"/>
        <n v="2.78"/>
        <n v="1.1599999999999999"/>
        <n v="2.79"/>
        <n v="1.77"/>
        <n v="1.9450000000000001"/>
        <n v="1.53"/>
        <n v="1.22"/>
        <n v="1.87"/>
        <n v="1.345"/>
        <n v="1.72"/>
        <n v="5.01"/>
        <n v="6.12"/>
        <n v="2.2200000000000002"/>
        <n v="1.46"/>
        <n v="0.68"/>
        <n v="0.78600000000000003"/>
        <n v="5.32"/>
        <n v="2.29"/>
        <n v="2"/>
        <n v="4.62"/>
        <n v="2.2799999999999998"/>
        <n v="1.36"/>
        <n v="1.88"/>
        <n v="1.57"/>
        <n v="2.1"/>
        <n v="0.96799999999999997"/>
        <n v="3.04"/>
        <n v="1.35"/>
        <n v="1.2"/>
        <n v="0.96"/>
        <n v="0.79"/>
        <n v="1.29"/>
        <n v="1.26"/>
        <n v="1.6"/>
        <n v="0.81200000000000006"/>
        <n v="7.3"/>
        <n v="1.8"/>
        <n v="0.86"/>
        <n v="1.37"/>
        <n v="1.21"/>
        <n v="3.4"/>
        <n v="1.89"/>
        <n v="0.89"/>
        <n v="0.67"/>
        <n v="2.17"/>
        <n v="0.80249999999999999"/>
        <n v="0.67069999999999996"/>
        <n v="1.726"/>
        <n v="2.1080000000000001"/>
        <n v="1.3664000000000001"/>
        <n v="1.5960000000000001"/>
        <n v="1.2669999999999999"/>
        <n v="2.1017999999999999"/>
        <n v="1.7251000000000001"/>
        <n v="2.0529999999999999"/>
        <n v="2.2199"/>
        <n v="1.8089999999999999"/>
        <n v="0.75900000000000001"/>
        <n v="1.3420000000000001"/>
        <n v="0.80500000000000005"/>
        <n v="0.96399999999999997"/>
        <n v="1.2909999999999999"/>
        <n v="2.2103000000000002"/>
        <n v="0.60719999999999996"/>
        <n v="1.1659999999999999"/>
        <n v="1.8109999999999999"/>
        <n v="1.083"/>
        <n v="1.1579999999999999"/>
        <n v="0.72899999999999998"/>
        <n v="1.5549999999999999"/>
        <n v="1.272"/>
        <n v="0.73370000000000002"/>
        <n v="0.74299999999999999"/>
        <n v="1.1124000000000001"/>
        <n v="1.9419999999999999"/>
        <n v="2.395"/>
        <n v="1.1671"/>
        <n v="0.72799999999999998"/>
        <n v="0.87019999999999997"/>
        <n v="1.837"/>
        <n v="0.97919999999999996"/>
        <n v="0.75009999999999999"/>
        <n v="1.0293000000000001"/>
        <n v="1.2867"/>
        <n v="1.9177999999999999"/>
        <n v="3.5329999999999999"/>
        <n v="0.7"/>
        <n v="1.8379000000000001"/>
        <n v="1.7445999999999999"/>
        <n v="1.4632000000000001"/>
        <n v="0.79579999999999995"/>
        <n v="0.82950000000000002"/>
        <n v="0.84989999999999999"/>
        <n v="0.86870000000000003"/>
        <n v="0.99099999999999999"/>
        <n v="3.3660000000000001"/>
        <n v="2.2090000000000001"/>
        <n v="0.79900000000000004"/>
        <n v="2.2839"/>
        <n v="1.0365"/>
        <n v="1.0813999999999999"/>
        <n v="2.472"/>
        <n v="0.97519999999999996"/>
        <n v="0.76580000000000004"/>
        <n v="1.9479"/>
        <n v="0.77949999999999997"/>
        <n v="1.0042"/>
        <n v="2.8"/>
        <n v="0.8095"/>
        <n v="0.74019999999999997"/>
        <n v="0.9768"/>
        <n v="0.83950000000000002"/>
        <n v="0.80579999999999996"/>
        <n v="4.1304999999999996"/>
        <n v="0.73580000000000001"/>
        <n v="0.75860000000000005"/>
      </sharedItems>
      <fieldGroup base="11">
        <rangePr autoStart="0" startNum="0.6" endNum="7.3" groupInterval="0.4"/>
        <groupItems count="19">
          <s v="&lt;0.6"/>
          <s v="0.6-1"/>
          <s v="1-1.4"/>
          <s v="1.4-1.8"/>
          <s v="1.8-2.2"/>
          <s v="2.2-2.6"/>
          <s v="2.6-3"/>
          <s v="3-3.4"/>
          <s v="3.4-3.8"/>
          <s v="3.8-4.2"/>
          <s v="4.2-4.6"/>
          <s v="4.6-5"/>
          <s v="5-5.4"/>
          <s v="5.4-5.8"/>
          <s v="5.8-6.2"/>
          <s v="6.2-6.6"/>
          <s v="6.6-7"/>
          <s v="7-7.4"/>
          <s v="&gt;7.4"/>
        </groupItems>
      </fieldGroup>
    </cacheField>
    <cacheField name="opening " numFmtId="0">
      <sharedItems containsMixedTypes="1" containsNumber="1" containsInteger="1" minValue="-25" maxValue="26400"/>
    </cacheField>
    <cacheField name="production" numFmtId="0">
      <sharedItems containsSemiMixedTypes="0" containsString="0" containsNumber="1" containsInteger="1" minValue="25" maxValue="2920"/>
    </cacheField>
    <cacheField name="balance bag " numFmtId="0">
      <sharedItems containsMixedTypes="1" containsNumber="1" containsInteger="1" minValue="-100" maxValue="24800"/>
    </cacheField>
    <cacheField name="status" numFmtId="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il Shah" refreshedDate="46256.483624537039" createdVersion="8" refreshedVersion="8" minRefreshableVersion="3" recordCount="675" xr:uid="{D439AA0A-02B9-4F30-BE8B-ECBAAB4B1DD7}">
  <cacheSource type="worksheet">
    <worksheetSource ref="A1:P890" sheet="production report "/>
  </cacheSource>
  <cacheFields count="16">
    <cacheField name="Date " numFmtId="0">
      <sharedItems containsNonDate="0" containsDate="1" containsString="0" containsBlank="1" minDate="2026-02-02T00:00:00" maxDate="2026-08-22T00:00:00" count="166"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5T00:00:00"/>
        <d v="2026-03-06T00:00:00"/>
        <d v="2026-03-07T00:00:00"/>
        <d v="2026-03-09T00:00:00"/>
        <d v="2026-03-10T00:00:00"/>
        <d v="2026-03-13T00:00:00"/>
        <d v="2026-03-14T00:00:00"/>
        <d v="2026-03-16T00:00:00"/>
        <d v="2026-03-17T00:00:00"/>
        <d v="2026-03-18T00:00:00"/>
        <d v="2026-03-19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1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3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7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m/>
      </sharedItems>
    </cacheField>
    <cacheField name="Month " numFmtId="0">
      <sharedItems containsBlank="1" count="8">
        <s v="Feb"/>
        <s v="March"/>
        <s v="April"/>
        <s v="May"/>
        <s v="June"/>
        <s v="July"/>
        <s v="August"/>
        <m/>
      </sharedItems>
    </cacheField>
    <cacheField name="Line no" numFmtId="0">
      <sharedItems containsString="0" containsBlank="1" containsNumber="1" containsInteger="1" minValue="1" maxValue="3"/>
    </cacheField>
    <cacheField name="Shift" numFmtId="0">
      <sharedItems containsBlank="1"/>
    </cacheField>
    <cacheField name="Consignee" numFmtId="0">
      <sharedItems containsBlank="1" count="41">
        <s v="AMBIFLEX"/>
        <s v="WERBA SA"/>
        <s v="Technopacing spain"/>
        <s v="Sunglow "/>
        <s v="SUNGLOW"/>
        <s v="Flexochem "/>
        <s v="FIBCO"/>
        <s v="BAZELLE EMBALLAGE"/>
        <s v="SACHERIE DE PANTIN"/>
        <s v="NNZ DENMARK"/>
        <s v="Dajusa "/>
        <s v="Q PAC"/>
        <s v="Gulbrandsen "/>
        <s v="H Polesy "/>
        <s v="multi negoce "/>
        <s v="Archit "/>
        <s v="United tradex"/>
        <s v="FIBCO PLASTIC INDUSTRY LLC"/>
        <s v="MULTI NEGOCE"/>
        <s v="QPAC LTD"/>
        <s v="FLEXOCHEM VENTURES PRIVATE LIMITED"/>
        <s v="RUGO BAGS GMBH"/>
        <s v="QPAC LTD."/>
        <s v="FLEXOCHEM"/>
        <s v="COLOROBBIA"/>
        <s v="DAJUSA 2002 S.L"/>
        <s v="SADLEIRS PACKAGING AUSTRALIA"/>
        <s v="SACOS DURCAL S.A"/>
        <s v="ARCHIT ORGANIC"/>
        <s v="P.NIKIFORNKIS H.FASOURAKIS LTD"/>
        <s v="P.NIKIFORAKIS"/>
        <s v="ARCHIT ORGANOS YS"/>
        <s v="SADLELRS PACKAGING AUSTRALLA"/>
        <s v="P.KINIFORAKIS "/>
        <s v="SACOS DURCL S.A"/>
        <s v="GULBRANDSEN"/>
        <s v="P.NIKIFORAKIS "/>
        <s v="BELGIUM GLASS &amp; CERAMICS PVT L"/>
        <s v="UNITED"/>
        <s v="FPS FLEXIBLES UK LTD"/>
        <m/>
      </sharedItems>
    </cacheField>
    <cacheField name="P.O.No" numFmtId="0">
      <sharedItems containsBlank="1"/>
    </cacheField>
    <cacheField name="Type of Bag" numFmtId="0">
      <sharedItems containsBlank="1"/>
    </cacheField>
    <cacheField name="Size in CM" numFmtId="0">
      <sharedItems containsBlank="1" containsMixedTypes="1" containsNumber="1" containsInteger="1" minValue="0" maxValue="0"/>
    </cacheField>
    <cacheField name="ICO#" numFmtId="0">
      <sharedItems containsBlank="1" containsMixedTypes="1" containsNumber="1" containsInteger="1" minValue="0" maxValue="0" count="135">
        <s v="2512-604"/>
        <s v="2512-620"/>
        <s v="2512-603"/>
        <s v="2601-519"/>
        <s v="2601-488"/>
        <s v="2602-122"/>
        <s v="2601-298"/>
        <s v="2602-471"/>
        <s v="2602-370"/>
        <s v="2602-472"/>
        <s v="2602-529"/>
        <s v="2601-487"/>
        <s v="2603-041"/>
        <s v="2602-369"/>
        <s v="2602-372"/>
        <s v="2602-373"/>
        <s v="2603-222"/>
        <s v="2603-338"/>
        <s v="2603-056"/>
        <s v="2602-368"/>
        <s v="2310-332"/>
        <s v="2602-375"/>
        <s v="2603-055"/>
        <s v="2603-085"/>
        <s v="2603-084"/>
        <s v="2602-374"/>
        <s v="2604-001"/>
        <s v="2603-054"/>
        <s v="2604-249"/>
        <s v="2604-247"/>
        <s v="2604-251"/>
        <s v="2603-052"/>
        <s v="2603-047"/>
        <s v="2603-046"/>
        <s v="2604-185"/>
        <s v="2603-048"/>
        <s v="2603-049"/>
        <s v="2603-051"/>
        <s v="2603-057"/>
        <s v="2605-034"/>
        <s v="2604-248"/>
        <s v="2603-053"/>
        <s v="2603-307"/>
        <s v="2603-050"/>
        <s v="2603-058"/>
        <s v="2506-218"/>
        <s v="2603-045"/>
        <s v="2604-014"/>
        <s v="2603-059"/>
        <s v="2604-294"/>
        <s v="2605-346"/>
        <n v="0"/>
        <s v="2601-461"/>
        <s v="2604-297"/>
        <s v="2605-372"/>
        <s v="2605-218"/>
        <s v="2604-295"/>
        <s v="2601-460"/>
        <s v="2605-083"/>
        <s v="2606-270"/>
        <s v="2604-296"/>
        <s v="2604-298"/>
        <s v="2506-219"/>
        <s v="2606-094"/>
        <s v="2606-412"/>
        <s v="2607-048"/>
        <s v="2606-463"/>
        <s v="2606-468"/>
        <s v="2605-286"/>
        <s v="2606-470"/>
        <s v="2606-494"/>
        <s v="2606-472"/>
        <s v="2606-467"/>
        <s v="2607-216"/>
        <s v="2606-491"/>
        <s v="2606-473"/>
        <s v="2606-475"/>
        <s v="2605-289"/>
        <s v="2606-465"/>
        <s v="2606-471"/>
        <s v="2605-288"/>
        <s v="2606-474"/>
        <s v="2606-492"/>
        <s v="2606-469"/>
        <s v="2607-208"/>
        <s v="2606-493"/>
        <s v="2605-287"/>
        <s v="2607-070"/>
        <s v="2606-497"/>
        <s v="2607-139"/>
        <s v="2605-285"/>
        <s v="2607-206"/>
        <s v="2606-495"/>
        <s v="2605-422"/>
        <s v="2606-540"/>
        <s v="2607-205"/>
        <s v="2607-204"/>
        <s v="2607-563"/>
        <s v="2607-568"/>
        <s v="2607-069"/>
        <s v="2606-490"/>
        <s v="2607-562"/>
        <s v="2607-561"/>
        <s v="2607-567"/>
        <s v="2607-212"/>
        <s v="2607-211"/>
        <s v="2607-215"/>
        <s v="2606-548"/>
        <s v="2606-549"/>
        <s v="2606-546"/>
        <s v="2605-290"/>
        <s v="2607-135"/>
        <s v="2606-498"/>
        <s v="2607-412"/>
        <s v="2607-209"/>
        <s v="2607-102"/>
        <s v="2606-464"/>
        <s v="2606-499"/>
        <s v="2607-217"/>
        <s v="2606-496"/>
        <s v="2608-335"/>
        <s v="2606-543"/>
        <s v="2606-544"/>
        <s v="2607-697"/>
        <s v="2607-554"/>
        <s v="2607-566"/>
        <s v="2607-553"/>
        <s v="2602-221"/>
        <s v="2607-570"/>
        <s v="2608-138"/>
        <s v="2608-032"/>
        <s v="2607-219"/>
        <s v="2607-057"/>
        <s v="2608-139"/>
        <m/>
      </sharedItems>
    </cacheField>
    <cacheField name="pcs" numFmtId="0">
      <sharedItems containsString="0" containsBlank="1" containsNumber="1" containsInteger="1" minValue="25" maxValue="2920"/>
    </cacheField>
    <cacheField name="kgs " numFmtId="0">
      <sharedItems containsString="0" containsBlank="1" containsNumber="1" minValue="38.29" maxValue="3712.2"/>
    </cacheField>
    <cacheField name="Weight per pc" numFmtId="0">
      <sharedItems containsString="0" containsBlank="1" containsNumber="1" minValue="0.60719999999999996" maxValue="7.3"/>
    </cacheField>
    <cacheField name="opening " numFmtId="0">
      <sharedItems containsBlank="1" containsMixedTypes="1" containsNumber="1" containsInteger="1" minValue="-25" maxValue="26400"/>
    </cacheField>
    <cacheField name="production" numFmtId="0">
      <sharedItems containsString="0" containsBlank="1" containsNumber="1" containsInteger="1" minValue="25" maxValue="2920"/>
    </cacheField>
    <cacheField name="balance bag " numFmtId="0">
      <sharedItems containsBlank="1" containsMixedTypes="1" containsNumber="1" containsInteger="1" minValue="-100" maxValue="24800"/>
    </cacheField>
    <cacheField name="status" numFmtId="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">
  <r>
    <d v="2026-02-02T00:00:00"/>
    <x v="0"/>
    <n v="1"/>
    <s v="A"/>
    <s v="AMBIFLEX"/>
    <s v="OBV 1250047-1 ID/SP1779"/>
    <s v="U+2 panel top and bottom spout "/>
    <s v="95x95x200"/>
    <s v="2512-604"/>
    <n v="280"/>
    <n v="624.4"/>
    <x v="0"/>
    <n v="5040"/>
    <n v="280"/>
    <n v="4760"/>
    <s v="stock"/>
  </r>
  <r>
    <d v="2026-02-02T00:00:00"/>
    <x v="0"/>
    <n v="2"/>
    <s v="A"/>
    <s v="AMBIFLEX"/>
    <s v="OBV 1250047-1 ID/SP1779"/>
    <s v="U+2 panel top and bottom spout "/>
    <s v="95x95x200"/>
    <s v="2512-604"/>
    <n v="400"/>
    <n v="892"/>
    <x v="0"/>
    <n v="4760"/>
    <n v="400"/>
    <n v="4360"/>
    <s v="stock"/>
  </r>
  <r>
    <d v="2026-02-02T00:00:00"/>
    <x v="0"/>
    <n v="3"/>
    <s v="A"/>
    <s v="WERBA SA"/>
    <s v="WERBA -04 / 90x90x120 cm "/>
    <s v="circular cross corner Top open flat bottom "/>
    <s v="90x90x120"/>
    <s v="2512-620"/>
    <n v="150"/>
    <n v="173.39999999999998"/>
    <x v="1"/>
    <n v="16800"/>
    <n v="150"/>
    <n v="16650"/>
    <s v="stock "/>
  </r>
  <r>
    <d v="2026-02-03T00:00:00"/>
    <x v="0"/>
    <n v="1"/>
    <s v="A"/>
    <s v="AMBIFLEX"/>
    <s v="OBV 1250047-1 ID/SP1779"/>
    <s v="U+2 panel top and bottom spout "/>
    <s v="95x95x200"/>
    <s v="2512-604"/>
    <n v="390"/>
    <n v="861.9"/>
    <x v="2"/>
    <n v="4360"/>
    <n v="390"/>
    <n v="3970"/>
    <s v="stock"/>
  </r>
  <r>
    <d v="2026-02-03T00:00:00"/>
    <x v="0"/>
    <n v="2"/>
    <s v="A"/>
    <s v="AMBIFLEX"/>
    <s v="OBV 1250047-1 ID/SP1779"/>
    <s v="U+2 panel top and bottom spout "/>
    <s v="95x95x200"/>
    <s v="2512-604"/>
    <n v="550"/>
    <n v="1215.5"/>
    <x v="2"/>
    <n v="3970"/>
    <n v="550"/>
    <n v="3420"/>
    <s v="stock"/>
  </r>
  <r>
    <d v="2026-02-03T00:00:00"/>
    <x v="0"/>
    <n v="3"/>
    <s v="A"/>
    <s v="WERBA SA"/>
    <s v="WERBA -04 / 90x90x120 cm "/>
    <s v="circular cross corner Top open flat bottom "/>
    <s v="90x90x120"/>
    <s v="2512-620"/>
    <n v="350"/>
    <n v="404.59999999999997"/>
    <x v="1"/>
    <n v="16650"/>
    <n v="350"/>
    <n v="16300"/>
    <s v="stock "/>
  </r>
  <r>
    <d v="2026-02-04T00:00:00"/>
    <x v="0"/>
    <n v="1"/>
    <s v="A"/>
    <s v="AMBIFLEX"/>
    <s v="OBV 1250047-1 ID/SP1779"/>
    <s v="U+2 panel top and bottom spout "/>
    <s v="95x95x200"/>
    <s v="2512-604"/>
    <n v="445"/>
    <n v="983.44999999999993"/>
    <x v="2"/>
    <n v="3420"/>
    <n v="445"/>
    <n v="2975"/>
    <s v="stock"/>
  </r>
  <r>
    <d v="2026-02-04T00:00:00"/>
    <x v="0"/>
    <n v="2"/>
    <s v="A"/>
    <s v="AMBIFLEX"/>
    <s v="OBV 1250047-1 ID/SP1779"/>
    <s v="U+2 panel top and bottom spout "/>
    <s v="95x95x200"/>
    <s v="2512-604"/>
    <n v="585"/>
    <n v="1292.8499999999999"/>
    <x v="2"/>
    <n v="2975"/>
    <n v="585"/>
    <n v="2390"/>
    <s v="stock"/>
  </r>
  <r>
    <d v="2026-02-04T00:00:00"/>
    <x v="0"/>
    <n v="3"/>
    <s v="A"/>
    <s v="WERBA SA"/>
    <s v="WERBA -04 / 90x90x120 cm "/>
    <s v="circular cross corner Top open flat bottom "/>
    <s v="90x90x120"/>
    <s v="2512-620"/>
    <n v="475"/>
    <n v="549.09999999999991"/>
    <x v="1"/>
    <n v="16300"/>
    <n v="475"/>
    <n v="15825"/>
    <s v="stock "/>
  </r>
  <r>
    <d v="2026-02-05T00:00:00"/>
    <x v="0"/>
    <n v="1"/>
    <s v="A"/>
    <s v="AMBIFLEX"/>
    <s v="OBV 1250047-1 ID/SP1779"/>
    <s v="U+2 panel top and bottom spout "/>
    <s v="95x95x200"/>
    <s v="2512-604"/>
    <n v="500"/>
    <n v="1105"/>
    <x v="2"/>
    <n v="2390"/>
    <n v="500"/>
    <n v="1890"/>
    <s v="stock"/>
  </r>
  <r>
    <d v="2026-02-05T00:00:00"/>
    <x v="0"/>
    <n v="2"/>
    <s v="A"/>
    <s v="AMBIFLEX"/>
    <s v="OBV 1250047-1 ID/SP1779"/>
    <s v="U+2 panel top and bottom spout "/>
    <s v="95x95x200"/>
    <s v="2512-604"/>
    <n v="660"/>
    <n v="1458.6"/>
    <x v="2"/>
    <n v="1890"/>
    <n v="660"/>
    <n v="1230"/>
    <s v="stock"/>
  </r>
  <r>
    <d v="2026-02-05T00:00:00"/>
    <x v="0"/>
    <n v="3"/>
    <s v="A"/>
    <s v="WERBA SA"/>
    <s v="WERBA -04 / 90x90x120 cm "/>
    <s v="circular cross corner Top open flat bottom "/>
    <s v="90x90x120"/>
    <s v="2512-620"/>
    <n v="500"/>
    <n v="578"/>
    <x v="1"/>
    <n v="15825"/>
    <n v="500"/>
    <n v="15325"/>
    <s v="stock "/>
  </r>
  <r>
    <d v="2026-02-06T00:00:00"/>
    <x v="0"/>
    <n v="1"/>
    <s v="A"/>
    <s v="AMBIFLEX"/>
    <s v="OBV 1250047-1 ID/SP1779"/>
    <s v="U+2 panel top and bottom spout "/>
    <s v="95x95x200"/>
    <s v="2512-604"/>
    <n v="500"/>
    <n v="1105"/>
    <x v="2"/>
    <n v="1230"/>
    <n v="500"/>
    <n v="730"/>
    <s v="stock"/>
  </r>
  <r>
    <d v="2026-02-06T00:00:00"/>
    <x v="0"/>
    <n v="2"/>
    <s v="A"/>
    <s v="AMBIFLEX"/>
    <s v="OBV 1250047-1 ID/SP1779"/>
    <s v="U+2 panel top and bottom spout "/>
    <s v="95x95x200"/>
    <s v="2512-604"/>
    <n v="250"/>
    <n v="552.5"/>
    <x v="2"/>
    <n v="730"/>
    <n v="250"/>
    <n v="480"/>
    <s v="stock"/>
  </r>
  <r>
    <d v="2026-02-06T00:00:00"/>
    <x v="0"/>
    <n v="3"/>
    <s v="A"/>
    <s v="WERBA SA"/>
    <s v="WERBA -04 / 90x90x120 cm "/>
    <s v="circular cross corner Top open flat bottom "/>
    <s v="90x90x120"/>
    <s v="2512-620"/>
    <n v="525"/>
    <n v="606.9"/>
    <x v="1"/>
    <n v="15325"/>
    <n v="525"/>
    <n v="14800"/>
    <s v="stock "/>
  </r>
  <r>
    <d v="2026-02-06T00:00:00"/>
    <x v="0"/>
    <n v="1"/>
    <s v="A"/>
    <s v="AMBIFLEX"/>
    <s v="OBV 1250047-1 ID/SP1777"/>
    <s v="U+2 panel top and bottom spout "/>
    <s v="95x95x170"/>
    <s v="2512-603"/>
    <n v="370"/>
    <n v="688.2"/>
    <x v="3"/>
    <n v="5760"/>
    <n v="370"/>
    <n v="5390"/>
    <s v="dispatched "/>
  </r>
  <r>
    <d v="2026-02-07T00:00:00"/>
    <x v="0"/>
    <n v="1"/>
    <s v="A"/>
    <s v="AMBIFLEX"/>
    <s v="OBV 1250047-1 ID/SP1779"/>
    <s v="U+2 panel top and bottom spout "/>
    <s v="95x95x200"/>
    <s v="2512-604"/>
    <n v="480"/>
    <n v="1060.8"/>
    <x v="2"/>
    <n v="480"/>
    <n v="480"/>
    <n v="0"/>
    <s v="stock"/>
  </r>
  <r>
    <d v="2026-02-07T00:00:00"/>
    <x v="0"/>
    <n v="3"/>
    <s v="A"/>
    <s v="WERBA SA"/>
    <s v="WERBA -04 / 90x90x120 cm "/>
    <s v="circular cross corner Top open flat bottom "/>
    <s v="90x90x120"/>
    <s v="2512-620"/>
    <n v="500"/>
    <n v="578"/>
    <x v="1"/>
    <n v="14800"/>
    <n v="500"/>
    <n v="14300"/>
    <s v="stock "/>
  </r>
  <r>
    <d v="2026-02-07T00:00:00"/>
    <x v="0"/>
    <n v="1"/>
    <s v="A"/>
    <s v="AMBIFLEX"/>
    <s v="OBV 1250047-1 ID/SP1777"/>
    <s v="U+2 panel top and bottom spout "/>
    <s v="95x95x170"/>
    <s v="2512-603"/>
    <n v="1010"/>
    <n v="1878.6000000000001"/>
    <x v="3"/>
    <n v="5390"/>
    <n v="1010"/>
    <n v="4380"/>
    <s v="dispatched "/>
  </r>
  <r>
    <d v="2026-02-09T00:00:00"/>
    <x v="0"/>
    <n v="1"/>
    <s v="A"/>
    <s v="AMBIFLEX"/>
    <s v="OBV 1250047-1 ID/SP1777"/>
    <s v="U+2 panel top and bottom spout "/>
    <s v="95x95x170"/>
    <s v="2512-603"/>
    <n v="1205"/>
    <n v="2241.3000000000002"/>
    <x v="3"/>
    <n v="4380"/>
    <n v="1205"/>
    <n v="3175"/>
    <s v="dispatched "/>
  </r>
  <r>
    <d v="2026-02-09T00:00:00"/>
    <x v="0"/>
    <n v="2"/>
    <s v="A"/>
    <s v="WERBA SA"/>
    <s v="WERBA -04 / 90x90x120 cm "/>
    <s v="circular cross corner Top open flat bottom "/>
    <s v="90x90x120"/>
    <s v="2512-620"/>
    <n v="500"/>
    <n v="578"/>
    <x v="1"/>
    <n v="14300"/>
    <n v="500"/>
    <n v="13800"/>
    <s v="stock "/>
  </r>
  <r>
    <d v="2026-02-10T00:00:00"/>
    <x v="0"/>
    <n v="1"/>
    <s v="A"/>
    <s v="AMBIFLEX"/>
    <s v="OBV 1250047-1 ID/SP1777"/>
    <s v="U+2 panel top and bottom spout "/>
    <s v="95x95x170"/>
    <s v="2512-603"/>
    <n v="1400"/>
    <n v="2604"/>
    <x v="3"/>
    <n v="3175"/>
    <n v="1400"/>
    <n v="1775"/>
    <s v="dispatched "/>
  </r>
  <r>
    <d v="2026-02-10T00:00:00"/>
    <x v="0"/>
    <n v="2"/>
    <s v="A"/>
    <s v="WERBA SA"/>
    <s v="WERBA -04 / 90x90x120 cm "/>
    <s v="circular cross corner Top open flat bottom "/>
    <s v="90x90x120"/>
    <s v="2512-620"/>
    <n v="550"/>
    <n v="635.79999999999995"/>
    <x v="1"/>
    <n v="13800"/>
    <n v="550"/>
    <n v="13250"/>
    <s v="stock "/>
  </r>
  <r>
    <d v="2026-02-11T00:00:00"/>
    <x v="0"/>
    <n v="1"/>
    <s v="A"/>
    <s v="AMBIFLEX"/>
    <s v="OBV 1250047-1 ID/SP1777"/>
    <s v="U+2 panel top and bottom spout "/>
    <s v="95x95x170"/>
    <s v="2512-603"/>
    <n v="300"/>
    <n v="558"/>
    <x v="3"/>
    <n v="1775"/>
    <n v="300"/>
    <n v="1475"/>
    <s v="dispatched "/>
  </r>
  <r>
    <d v="2026-02-11T00:00:00"/>
    <x v="0"/>
    <n v="2"/>
    <s v="A"/>
    <s v="WERBA SA"/>
    <s v="WERBA -04 / 90x90x120 cm "/>
    <s v="circular cross corner Top open flat bottom "/>
    <s v="90x90x120"/>
    <s v="2512-620"/>
    <n v="375"/>
    <n v="433.49999999999994"/>
    <x v="1"/>
    <n v="13250"/>
    <n v="375"/>
    <n v="12875"/>
    <s v="stock "/>
  </r>
  <r>
    <d v="2026-02-12T00:00:00"/>
    <x v="0"/>
    <n v="1"/>
    <s v="A"/>
    <s v="AMBIFLEX"/>
    <s v="OBV 1250047-1 ID/SP1777"/>
    <s v="U+2 panel top and bottom spout "/>
    <s v="95x95x170"/>
    <s v="2512-603"/>
    <n v="725"/>
    <n v="1348.5"/>
    <x v="3"/>
    <n v="1475"/>
    <n v="725"/>
    <n v="750"/>
    <s v="dispatched "/>
  </r>
  <r>
    <d v="2026-02-12T00:00:00"/>
    <x v="0"/>
    <n v="2"/>
    <s v="A"/>
    <s v="WERBA SA"/>
    <s v="WERBA -04 / 90x90x120 cm "/>
    <s v="circular cross corner Top open flat bottom "/>
    <s v="90x90x120"/>
    <s v="2512-620"/>
    <n v="650"/>
    <n v="751.4"/>
    <x v="1"/>
    <n v="12875"/>
    <n v="650"/>
    <n v="12225"/>
    <s v="stock "/>
  </r>
  <r>
    <d v="2026-02-13T00:00:00"/>
    <x v="0"/>
    <n v="1"/>
    <s v="A"/>
    <s v="WERBA SA"/>
    <s v="WERBA -04 / 90x90x120 cm "/>
    <s v="circular cross corner Top open flat bottom "/>
    <s v="90x90x120"/>
    <s v="2512-620"/>
    <n v="600"/>
    <n v="693.59999999999991"/>
    <x v="1"/>
    <n v="12225"/>
    <n v="600"/>
    <n v="11625"/>
    <s v="stock "/>
  </r>
  <r>
    <d v="2026-02-14T00:00:00"/>
    <x v="0"/>
    <n v="1"/>
    <s v="A"/>
    <s v="AMBIFLEX"/>
    <s v="OBV 1250047-1 ID/SP1777"/>
    <s v="U+2 panel top and bottom spout "/>
    <s v="95x95x170"/>
    <s v="2512-603"/>
    <n v="750"/>
    <n v="1395"/>
    <x v="3"/>
    <n v="750"/>
    <n v="750"/>
    <n v="0"/>
    <s v="dispatched "/>
  </r>
  <r>
    <d v="2026-02-14T00:00:00"/>
    <x v="0"/>
    <n v="2"/>
    <s v="A"/>
    <s v="WERBA SA"/>
    <s v="WERBA -04 / 90x90x120 cm "/>
    <s v="circular cross corner Top open flat bottom "/>
    <s v="90x90x120"/>
    <s v="2512-620"/>
    <n v="625"/>
    <n v="722.5"/>
    <x v="1"/>
    <n v="11625"/>
    <n v="625"/>
    <n v="11000"/>
    <s v="stock "/>
  </r>
  <r>
    <d v="2026-02-14T00:00:00"/>
    <x v="0"/>
    <n v="2"/>
    <s v="A"/>
    <s v="Technopacing spain"/>
    <s v="1012601POH0587/BBSTAP001240"/>
    <s v="U panel open top "/>
    <s v="85x85x90 "/>
    <s v="2601-519"/>
    <n v="1600"/>
    <n v="1248"/>
    <x v="4"/>
    <n v="26400"/>
    <n v="1600"/>
    <n v="24800"/>
    <s v="stock"/>
  </r>
  <r>
    <d v="2026-02-16T00:00:00"/>
    <x v="0"/>
    <n v="1"/>
    <s v="A"/>
    <s v="WERBA SA"/>
    <s v="WERBA -04 / 90x90x120 cm "/>
    <s v="circular cross corner Top open flat bottom "/>
    <s v="90x90x120"/>
    <s v="2512-620"/>
    <n v="550"/>
    <n v="635.79999999999995"/>
    <x v="1"/>
    <n v="11000"/>
    <n v="550"/>
    <n v="10450"/>
    <s v="stock "/>
  </r>
  <r>
    <d v="2026-02-16T00:00:00"/>
    <x v="0"/>
    <n v="2"/>
    <s v="A"/>
    <s v="Technopacing spain"/>
    <s v="1012601POH0587/BBSTAP001240"/>
    <s v="U panel open top "/>
    <s v="85x85x90 "/>
    <s v="2601-519"/>
    <n v="1320"/>
    <n v="1029.6000000000001"/>
    <x v="4"/>
    <n v="24800"/>
    <n v="1320"/>
    <n v="23480"/>
    <s v="stock"/>
  </r>
  <r>
    <d v="2026-02-17T00:00:00"/>
    <x v="0"/>
    <n v="1"/>
    <s v="A"/>
    <s v="WERBA SA"/>
    <s v="WERBA -04 / 90x90x120 cm "/>
    <s v="circular cross corner Top open flat bottom "/>
    <s v="90x90x120"/>
    <s v="2512-620"/>
    <n v="950"/>
    <n v="1098.1999999999998"/>
    <x v="1"/>
    <n v="10450"/>
    <n v="950"/>
    <n v="9500"/>
    <s v="stock "/>
  </r>
  <r>
    <d v="2026-02-17T00:00:00"/>
    <x v="0"/>
    <n v="2"/>
    <s v="A"/>
    <s v="Technopacing spain"/>
    <s v="1012601POH0587/BBSTAP001240"/>
    <s v="U panel open top "/>
    <s v="85x85x90 "/>
    <s v="2601-519"/>
    <n v="1500"/>
    <n v="1170"/>
    <x v="4"/>
    <n v="23480"/>
    <n v="1500"/>
    <n v="21980"/>
    <s v="stock"/>
  </r>
  <r>
    <d v="2026-02-18T00:00:00"/>
    <x v="0"/>
    <n v="1"/>
    <s v="A"/>
    <s v="WERBA SA"/>
    <s v="WERBA -04 / 90x90x120 cm "/>
    <s v="circular cross corner Top open flat bottom "/>
    <s v="90x90x120"/>
    <s v="2512-620"/>
    <n v="700"/>
    <n v="809.19999999999993"/>
    <x v="1"/>
    <n v="9500"/>
    <n v="700"/>
    <n v="8800"/>
    <s v="stock "/>
  </r>
  <r>
    <d v="2026-02-18T00:00:00"/>
    <x v="0"/>
    <n v="2"/>
    <s v="A"/>
    <s v="Technopacing spain"/>
    <s v="1012601POH0587/BBSTAP001240"/>
    <s v="U panel open top "/>
    <s v="85x85x90 "/>
    <s v="2601-519"/>
    <n v="2050"/>
    <n v="1599"/>
    <x v="4"/>
    <n v="21980"/>
    <n v="2050"/>
    <n v="19930"/>
    <s v="stock"/>
  </r>
  <r>
    <d v="2026-02-19T00:00:00"/>
    <x v="0"/>
    <n v="1"/>
    <s v="A"/>
    <s v="WERBA SA"/>
    <s v="WERBA -04 / 90x90x120 cm "/>
    <s v="circular cross corner Top open flat bottom "/>
    <s v="90x90x120"/>
    <s v="2512-620"/>
    <n v="750"/>
    <n v="866.99999999999989"/>
    <x v="1"/>
    <n v="8800"/>
    <n v="750"/>
    <n v="8050"/>
    <s v="stock "/>
  </r>
  <r>
    <d v="2026-02-19T00:00:00"/>
    <x v="0"/>
    <n v="2"/>
    <s v="A"/>
    <s v="Technopacing spain"/>
    <s v="1012601POH0587/BBSTAP001240"/>
    <s v="U panel open top "/>
    <s v="85x85x90 "/>
    <s v="2601-519"/>
    <n v="2920"/>
    <n v="2277.6"/>
    <x v="4"/>
    <n v="19930"/>
    <n v="2920"/>
    <n v="17010"/>
    <s v="stock"/>
  </r>
  <r>
    <d v="2026-02-20T00:00:00"/>
    <x v="0"/>
    <n v="1"/>
    <s v="A"/>
    <s v="WERBA SA"/>
    <s v="WERBA -04 / 90x90x120 cm "/>
    <s v="circular cross corner Top open flat bottom "/>
    <s v="90x90x120"/>
    <s v="2512-620"/>
    <n v="750"/>
    <n v="866.99999999999989"/>
    <x v="1"/>
    <n v="8050"/>
    <n v="750"/>
    <n v="7300"/>
    <s v="stock "/>
  </r>
  <r>
    <d v="2026-02-20T00:00:00"/>
    <x v="0"/>
    <n v="2"/>
    <s v="A"/>
    <s v="Technopacing spain"/>
    <s v="1012601POH0587/BBSTAP001240"/>
    <s v="U panel open top "/>
    <s v="85x85x90 "/>
    <s v="2601-519"/>
    <n v="1900"/>
    <n v="1482"/>
    <x v="4"/>
    <n v="17010"/>
    <n v="1900"/>
    <n v="15110"/>
    <s v="stock"/>
  </r>
  <r>
    <d v="2026-02-21T00:00:00"/>
    <x v="0"/>
    <n v="1"/>
    <s v="A"/>
    <s v="WERBA SA"/>
    <s v="WERBA -04 / 90x90x120 cm "/>
    <s v="circular cross corner Top open flat bottom "/>
    <s v="90x90x120"/>
    <s v="2512-620"/>
    <n v="600"/>
    <n v="693.59999999999991"/>
    <x v="1"/>
    <n v="7300"/>
    <n v="600"/>
    <n v="6700"/>
    <s v="stock "/>
  </r>
  <r>
    <d v="2026-02-21T00:00:00"/>
    <x v="0"/>
    <n v="2"/>
    <s v="A"/>
    <s v="AMBIFLEX"/>
    <s v="OBV1250047-2/1779"/>
    <s v="U+2 panel top and bottom spout "/>
    <s v="95x95x200"/>
    <s v="2601-488"/>
    <n v="325"/>
    <n v="718.25"/>
    <x v="2"/>
    <n v="5040"/>
    <n v="325"/>
    <n v="4715"/>
    <s v="stock "/>
  </r>
  <r>
    <d v="2026-02-23T00:00:00"/>
    <x v="0"/>
    <n v="1"/>
    <s v="A"/>
    <s v="WERBA SA"/>
    <s v="WERBA -04 / 90x90x120 cm "/>
    <s v="circular cross corner Top open flat bottom "/>
    <s v="90x90x120"/>
    <s v="2512-620"/>
    <n v="675"/>
    <n v="780.3"/>
    <x v="1"/>
    <n v="6700"/>
    <n v="675"/>
    <n v="6025"/>
    <s v="stock "/>
  </r>
  <r>
    <d v="2026-02-23T00:00:00"/>
    <x v="0"/>
    <n v="2"/>
    <s v="A"/>
    <s v="Technopacing spain"/>
    <s v="1012601POH0587/BBSTAP001240"/>
    <s v="U panel open top "/>
    <s v="85x85x90 "/>
    <s v="2601-519"/>
    <n v="2250"/>
    <n v="1755"/>
    <x v="4"/>
    <n v="15110"/>
    <n v="2250"/>
    <n v="12860"/>
    <s v="stock"/>
  </r>
  <r>
    <d v="2026-02-24T00:00:00"/>
    <x v="0"/>
    <n v="1"/>
    <s v="A"/>
    <s v="WERBA SA"/>
    <s v="WERBA -04 / 90x90x120 cm "/>
    <s v="circular cross corner Top open flat bottom "/>
    <s v="90x90x120"/>
    <s v="2512-620"/>
    <n v="650"/>
    <n v="751.4"/>
    <x v="1"/>
    <n v="6025"/>
    <n v="650"/>
    <n v="5375"/>
    <s v="stock "/>
  </r>
  <r>
    <d v="2026-02-24T00:00:00"/>
    <x v="0"/>
    <n v="2"/>
    <s v="A"/>
    <s v="Technopacing spain"/>
    <s v="1012601POH0587/BBSTAP001240"/>
    <s v="U panel open top "/>
    <s v="85x85x90 "/>
    <s v="2601-519"/>
    <n v="640"/>
    <n v="499.20000000000005"/>
    <x v="4"/>
    <n v="4715"/>
    <n v="640"/>
    <n v="4075"/>
    <s v="stock"/>
  </r>
  <r>
    <d v="2026-02-24T00:00:00"/>
    <x v="0"/>
    <n v="2"/>
    <s v="A"/>
    <s v="AMBIFLEX"/>
    <s v="OBV1250047-2/1779"/>
    <s v="U+2 panel top and bottom spout "/>
    <s v="95x95x200"/>
    <s v="2601-488"/>
    <n v="50"/>
    <n v="110.5"/>
    <x v="2"/>
    <n v="4715"/>
    <n v="50"/>
    <n v="4665"/>
    <s v="stock "/>
  </r>
  <r>
    <d v="2026-02-25T00:00:00"/>
    <x v="0"/>
    <n v="1"/>
    <s v="A"/>
    <s v="WERBA SA"/>
    <s v="WERBA -04 / 90x90x120 cm "/>
    <s v="circular cross corner Top open flat bottom "/>
    <s v="90x90x120"/>
    <s v="2512-620"/>
    <n v="675"/>
    <n v="780.3"/>
    <x v="1"/>
    <n v="5375"/>
    <n v="675"/>
    <n v="4700"/>
    <s v="stock "/>
  </r>
  <r>
    <d v="2026-02-25T00:00:00"/>
    <x v="0"/>
    <n v="2"/>
    <s v="A"/>
    <s v="Technopacing spain"/>
    <s v="1012601POH0587/BBSTAP001240"/>
    <s v="U panel open top "/>
    <s v="85x85x90 "/>
    <s v="2601-519"/>
    <n v="1900"/>
    <n v="1482"/>
    <x v="4"/>
    <n v="12860"/>
    <n v="1900"/>
    <n v="10960"/>
    <s v="stock"/>
  </r>
  <r>
    <d v="2026-02-26T00:00:00"/>
    <x v="0"/>
    <n v="1"/>
    <s v="A"/>
    <s v="WERBA SA"/>
    <s v="WERBA -04 / 90x90x120 cm "/>
    <s v="circular cross corner Top open flat bottom "/>
    <s v="90x90x120"/>
    <s v="2512-620"/>
    <n v="600"/>
    <n v="693.59999999999991"/>
    <x v="1"/>
    <n v="4700"/>
    <n v="600"/>
    <n v="4100"/>
    <s v="stock"/>
  </r>
  <r>
    <d v="2026-02-26T00:00:00"/>
    <x v="0"/>
    <n v="2"/>
    <s v="A"/>
    <s v="Technopacing spain"/>
    <s v="1012601POH0587/BBSTAP001240"/>
    <s v="U panel open top "/>
    <s v="85x85x90 "/>
    <s v="2601-519"/>
    <n v="400"/>
    <n v="312"/>
    <x v="4"/>
    <n v="10960"/>
    <n v="400"/>
    <n v="10560"/>
    <s v="stock"/>
  </r>
  <r>
    <d v="2026-02-26T00:00:00"/>
    <x v="0"/>
    <n v="3"/>
    <s v="A"/>
    <s v="Sunglow "/>
    <s v="SC-20/2026"/>
    <s v="4 panel CD bags with liner "/>
    <s v="90x90x130 "/>
    <s v="2602-122"/>
    <n v="75"/>
    <n v="208.49999999999997"/>
    <x v="5"/>
    <n v="150"/>
    <n v="75"/>
    <n v="75"/>
    <s v="stock"/>
  </r>
  <r>
    <d v="2026-02-27T00:00:00"/>
    <x v="0"/>
    <n v="1"/>
    <s v="A"/>
    <s v="WERBA SA"/>
    <s v="WERBA -04 / 90x90x120 cm "/>
    <s v="circular cross corner Top open flat bottom "/>
    <s v="90x90x120"/>
    <s v="2512-620"/>
    <n v="850"/>
    <n v="985.99999999999989"/>
    <x v="6"/>
    <n v="4100"/>
    <n v="850"/>
    <n v="3250"/>
    <s v="stock"/>
  </r>
  <r>
    <d v="2026-02-27T00:00:00"/>
    <x v="0"/>
    <n v="2"/>
    <s v="A"/>
    <s v="Technopacing spain"/>
    <s v="1012601POH0587/BBSTAP001240"/>
    <s v="U panel open top "/>
    <s v="85x85x90 "/>
    <s v="2601-519"/>
    <n v="1950"/>
    <n v="1521"/>
    <x v="4"/>
    <n v="9920"/>
    <n v="1950"/>
    <n v="7970"/>
    <s v="stock"/>
  </r>
  <r>
    <d v="2026-02-27T00:00:00"/>
    <x v="0"/>
    <n v="3"/>
    <s v="A"/>
    <s v="SUNGLOW"/>
    <s v="SC-20/2025 / 90x90x130.CM"/>
    <s v="U panel TYPE C  LINER TABBING 8.POINT"/>
    <s v="90x90x130"/>
    <s v="2602-122"/>
    <n v="75"/>
    <n v="209.25"/>
    <x v="7"/>
    <n v="75"/>
    <n v="75"/>
    <n v="0"/>
    <s v="stock"/>
  </r>
  <r>
    <d v="2026-02-28T00:00:00"/>
    <x v="0"/>
    <n v="1"/>
    <s v="A"/>
    <s v="WERBA SA"/>
    <s v="WERBA -04 / 90x90x120 cm "/>
    <s v="circular cross corner Top open flat bottom "/>
    <s v="90x90x120"/>
    <s v="2512-620"/>
    <n v="950"/>
    <n v="1102"/>
    <x v="6"/>
    <n v="3250"/>
    <n v="950"/>
    <n v="2300"/>
    <s v="stock"/>
  </r>
  <r>
    <d v="2026-02-28T00:00:00"/>
    <x v="0"/>
    <n v="2"/>
    <s v="A"/>
    <s v="Technopacing spain"/>
    <s v="1012601POH0587/BBSTAP001240"/>
    <s v="U panel open top "/>
    <s v="85x85x90 "/>
    <s v="2601-519"/>
    <n v="1600"/>
    <n v="1248"/>
    <x v="4"/>
    <n v="7970"/>
    <n v="1600"/>
    <n v="6370"/>
    <s v="stock"/>
  </r>
  <r>
    <d v="2026-03-02T00:00:00"/>
    <x v="1"/>
    <n v="1"/>
    <s v="A"/>
    <s v="WERBA SA"/>
    <s v="WERBA -04 / 90x90x120 cm "/>
    <s v="circular cross corner Top open flat bottom "/>
    <s v="90x90x120"/>
    <s v="2512-620"/>
    <n v="2300"/>
    <n v="2668"/>
    <x v="6"/>
    <n v="2300"/>
    <n v="2300"/>
    <n v="0"/>
    <s v="stock"/>
  </r>
  <r>
    <d v="2026-03-02T00:00:00"/>
    <x v="1"/>
    <n v="2"/>
    <s v="A"/>
    <s v="Technopacing spain"/>
    <s v="1012601POH0587/BBSTAP001240"/>
    <s v="U panel open top "/>
    <s v="85x85x90 "/>
    <s v="2601-519"/>
    <n v="600"/>
    <n v="468"/>
    <x v="4"/>
    <n v="6370"/>
    <n v="600"/>
    <n v="5770"/>
    <s v="stock"/>
  </r>
  <r>
    <d v="2026-03-03T00:00:00"/>
    <x v="1"/>
    <n v="1"/>
    <s v="A"/>
    <s v="Flexochem "/>
    <s v="FVPL/PO/2026-00021"/>
    <s v="circular cross corner Type C"/>
    <s v="90x90x170"/>
    <s v="2601-298"/>
    <n v="125"/>
    <n v="221.25"/>
    <x v="8"/>
    <n v="2000"/>
    <n v="125"/>
    <n v="1875"/>
    <s v="stock"/>
  </r>
  <r>
    <d v="2026-03-03T00:00:00"/>
    <x v="1"/>
    <n v="2"/>
    <s v="A"/>
    <s v="Technopacing spain"/>
    <s v="1012601POH0587/BBSTAP001240"/>
    <s v="U panel open top "/>
    <s v="85x85x90 "/>
    <s v="2601-519"/>
    <n v="1200"/>
    <n v="936"/>
    <x v="4"/>
    <n v="5770"/>
    <n v="1200"/>
    <n v="4570"/>
    <s v="stock"/>
  </r>
  <r>
    <d v="2026-03-05T00:00:00"/>
    <x v="1"/>
    <n v="1"/>
    <s v="A"/>
    <s v="Flexochem "/>
    <s v="FVPL/PO/2026-00021"/>
    <s v="circular cross corner Type C"/>
    <s v="90x90x170"/>
    <s v="2601-298"/>
    <n v="200"/>
    <n v="354"/>
    <x v="8"/>
    <n v="1875"/>
    <n v="200"/>
    <n v="1675"/>
    <s v="stock"/>
  </r>
  <r>
    <d v="2026-03-05T00:00:00"/>
    <x v="1"/>
    <n v="2"/>
    <s v="A"/>
    <s v="Technopacing spain"/>
    <s v="1012601POH0587/BBSTAP001240"/>
    <s v="U panel open top "/>
    <s v="85x85x90 "/>
    <s v="2601-519"/>
    <n v="700"/>
    <n v="546"/>
    <x v="4"/>
    <n v="4570"/>
    <n v="700"/>
    <n v="3870"/>
    <s v="stock"/>
  </r>
  <r>
    <d v="2026-03-06T00:00:00"/>
    <x v="1"/>
    <n v="1"/>
    <s v="A"/>
    <s v="Flexochem "/>
    <s v="FVPL/PO/2026-00021"/>
    <s v="circular cross corner Type C"/>
    <s v="90x90x170"/>
    <s v="2601-298"/>
    <n v="325"/>
    <n v="575.25"/>
    <x v="8"/>
    <n v="1675"/>
    <n v="325"/>
    <n v="1350"/>
    <s v="stock"/>
  </r>
  <r>
    <d v="2026-03-06T00:00:00"/>
    <x v="1"/>
    <n v="2"/>
    <s v="A"/>
    <s v="Technopacing spain"/>
    <s v="1012601POH0587/BBSTAP001240"/>
    <s v="U panel open top "/>
    <s v="85x85x90 "/>
    <s v="2601-519"/>
    <n v="1550"/>
    <n v="1209"/>
    <x v="4"/>
    <n v="3870"/>
    <n v="1550"/>
    <n v="2320"/>
    <s v="stock"/>
  </r>
  <r>
    <d v="2026-03-06T00:00:00"/>
    <x v="1"/>
    <n v="2"/>
    <s v="A"/>
    <s v="AMBIFLEX"/>
    <s v="OBV1250047-2/1779"/>
    <s v="U+2 panel top and bottom spout "/>
    <s v="95x95x200"/>
    <s v="2601-488"/>
    <n v="600"/>
    <n v="1326"/>
    <x v="2"/>
    <n v="4665"/>
    <n v="600"/>
    <n v="4065"/>
    <s v="stock "/>
  </r>
  <r>
    <d v="2026-03-07T00:00:00"/>
    <x v="1"/>
    <n v="1"/>
    <s v="A"/>
    <s v="Flexochem "/>
    <s v="FVPL/PO/2026-00021"/>
    <s v="circular cross corner Type C"/>
    <s v="90x90x170"/>
    <s v="2601-298"/>
    <n v="300"/>
    <n v="531"/>
    <x v="8"/>
    <n v="1350"/>
    <n v="300"/>
    <n v="1050"/>
    <s v="stock"/>
  </r>
  <r>
    <d v="2026-03-07T00:00:00"/>
    <x v="1"/>
    <n v="2"/>
    <s v="A"/>
    <s v="Technopacing spain"/>
    <s v="1012601POH0587/BBSTAP001240"/>
    <s v="U panel open top "/>
    <s v="85x85x90 "/>
    <s v="2601-519"/>
    <n v="1350"/>
    <n v="1053"/>
    <x v="4"/>
    <n v="2320"/>
    <n v="1350"/>
    <n v="970"/>
    <s v="stock"/>
  </r>
  <r>
    <d v="2026-03-07T00:00:00"/>
    <x v="1"/>
    <n v="2"/>
    <s v="A"/>
    <s v="AMBIFLEX"/>
    <s v="OBV1250047-2/1779"/>
    <s v="U+2 panel top and bottom spout "/>
    <s v="95x95x200"/>
    <s v="2601-488"/>
    <n v="250"/>
    <n v="552.5"/>
    <x v="2"/>
    <n v="4065"/>
    <n v="250"/>
    <n v="3815"/>
    <s v="stock "/>
  </r>
  <r>
    <d v="2026-03-09T00:00:00"/>
    <x v="1"/>
    <n v="1"/>
    <s v="A"/>
    <s v="Flexochem "/>
    <s v="FVPL/PO/2026-00021"/>
    <s v="circular cross corner Type C"/>
    <s v="90x90x170"/>
    <s v="2601-298"/>
    <n v="325"/>
    <n v="575.25"/>
    <x v="8"/>
    <n v="1050"/>
    <n v="325"/>
    <n v="725"/>
    <s v="stock"/>
  </r>
  <r>
    <d v="2026-03-09T00:00:00"/>
    <x v="1"/>
    <n v="2"/>
    <s v="A"/>
    <s v="Technopacing spain"/>
    <s v="1012601POH0587/BBSTAP001240"/>
    <s v="U panel open top "/>
    <s v="85x85x90 "/>
    <s v="2601-519"/>
    <n v="500"/>
    <n v="390"/>
    <x v="4"/>
    <n v="970"/>
    <n v="500"/>
    <n v="470"/>
    <s v="stock"/>
  </r>
  <r>
    <d v="2026-03-09T00:00:00"/>
    <x v="1"/>
    <n v="2"/>
    <s v="A"/>
    <s v="AMBIFLEX"/>
    <s v="OBV1250047-2/1779"/>
    <s v="U+2 panel top and bottom spout "/>
    <s v="95x95x200"/>
    <s v="2601-488"/>
    <n v="670"/>
    <n v="1480.7"/>
    <x v="2"/>
    <n v="3815"/>
    <n v="670"/>
    <n v="3145"/>
    <s v="stock "/>
  </r>
  <r>
    <d v="2026-03-10T00:00:00"/>
    <x v="1"/>
    <n v="1"/>
    <s v="A"/>
    <s v="Flexochem "/>
    <s v="FVPL/PO/2026-00021"/>
    <s v="circular cross corner Type C"/>
    <s v="90x90x170"/>
    <s v="2601-298"/>
    <n v="275"/>
    <n v="486.75"/>
    <x v="8"/>
    <n v="725"/>
    <n v="275"/>
    <n v="450"/>
    <s v="stock"/>
  </r>
  <r>
    <d v="2026-03-10T00:00:00"/>
    <x v="1"/>
    <n v="2"/>
    <s v="A"/>
    <s v="Technopacing spain"/>
    <s v="1012601POH0587/BBSTAP001240"/>
    <s v="U panel open top "/>
    <s v="85x85x90 "/>
    <s v="2601-519"/>
    <n v="470"/>
    <n v="366.6"/>
    <x v="4"/>
    <n v="470"/>
    <n v="470"/>
    <n v="0"/>
    <s v="stock"/>
  </r>
  <r>
    <d v="2026-03-10T00:00:00"/>
    <x v="1"/>
    <n v="2"/>
    <s v="A"/>
    <s v="AMBIFLEX"/>
    <s v="OBV1250047-2/1779"/>
    <s v="U+2 panel top and bottom spout "/>
    <s v="95x95x200"/>
    <s v="2601-488"/>
    <n v="475"/>
    <n v="1049.75"/>
    <x v="2"/>
    <n v="3145"/>
    <n v="475"/>
    <n v="2670"/>
    <s v="stock "/>
  </r>
  <r>
    <d v="2026-03-13T00:00:00"/>
    <x v="1"/>
    <n v="1"/>
    <s v="A"/>
    <s v="Flexochem "/>
    <s v="FVPL/PO/2026-00021"/>
    <s v="circular cross corner Type C"/>
    <s v="90x90x170"/>
    <s v="2601-298"/>
    <n v="350"/>
    <n v="619.5"/>
    <x v="8"/>
    <n v="450"/>
    <n v="350"/>
    <n v="100"/>
    <s v="stock"/>
  </r>
  <r>
    <d v="2026-03-13T00:00:00"/>
    <x v="1"/>
    <n v="2"/>
    <s v="A"/>
    <s v="FIBCO"/>
    <s v="FIBCO/PO/2026/0035/JBPL/CIR/113H (TM479A)"/>
    <s v="circular cross corner "/>
    <s v="100X100X120"/>
    <s v="2602-471"/>
    <n v="300"/>
    <n v="583.5"/>
    <x v="9"/>
    <n v="2000"/>
    <n v="300"/>
    <n v="1700"/>
    <s v="stock"/>
  </r>
  <r>
    <d v="2026-03-13T00:00:00"/>
    <x v="1"/>
    <n v="2"/>
    <s v="A"/>
    <s v="AMBIFLEX"/>
    <s v="OBV1250047-2/1779"/>
    <s v="U+2 panel top and bottom spout "/>
    <s v="95x95x200"/>
    <s v="2601-488"/>
    <n v="750"/>
    <n v="1657.5"/>
    <x v="2"/>
    <n v="2670"/>
    <n v="750"/>
    <n v="1920"/>
    <s v="stock "/>
  </r>
  <r>
    <d v="2026-03-14T00:00:00"/>
    <x v="1"/>
    <n v="1"/>
    <s v="A"/>
    <s v="BAZELLE EMBALLAGE"/>
    <s v="29437/1112"/>
    <s v="U panel with inner liner "/>
    <s v="80x80x90"/>
    <s v="2602-370"/>
    <n v="400"/>
    <n v="612"/>
    <x v="10"/>
    <n v="5060"/>
    <n v="400"/>
    <n v="4660"/>
    <s v="stock"/>
  </r>
  <r>
    <d v="2026-03-14T00:00:00"/>
    <x v="1"/>
    <n v="2"/>
    <s v="A"/>
    <s v="FIBCO"/>
    <s v="FIBCO/PO/2026/0035/JBPL/CIR/113H (TM479A)"/>
    <s v="circular cross corner "/>
    <s v="100X100X120"/>
    <s v="2602-471"/>
    <n v="650"/>
    <n v="1264.25"/>
    <x v="9"/>
    <n v="1700"/>
    <n v="650"/>
    <n v="1050"/>
    <s v="stock"/>
  </r>
  <r>
    <d v="2026-03-14T00:00:00"/>
    <x v="1"/>
    <n v="2"/>
    <s v="A"/>
    <s v="AMBIFLEX"/>
    <s v="OBV1250047-2/1779"/>
    <s v="U+2 panel top and bottom spout "/>
    <s v="95x95x200"/>
    <s v="2601-488"/>
    <n v="425"/>
    <n v="939.25"/>
    <x v="2"/>
    <n v="1920"/>
    <n v="425"/>
    <n v="1495"/>
    <s v="stock "/>
  </r>
  <r>
    <d v="2026-03-16T00:00:00"/>
    <x v="1"/>
    <n v="1"/>
    <s v="A"/>
    <s v="BAZELLE EMBALLAGE"/>
    <s v="29437/1112"/>
    <s v="U panel with inner liner "/>
    <s v="80x80x90"/>
    <s v="2602-370"/>
    <n v="1050"/>
    <n v="1606.5"/>
    <x v="10"/>
    <n v="4660"/>
    <n v="1050"/>
    <n v="3610"/>
    <s v="stock"/>
  </r>
  <r>
    <d v="2026-03-16T00:00:00"/>
    <x v="1"/>
    <n v="2"/>
    <s v="A"/>
    <s v="FIBCO"/>
    <s v="FIBCO/PO/2026/0035/JBPL/CIR/113H (TM479A)"/>
    <s v="circular cross corner "/>
    <s v="100X100X120"/>
    <s v="2602-471"/>
    <n v="750"/>
    <n v="1458.75"/>
    <x v="9"/>
    <n v="1050"/>
    <n v="750"/>
    <n v="300"/>
    <s v="stock"/>
  </r>
  <r>
    <d v="2026-03-16T00:00:00"/>
    <x v="1"/>
    <n v="2"/>
    <s v="A"/>
    <s v="AMBIFLEX"/>
    <s v="OBV1250047-2/1779"/>
    <s v="U+2 panel top and bottom spout "/>
    <s v="95x95x200"/>
    <s v="2601-488"/>
    <n v="125"/>
    <n v="276.25"/>
    <x v="2"/>
    <n v="1495"/>
    <n v="125"/>
    <n v="1370"/>
    <s v="stock "/>
  </r>
  <r>
    <d v="2026-03-17T00:00:00"/>
    <x v="1"/>
    <n v="1"/>
    <s v="A"/>
    <s v="BAZELLE EMBALLAGE"/>
    <s v="29437/1112"/>
    <s v="U panel with inner liner "/>
    <s v="80x80x90"/>
    <s v="2602-370"/>
    <n v="1200"/>
    <n v="1836"/>
    <x v="10"/>
    <n v="3610"/>
    <n v="1200"/>
    <n v="2410"/>
    <s v="stock"/>
  </r>
  <r>
    <d v="2026-03-17T00:00:00"/>
    <x v="1"/>
    <n v="2"/>
    <s v="A"/>
    <s v="FIBCO"/>
    <s v="FIBCO/PO/2026/0035/JBPL/CIR/113H (TM479A)"/>
    <s v="circular cross corner "/>
    <s v="100X100X120"/>
    <s v="2602-471"/>
    <n v="300"/>
    <n v="583.5"/>
    <x v="9"/>
    <n v="300"/>
    <n v="300"/>
    <n v="0"/>
    <s v="stock"/>
  </r>
  <r>
    <d v="2026-03-17T00:00:00"/>
    <x v="1"/>
    <n v="2"/>
    <s v="A"/>
    <s v="FIBCO"/>
    <s v="FIBCO/PO/2026/0035/JBPL/CIR/113H (TM 580)"/>
    <s v="circular cross corner "/>
    <s v="100X100X120"/>
    <s v="2602-472"/>
    <n v="500"/>
    <n v="972.5"/>
    <x v="9"/>
    <n v="2000"/>
    <n v="500"/>
    <n v="1500"/>
    <s v="stock"/>
  </r>
  <r>
    <d v="2026-03-18T00:00:00"/>
    <x v="1"/>
    <n v="1"/>
    <s v="A"/>
    <s v="BAZELLE EMBALLAGE"/>
    <s v="29437/1112"/>
    <s v="U panel with inner liner "/>
    <s v="80x80x90"/>
    <s v="2602-370"/>
    <n v="850"/>
    <n v="1300.5"/>
    <x v="10"/>
    <n v="2410"/>
    <n v="850"/>
    <n v="1560"/>
    <m/>
  </r>
  <r>
    <d v="2026-03-18T00:00:00"/>
    <x v="1"/>
    <n v="2"/>
    <s v="A"/>
    <s v="FIBCO"/>
    <s v="FIBCO/PO/2026/0035/JBPL/CIR/113H (TM 580)"/>
    <s v="circular cross corner "/>
    <s v="100X100X120"/>
    <s v="2602-472"/>
    <n v="700"/>
    <n v="1361.5"/>
    <x v="9"/>
    <n v="1500"/>
    <n v="700"/>
    <n v="800"/>
    <m/>
  </r>
  <r>
    <d v="2026-03-19T00:00:00"/>
    <x v="1"/>
    <n v="1"/>
    <s v="A"/>
    <s v="FIBCO"/>
    <s v="FIBCO/PO/2026/0035/JBPL/CIR/113H (TM 580)"/>
    <s v="circular cross corner "/>
    <s v="100X100X120"/>
    <s v="2602-472"/>
    <n v="400"/>
    <n v="778"/>
    <x v="9"/>
    <n v="800"/>
    <n v="400"/>
    <n v="400"/>
    <m/>
  </r>
  <r>
    <d v="2026-03-19T00:00:00"/>
    <x v="1"/>
    <n v="2"/>
    <s v="A"/>
    <s v="AMBIFLEX"/>
    <s v="OBV1260005/3705"/>
    <s v="U+2 panel top and bottom spout "/>
    <s v="90x90x100"/>
    <s v="2602-529"/>
    <n v="850"/>
    <n v="1037"/>
    <x v="11"/>
    <n v="4200"/>
    <n v="850"/>
    <n v="3350"/>
    <m/>
  </r>
  <r>
    <d v="2026-03-21T00:00:00"/>
    <x v="1"/>
    <n v="1"/>
    <s v="A"/>
    <s v="AMBIFLEX"/>
    <s v="OBV1260005/3705"/>
    <s v="U+2 panel top and bottom spout "/>
    <s v="90x90x100"/>
    <s v="2602-529"/>
    <n v="1450"/>
    <n v="1769"/>
    <x v="11"/>
    <n v="3350"/>
    <n v="1450"/>
    <n v="1900"/>
    <m/>
  </r>
  <r>
    <d v="2026-03-21T00:00:00"/>
    <x v="1"/>
    <n v="1"/>
    <s v="A"/>
    <s v="AMBIFLEX"/>
    <s v="OBV1260005/3705"/>
    <s v="U+2 panel top and bottom spout "/>
    <s v="90x90x100"/>
    <s v="2602-529"/>
    <n v="1425"/>
    <n v="1738.5"/>
    <x v="11"/>
    <n v="1900"/>
    <n v="1425"/>
    <n v="475"/>
    <m/>
  </r>
  <r>
    <d v="2026-03-23T00:00:00"/>
    <x v="1"/>
    <n v="1"/>
    <s v="A"/>
    <s v="AMBIFLEX"/>
    <s v="OBV1260005/3705"/>
    <s v="U+2 panel top and bottom spout "/>
    <s v="90x90x100"/>
    <s v="2602-529"/>
    <n v="350"/>
    <n v="427"/>
    <x v="11"/>
    <n v="475"/>
    <n v="350"/>
    <n v="125"/>
    <m/>
  </r>
  <r>
    <d v="2026-03-23T00:00:00"/>
    <x v="1"/>
    <n v="1"/>
    <s v="A"/>
    <s v="FIBCO"/>
    <s v="FIBCO/PO/2026/0035/JBPL/CIR/113H (TM 580)"/>
    <s v="circular cross corner "/>
    <s v="100X100X120"/>
    <s v="2602-472"/>
    <n v="300"/>
    <n v="583.5"/>
    <x v="9"/>
    <n v="400"/>
    <n v="300"/>
    <n v="100"/>
    <m/>
  </r>
  <r>
    <d v="2026-03-23T00:00:00"/>
    <x v="1"/>
    <n v="1"/>
    <s v="A"/>
    <s v="BAZELLE EMBALLAGE"/>
    <s v="29437/1112"/>
    <s v="U panel with inner liner "/>
    <s v="80x80x90"/>
    <s v="2602-370"/>
    <n v="950"/>
    <n v="1453.5"/>
    <x v="10"/>
    <n v="1560"/>
    <n v="950"/>
    <n v="610"/>
    <m/>
  </r>
  <r>
    <d v="2026-03-24T00:00:00"/>
    <x v="1"/>
    <n v="1"/>
    <s v="A"/>
    <s v="AMBIFLEX"/>
    <s v="OBV1260005/3705"/>
    <s v="U+2 panel top and bottom spout "/>
    <s v="90x90x100"/>
    <s v="2602-529"/>
    <n v="125"/>
    <n v="152.5"/>
    <x v="11"/>
    <n v="125"/>
    <n v="125"/>
    <n v="0"/>
    <m/>
  </r>
  <r>
    <d v="2026-03-24T00:00:00"/>
    <x v="1"/>
    <n v="1"/>
    <s v="A"/>
    <s v="FIBCO"/>
    <s v="FIBCO/PO/2026/0035/JBPL/CIR/113H (TM 580)"/>
    <s v="circular cross corner "/>
    <s v="100X100X120"/>
    <s v="2602-472"/>
    <n v="100"/>
    <n v="194.5"/>
    <x v="9"/>
    <n v="100"/>
    <n v="100"/>
    <n v="0"/>
    <m/>
  </r>
  <r>
    <d v="2026-03-24T00:00:00"/>
    <x v="1"/>
    <n v="1"/>
    <s v="A"/>
    <s v="BAZELLE EMBALLAGE"/>
    <s v="29437/1112"/>
    <s v="U panel with inner liner "/>
    <s v="80x80x90"/>
    <s v="2602-370"/>
    <n v="475"/>
    <n v="726.75"/>
    <x v="10"/>
    <n v="610"/>
    <n v="475"/>
    <n v="135"/>
    <m/>
  </r>
  <r>
    <d v="2026-03-24T00:00:00"/>
    <x v="1"/>
    <n v="2"/>
    <s v="A"/>
    <s v="AMBIFLEX"/>
    <s v="OBV1250047-2/1779"/>
    <s v="U+2 panel top and bottom spout "/>
    <s v="95x95x200"/>
    <s v="2601-488"/>
    <n v="700"/>
    <n v="1547"/>
    <x v="2"/>
    <n v="1370"/>
    <n v="700"/>
    <n v="670"/>
    <m/>
  </r>
  <r>
    <d v="2026-03-25T00:00:00"/>
    <x v="1"/>
    <n v="2"/>
    <s v="A"/>
    <s v="AMBIFLEX"/>
    <s v="OBV1250047-2/1779"/>
    <s v="U+2 panel top and bottom spout "/>
    <s v="95x95x200"/>
    <s v="2601-488"/>
    <n v="670"/>
    <n v="1480.7"/>
    <x v="2"/>
    <n v="670"/>
    <n v="670"/>
    <n v="0"/>
    <m/>
  </r>
  <r>
    <d v="2026-03-26T00:00:00"/>
    <x v="1"/>
    <n v="2"/>
    <s v="A"/>
    <s v="AMBIFLEX"/>
    <s v="OBV1250047-2/1777"/>
    <s v="U+2 panel top and bottom spout "/>
    <s v="95x95x170"/>
    <s v="2601-487"/>
    <n v="375"/>
    <n v="701.25"/>
    <x v="12"/>
    <n v="5760"/>
    <n v="375"/>
    <n v="5385"/>
    <m/>
  </r>
  <r>
    <d v="2026-03-27T00:00:00"/>
    <x v="1"/>
    <n v="2"/>
    <s v="A"/>
    <s v="SACHERIE DE PANTIN"/>
    <s v="PST-26002/SN21U40P-01"/>
    <s v="U+2 panel"/>
    <s v="95x95x110"/>
    <s v="2603-041"/>
    <n v="2750"/>
    <n v="3698.75"/>
    <x v="13"/>
    <n v="14400"/>
    <n v="2750"/>
    <n v="11650"/>
    <m/>
  </r>
  <r>
    <d v="2026-03-28T00:00:00"/>
    <x v="1"/>
    <n v="2"/>
    <s v="A"/>
    <s v="SACHERIE DE PANTIN"/>
    <s v="PST-26002/SN21U40P-01"/>
    <s v="U+2 panel"/>
    <s v="95x95x110"/>
    <s v="2603-041"/>
    <n v="2760"/>
    <n v="3712.2"/>
    <x v="13"/>
    <n v="11650"/>
    <n v="2760"/>
    <n v="8890"/>
    <m/>
  </r>
  <r>
    <d v="2026-03-29T00:00:00"/>
    <x v="1"/>
    <n v="2"/>
    <s v="A"/>
    <s v="SACHERIE DE PANTIN"/>
    <s v="PST-26002/SN21U40P-01"/>
    <s v="U+2 panel"/>
    <s v="95x95x110"/>
    <s v="2603-041"/>
    <n v="1550"/>
    <n v="2084.75"/>
    <x v="13"/>
    <n v="8890"/>
    <n v="1550"/>
    <n v="7340"/>
    <m/>
  </r>
  <r>
    <d v="2026-03-31T00:00:00"/>
    <x v="1"/>
    <n v="1"/>
    <s v="A"/>
    <s v="SACHERIE DE PANTIN"/>
    <s v="PST-26002/SN21U40P-01"/>
    <s v="U+2 panel"/>
    <s v="95x95x110"/>
    <s v="2603-041"/>
    <n v="75"/>
    <n v="100.875"/>
    <x v="13"/>
    <n v="7340"/>
    <n v="75"/>
    <n v="7265"/>
    <m/>
  </r>
  <r>
    <d v="2026-03-31T00:00:00"/>
    <x v="1"/>
    <n v="1"/>
    <s v="A"/>
    <s v="AMBIFLEX"/>
    <s v="OBV1250047-2/1777"/>
    <s v="U+2 panel top and bottom spout "/>
    <s v="95x95x170"/>
    <s v="2601-487"/>
    <n v="650"/>
    <n v="1215.5"/>
    <x v="12"/>
    <n v="5385"/>
    <n v="650"/>
    <n v="4735"/>
    <m/>
  </r>
  <r>
    <d v="2026-03-31T00:00:00"/>
    <x v="1"/>
    <n v="1"/>
    <s v="A"/>
    <s v="BAZELLE EMBALLAGE"/>
    <s v="29437/AG937R2"/>
    <s v="U+2 panel"/>
    <s v="95x95x110"/>
    <s v="2602-369"/>
    <n v="600"/>
    <n v="1032"/>
    <x v="14"/>
    <n v="2000"/>
    <n v="600"/>
    <n v="1400"/>
    <m/>
  </r>
  <r>
    <d v="2026-03-31T00:00:00"/>
    <x v="1"/>
    <n v="2"/>
    <s v="A"/>
    <s v="NNZ DENMARK"/>
    <s v="162600119/16005411"/>
    <s v="Drum waste bag "/>
    <s v="93X93X274"/>
    <s v="2602-372"/>
    <n v="25"/>
    <n v="125.25"/>
    <x v="15"/>
    <n v="350"/>
    <n v="25"/>
    <n v="325"/>
    <m/>
  </r>
  <r>
    <d v="2026-04-01T00:00:00"/>
    <x v="2"/>
    <n v="1"/>
    <s v="A"/>
    <s v="AMBIFLEX"/>
    <s v="OBV1250047-2/1777"/>
    <s v="U+2 panel top and bottom spout "/>
    <s v="95x95x170"/>
    <s v="2601-487"/>
    <n v="600"/>
    <n v="1122"/>
    <x v="12"/>
    <n v="4735"/>
    <n v="600"/>
    <n v="4135"/>
    <m/>
  </r>
  <r>
    <d v="2026-04-01T00:00:00"/>
    <x v="2"/>
    <n v="1"/>
    <s v="A"/>
    <s v="BAZELLE EMBALLAGE"/>
    <s v="29437/AG937R2"/>
    <s v="U+2 panel"/>
    <s v="95x95x110"/>
    <s v="2602-369"/>
    <n v="550"/>
    <n v="946"/>
    <x v="14"/>
    <n v="1400"/>
    <n v="550"/>
    <n v="850"/>
    <m/>
  </r>
  <r>
    <d v="2026-04-01T00:00:00"/>
    <x v="2"/>
    <n v="2"/>
    <s v="A"/>
    <s v="NNZ DENMARK"/>
    <s v="162600119/16005411"/>
    <s v="Drum waste bag "/>
    <s v="93X93X274"/>
    <s v="2602-372"/>
    <n v="70"/>
    <n v="350.7"/>
    <x v="15"/>
    <n v="325"/>
    <n v="70"/>
    <n v="255"/>
    <m/>
  </r>
  <r>
    <d v="2026-04-01T00:00:00"/>
    <x v="2"/>
    <n v="1"/>
    <s v="A"/>
    <s v="SACHERIE DE PANTIN"/>
    <s v="PST-26002/SN21U40P-01"/>
    <s v="U+2 panel"/>
    <s v="95x95x110"/>
    <s v="2603-041"/>
    <n v="370"/>
    <n v="497.65"/>
    <x v="13"/>
    <n v="7265"/>
    <n v="370"/>
    <n v="6895"/>
    <m/>
  </r>
  <r>
    <d v="2026-04-02T00:00:00"/>
    <x v="2"/>
    <n v="1"/>
    <s v="A"/>
    <s v="NNZ DENMARK"/>
    <s v="162600119/16005411"/>
    <s v="Drum waste bag "/>
    <s v="93X93X274"/>
    <s v="2602-372"/>
    <n v="80"/>
    <n v="400.79999999999995"/>
    <x v="15"/>
    <n v="255"/>
    <n v="80"/>
    <n v="175"/>
    <m/>
  </r>
  <r>
    <d v="2026-04-02T00:00:00"/>
    <x v="2"/>
    <n v="2"/>
    <s v="A"/>
    <s v="SACHERIE DE PANTIN"/>
    <s v="PST-26002/SN21U40P-01"/>
    <s v="U+2 panel"/>
    <s v="95x95x110"/>
    <s v="2603-041"/>
    <n v="1975"/>
    <n v="2656.375"/>
    <x v="13"/>
    <n v="6895"/>
    <n v="1975"/>
    <n v="4920"/>
    <m/>
  </r>
  <r>
    <d v="2026-04-03T00:00:00"/>
    <x v="2"/>
    <n v="1"/>
    <s v="A"/>
    <s v="NNZ DENMARK"/>
    <s v="162600119/16005411"/>
    <s v="Drum waste bag "/>
    <s v="93X93X274"/>
    <s v="2602-372"/>
    <n v="100"/>
    <n v="501"/>
    <x v="15"/>
    <n v="175"/>
    <n v="100"/>
    <n v="75"/>
    <m/>
  </r>
  <r>
    <d v="2026-04-03T00:00:00"/>
    <x v="2"/>
    <n v="2"/>
    <s v="A"/>
    <s v="SACHERIE DE PANTIN"/>
    <s v="PST-26002/SN21U40P-01"/>
    <s v="U+2 panel"/>
    <s v="95x95x110"/>
    <s v="2603-041"/>
    <n v="1150"/>
    <n v="1546.75"/>
    <x v="13"/>
    <n v="4920"/>
    <n v="1150"/>
    <n v="3770"/>
    <m/>
  </r>
  <r>
    <d v="2026-04-03T00:00:00"/>
    <x v="2"/>
    <n v="1"/>
    <s v="A"/>
    <s v="AMBIFLEX"/>
    <s v="OBV1250047-2/1777"/>
    <s v="U+2 panel top and bottom spout "/>
    <s v="95x95x170"/>
    <s v="2601-487"/>
    <n v="300"/>
    <n v="561"/>
    <x v="12"/>
    <n v="4135"/>
    <n v="300"/>
    <n v="3835"/>
    <m/>
  </r>
  <r>
    <d v="2026-04-03T00:00:00"/>
    <x v="2"/>
    <n v="1"/>
    <s v="A"/>
    <s v="BAZELLE EMBALLAGE"/>
    <s v="29437/AG937R2"/>
    <s v="U+2 panel"/>
    <s v="95x95x110"/>
    <s v="2602-369"/>
    <n v="300"/>
    <n v="516"/>
    <x v="14"/>
    <n v="850"/>
    <n v="300"/>
    <n v="550"/>
    <m/>
  </r>
  <r>
    <d v="2026-04-04T00:00:00"/>
    <x v="2"/>
    <n v="1"/>
    <s v="A"/>
    <s v="NNZ DENMARK"/>
    <s v="162600119/16005411"/>
    <s v="Drum waste bag "/>
    <s v="93X93X274"/>
    <s v="2602-372"/>
    <n v="75"/>
    <n v="375.75"/>
    <x v="15"/>
    <n v="75"/>
    <n v="75"/>
    <n v="0"/>
    <m/>
  </r>
  <r>
    <d v="2026-04-04T00:00:00"/>
    <x v="2"/>
    <n v="1"/>
    <s v="A"/>
    <s v="NNZ DENMARK"/>
    <s v="162600119/16005541"/>
    <s v="Drum waste bag "/>
    <s v="79X131X294"/>
    <s v="2602-373"/>
    <n v="30"/>
    <n v="183.6"/>
    <x v="16"/>
    <n v="1020"/>
    <n v="30"/>
    <n v="990"/>
    <m/>
  </r>
  <r>
    <d v="2026-04-04T00:00:00"/>
    <x v="2"/>
    <n v="2"/>
    <s v="A"/>
    <s v="SACHERIE DE PANTIN"/>
    <s v="PST-26002/SN21U40P-01"/>
    <s v="U+2 panel"/>
    <s v="95x95x110"/>
    <s v="2603-041"/>
    <n v="1200"/>
    <n v="1614"/>
    <x v="13"/>
    <n v="3770"/>
    <n v="1200"/>
    <n v="2570"/>
    <m/>
  </r>
  <r>
    <d v="2026-04-04T00:00:00"/>
    <x v="2"/>
    <n v="1"/>
    <s v="A"/>
    <s v="AMBIFLEX"/>
    <s v="OBV1250047-2/1777"/>
    <s v="U+2 panel top and bottom spout "/>
    <s v="95x95x170"/>
    <s v="2601-487"/>
    <n v="775"/>
    <n v="1449.25"/>
    <x v="12"/>
    <n v="3835"/>
    <n v="775"/>
    <n v="3060"/>
    <m/>
  </r>
  <r>
    <d v="2026-04-06T00:00:00"/>
    <x v="2"/>
    <n v="1"/>
    <s v="A"/>
    <s v="NNZ DENMARK"/>
    <s v="162600119/16005541"/>
    <s v="Drum waste bag "/>
    <s v="79X131X294"/>
    <s v="2602-373"/>
    <n v="100"/>
    <n v="612"/>
    <x v="16"/>
    <n v="990"/>
    <n v="100"/>
    <n v="890"/>
    <m/>
  </r>
  <r>
    <d v="2026-04-06T00:00:00"/>
    <x v="2"/>
    <n v="2"/>
    <s v="A"/>
    <s v="SACHERIE DE PANTIN"/>
    <s v="PST-26002/SN21U40P-01"/>
    <s v="U+2 panel"/>
    <s v="95x95x110"/>
    <s v="2603-041"/>
    <n v="1000"/>
    <n v="1345"/>
    <x v="13"/>
    <n v="2570"/>
    <n v="1000"/>
    <n v="1570"/>
    <m/>
  </r>
  <r>
    <d v="2026-04-06T00:00:00"/>
    <x v="2"/>
    <n v="1"/>
    <s v="A"/>
    <s v="AMBIFLEX"/>
    <s v="OBV1250047-2/1777"/>
    <s v="U+2 panel top and bottom spout "/>
    <s v="95x95x170"/>
    <s v="2601-487"/>
    <n v="725"/>
    <n v="1355.75"/>
    <x v="12"/>
    <n v="3060"/>
    <n v="725"/>
    <n v="2335"/>
    <m/>
  </r>
  <r>
    <d v="2026-04-07T00:00:00"/>
    <x v="2"/>
    <n v="1"/>
    <s v="A"/>
    <s v="NNZ DENMARK"/>
    <s v="162600119/16005541"/>
    <s v="Drum waste bag "/>
    <s v="79X131X294"/>
    <s v="2602-373"/>
    <n v="110"/>
    <n v="673.2"/>
    <x v="16"/>
    <n v="890"/>
    <n v="110"/>
    <n v="780"/>
    <m/>
  </r>
  <r>
    <d v="2026-04-07T00:00:00"/>
    <x v="2"/>
    <n v="2"/>
    <s v="A"/>
    <s v="AMBIFLEX"/>
    <s v="OBV1250047-2/1777"/>
    <s v="U+2 panel top and bottom spout "/>
    <s v="95x95x170"/>
    <s v="2601-487"/>
    <n v="900"/>
    <n v="1683"/>
    <x v="12"/>
    <n v="2335"/>
    <n v="900"/>
    <n v="1435"/>
    <m/>
  </r>
  <r>
    <d v="2026-04-07T00:00:00"/>
    <x v="2"/>
    <n v="1"/>
    <s v="A"/>
    <s v="BAZELLE EMBALLAGE"/>
    <s v="29437/AG937R2"/>
    <s v="U+2 panel"/>
    <s v="95x95x110"/>
    <s v="2602-369"/>
    <n v="450"/>
    <n v="774"/>
    <x v="14"/>
    <n v="550"/>
    <n v="450"/>
    <n v="100"/>
    <m/>
  </r>
  <r>
    <d v="2026-04-08T00:00:00"/>
    <x v="2"/>
    <n v="1"/>
    <s v="A"/>
    <s v="NNZ DENMARK"/>
    <s v="162600119/16005541"/>
    <s v="Drum waste bag "/>
    <s v="79X131X294"/>
    <s v="2602-373"/>
    <n v="120"/>
    <n v="734.4"/>
    <x v="16"/>
    <n v="780"/>
    <n v="120"/>
    <n v="660"/>
    <m/>
  </r>
  <r>
    <d v="2026-04-08T00:00:00"/>
    <x v="2"/>
    <n v="2"/>
    <s v="A"/>
    <s v="AMBIFLEX"/>
    <s v="OBV1250047-2/1777"/>
    <s v="U+2 panel top and bottom spout "/>
    <s v="95x95x170"/>
    <s v="2601-487"/>
    <n v="1125"/>
    <n v="2103.75"/>
    <x v="12"/>
    <n v="1435"/>
    <n v="1125"/>
    <n v="310"/>
    <m/>
  </r>
  <r>
    <d v="2026-04-08T00:00:00"/>
    <x v="2"/>
    <n v="1"/>
    <s v="A"/>
    <s v="BAZELLE EMBALLAGE"/>
    <s v="29437/1112"/>
    <s v="U panel with inner liner "/>
    <s v="80x80x90"/>
    <s v="2602-370"/>
    <n v="135"/>
    <n v="206.55"/>
    <x v="10"/>
    <n v="135"/>
    <n v="135"/>
    <n v="0"/>
    <m/>
  </r>
  <r>
    <d v="2026-04-09T00:00:00"/>
    <x v="2"/>
    <n v="1"/>
    <s v="A"/>
    <s v="NNZ DENMARK"/>
    <s v="162600119/16005541"/>
    <s v="Drum waste bag "/>
    <s v="79X131X294"/>
    <s v="2602-373"/>
    <n v="120"/>
    <n v="734.4"/>
    <x v="16"/>
    <n v="660"/>
    <n v="120"/>
    <n v="540"/>
    <m/>
  </r>
  <r>
    <d v="2026-04-09T00:00:00"/>
    <x v="2"/>
    <n v="2"/>
    <s v="A"/>
    <s v="AMBIFLEX"/>
    <s v="OBV1250047-2/1777"/>
    <s v="U+2 panel top and bottom spout "/>
    <s v="95x95x170"/>
    <s v="2601-487"/>
    <n v="310"/>
    <n v="579.70000000000005"/>
    <x v="12"/>
    <n v="310"/>
    <n v="310"/>
    <n v="0"/>
    <m/>
  </r>
  <r>
    <d v="2026-04-09T00:00:00"/>
    <x v="2"/>
    <n v="2"/>
    <s v="A"/>
    <s v="AMBIFLEX"/>
    <s v="OBV1250047-3/1777"/>
    <s v="U+2 panel top and bottom spout "/>
    <s v="95x95x170"/>
    <s v="2603-222"/>
    <n v="775"/>
    <n v="1449.25"/>
    <x v="12"/>
    <n v="5760"/>
    <n v="775"/>
    <n v="4985"/>
    <m/>
  </r>
  <r>
    <d v="2026-04-10T00:00:00"/>
    <x v="2"/>
    <n v="1"/>
    <s v="A"/>
    <s v="NNZ DENMARK"/>
    <s v="162600119/16005541"/>
    <s v="Drum waste bag "/>
    <s v="79X131X294"/>
    <s v="2602-373"/>
    <n v="120"/>
    <n v="734.4"/>
    <x v="16"/>
    <n v="540"/>
    <n v="120"/>
    <n v="420"/>
    <m/>
  </r>
  <r>
    <d v="2026-04-10T00:00:00"/>
    <x v="2"/>
    <n v="2"/>
    <s v="A"/>
    <s v="AMBIFLEX"/>
    <s v="OBV1250047-3/1777"/>
    <s v="U+2 panel top and bottom spout "/>
    <s v="95x95x170"/>
    <s v="2603-222"/>
    <n v="200"/>
    <n v="374"/>
    <x v="12"/>
    <n v="4985"/>
    <n v="200"/>
    <n v="4785"/>
    <m/>
  </r>
  <r>
    <d v="2026-04-10T00:00:00"/>
    <x v="2"/>
    <n v="2"/>
    <s v="A"/>
    <s v="SACHERIE DE PANTIN"/>
    <s v="PST-26002/SN21U40P-01"/>
    <s v="U+2 panel"/>
    <s v="95x95x110"/>
    <s v="2603-041"/>
    <n v="1570"/>
    <n v="2111.65"/>
    <x v="13"/>
    <n v="1570"/>
    <n v="1570"/>
    <n v="0"/>
    <m/>
  </r>
  <r>
    <d v="2026-04-11T00:00:00"/>
    <x v="2"/>
    <n v="2"/>
    <s v="A"/>
    <s v="SACHERIE DE PANTIN"/>
    <s v="PST-26002/SN21U40P-01"/>
    <s v="U+2 panel"/>
    <s v="95x95x110"/>
    <s v="2603-041"/>
    <n v="2400"/>
    <n v="3228"/>
    <x v="13"/>
    <n v="2400"/>
    <n v="2400"/>
    <n v="0"/>
    <m/>
  </r>
  <r>
    <d v="2026-04-11T00:00:00"/>
    <x v="2"/>
    <n v="2"/>
    <s v="A"/>
    <s v="AMBIFLEX"/>
    <s v="OBV1250047-3/1777"/>
    <s v="U+2 panel top and bottom spout "/>
    <s v="95x95x170"/>
    <s v="2603-222"/>
    <n v="50"/>
    <n v="93.5"/>
    <x v="12"/>
    <n v="4785"/>
    <n v="50"/>
    <n v="4735"/>
    <m/>
  </r>
  <r>
    <d v="2026-04-13T00:00:00"/>
    <x v="2"/>
    <n v="2"/>
    <s v="A"/>
    <s v="AMBIFLEX"/>
    <s v="OBV1250047-3/1777"/>
    <s v="U+2 panel top and bottom spout "/>
    <s v="95x95x170"/>
    <s v="2603-222"/>
    <n v="625"/>
    <n v="1168.75"/>
    <x v="12"/>
    <n v="4735"/>
    <n v="625"/>
    <n v="4110"/>
    <m/>
  </r>
  <r>
    <d v="2026-04-13T00:00:00"/>
    <x v="2"/>
    <n v="2"/>
    <s v="A"/>
    <s v="AMBIFLEX"/>
    <s v="OBV1250047-3/1779"/>
    <s v="U+2 panel top and bottom spout "/>
    <s v="95x95x170"/>
    <s v="2603-338"/>
    <n v="260"/>
    <n v="577.20000000000005"/>
    <x v="17"/>
    <n v="5040"/>
    <n v="260"/>
    <n v="4780"/>
    <m/>
  </r>
  <r>
    <d v="2026-04-13T00:00:00"/>
    <x v="2"/>
    <n v="1"/>
    <s v="A"/>
    <s v="NNZ DENMARK"/>
    <s v="162600119/16005541"/>
    <s v="Drum waste bag "/>
    <s v="79X131X294"/>
    <s v="2602-373"/>
    <n v="100"/>
    <n v="612"/>
    <x v="16"/>
    <n v="420"/>
    <n v="100"/>
    <n v="320"/>
    <m/>
  </r>
  <r>
    <d v="2026-04-13T00:00:00"/>
    <x v="2"/>
    <n v="1"/>
    <s v="A"/>
    <s v="Dajusa "/>
    <s v="50263/DAJU091110CABD070TUBULARLOOPS45"/>
    <s v="U+2 panel"/>
    <s v="91X91X110"/>
    <s v="2603-056"/>
    <n v="100"/>
    <n v="146"/>
    <x v="18"/>
    <n v="3000"/>
    <n v="100"/>
    <n v="2900"/>
    <m/>
  </r>
  <r>
    <d v="2026-04-14T00:00:00"/>
    <x v="2"/>
    <n v="2"/>
    <s v="A"/>
    <s v="AMBIFLEX"/>
    <s v="OBV1250047-3/1779"/>
    <s v="U+2 panel top and bottom spout "/>
    <s v="95x95x170"/>
    <s v="2603-338"/>
    <n v="845"/>
    <n v="1875.9"/>
    <x v="17"/>
    <n v="4780"/>
    <n v="845"/>
    <n v="3935"/>
    <m/>
  </r>
  <r>
    <d v="2026-04-14T00:00:00"/>
    <x v="2"/>
    <n v="1"/>
    <s v="A"/>
    <s v="NNZ DENMARK"/>
    <s v="162600119/16005541"/>
    <s v="Drum waste bag "/>
    <s v="79X131X294"/>
    <s v="2602-373"/>
    <n v="105"/>
    <n v="642.6"/>
    <x v="16"/>
    <n v="320"/>
    <n v="105"/>
    <n v="215"/>
    <m/>
  </r>
  <r>
    <d v="2026-04-14T00:00:00"/>
    <x v="2"/>
    <n v="1"/>
    <s v="A"/>
    <s v="Dajusa "/>
    <s v="50263/DAJU091110CABD070TUBULARLOOPS45"/>
    <s v="U+2 panel"/>
    <s v="91X91X110"/>
    <s v="2603-056"/>
    <n v="350"/>
    <n v="511"/>
    <x v="18"/>
    <n v="2900"/>
    <n v="350"/>
    <n v="2550"/>
    <m/>
  </r>
  <r>
    <d v="2026-04-15T00:00:00"/>
    <x v="2"/>
    <n v="2"/>
    <s v="A"/>
    <s v="AMBIFLEX"/>
    <s v="OBV1250047-3/1779"/>
    <s v="U+2 panel top and bottom spout "/>
    <s v="95x95x170"/>
    <s v="2603-338"/>
    <n v="400"/>
    <n v="888.00000000000011"/>
    <x v="17"/>
    <n v="3935"/>
    <n v="400"/>
    <n v="3535"/>
    <m/>
  </r>
  <r>
    <d v="2026-04-15T00:00:00"/>
    <x v="2"/>
    <n v="1"/>
    <s v="A"/>
    <s v="NNZ DENMARK"/>
    <s v="162600119/16005541"/>
    <s v="Drum waste bag "/>
    <s v="79X131X294"/>
    <s v="2602-373"/>
    <n v="135"/>
    <n v="826.2"/>
    <x v="16"/>
    <n v="215"/>
    <n v="135"/>
    <n v="80"/>
    <m/>
  </r>
  <r>
    <d v="2026-04-15T00:00:00"/>
    <x v="2"/>
    <n v="1"/>
    <s v="A"/>
    <s v="Dajusa "/>
    <s v="50263/DAJU091110CABD070TUBULARLOOPS45"/>
    <s v="U+2 panel"/>
    <s v="91X91X110"/>
    <s v="2603-056"/>
    <n v="250"/>
    <n v="365"/>
    <x v="18"/>
    <n v="2550"/>
    <n v="250"/>
    <n v="2300"/>
    <m/>
  </r>
  <r>
    <d v="2026-04-15T00:00:00"/>
    <x v="2"/>
    <n v="1"/>
    <s v="A"/>
    <s v="BAZELLE EMBALLAGE"/>
    <s v="29437/AG936"/>
    <s v="U+2 panel"/>
    <s v="60X60X70"/>
    <s v="2602-368"/>
    <n v="650"/>
    <n v="442.00000000000006"/>
    <x v="19"/>
    <n v="4800"/>
    <n v="650"/>
    <n v="4150"/>
    <m/>
  </r>
  <r>
    <d v="2026-04-16T00:00:00"/>
    <x v="2"/>
    <n v="1"/>
    <s v="A"/>
    <s v="NNZ DENMARK"/>
    <s v="162600119/16005541"/>
    <s v="Drum waste bag "/>
    <s v="79X131X294"/>
    <s v="2602-373"/>
    <n v="80"/>
    <n v="489.6"/>
    <x v="16"/>
    <n v="80"/>
    <n v="80"/>
    <n v="0"/>
    <m/>
  </r>
  <r>
    <d v="2026-04-16T00:00:00"/>
    <x v="2"/>
    <n v="1"/>
    <s v="A"/>
    <s v="Dajusa "/>
    <s v="50263/DAJU091110CABD070TUBULARLOOPS45"/>
    <s v="U+2 panel"/>
    <s v="91X91X110"/>
    <s v="2603-056"/>
    <n v="200"/>
    <n v="292"/>
    <x v="18"/>
    <n v="2300"/>
    <n v="200"/>
    <n v="2100"/>
    <m/>
  </r>
  <r>
    <d v="2026-04-16T00:00:00"/>
    <x v="2"/>
    <n v="1"/>
    <s v="A"/>
    <s v="BAZELLE EMBALLAGE"/>
    <s v="29437/AG936"/>
    <s v="U+2 panel"/>
    <s v="60X60X70"/>
    <s v="2602-368"/>
    <n v="700"/>
    <n v="476.00000000000006"/>
    <x v="19"/>
    <n v="4150"/>
    <n v="700"/>
    <n v="3450"/>
    <m/>
  </r>
  <r>
    <d v="2026-04-16T00:00:00"/>
    <x v="2"/>
    <n v="1"/>
    <s v="A"/>
    <s v="Q PAC"/>
    <s v="22646/HIPPO MIDI BAG"/>
    <s v="U+2 panel"/>
    <s v="90X90X90"/>
    <s v="2310-332"/>
    <n v="475"/>
    <n v="373.35"/>
    <x v="20"/>
    <n v="10000"/>
    <n v="475"/>
    <n v="9525"/>
    <m/>
  </r>
  <r>
    <d v="2026-04-16T00:00:00"/>
    <x v="2"/>
    <n v="1"/>
    <s v="A"/>
    <s v="NNZ DENMARK"/>
    <s v="162600119/16005549"/>
    <s v="Drum waste bag "/>
    <s v="59X131X279"/>
    <s v="2602-375"/>
    <n v="60"/>
    <n v="319.20000000000005"/>
    <x v="21"/>
    <n v="770"/>
    <n v="60"/>
    <n v="710"/>
    <m/>
  </r>
  <r>
    <d v="2026-04-16T00:00:00"/>
    <x v="2"/>
    <n v="1"/>
    <s v="A"/>
    <s v="Dajusa "/>
    <s v="50253/DAJU091180CABD070LOOPS30"/>
    <s v="U+2 panel"/>
    <s v="91X91X180"/>
    <s v="2603-055"/>
    <n v="325"/>
    <n v="559"/>
    <x v="14"/>
    <n v="500"/>
    <n v="325"/>
    <n v="175"/>
    <m/>
  </r>
  <r>
    <d v="2026-04-17T00:00:00"/>
    <x v="2"/>
    <n v="1"/>
    <s v="A"/>
    <s v="BAZELLE EMBALLAGE"/>
    <s v="29437/AG936"/>
    <s v="U+2 panel"/>
    <s v="60X60X70"/>
    <s v="2602-368"/>
    <n v="1250"/>
    <n v="850.00000000000011"/>
    <x v="19"/>
    <n v="3450"/>
    <n v="1250"/>
    <n v="2200"/>
    <m/>
  </r>
  <r>
    <d v="2026-04-17T00:00:00"/>
    <x v="2"/>
    <n v="1"/>
    <s v="A"/>
    <s v="Q PAC"/>
    <s v="22646/HIPPO MIDI BAG"/>
    <s v="U+2 panel"/>
    <s v="90X90X90"/>
    <s v="2310-332"/>
    <n v="550"/>
    <n v="432.3"/>
    <x v="20"/>
    <n v="9525"/>
    <n v="550"/>
    <n v="8975"/>
    <m/>
  </r>
  <r>
    <d v="2026-04-17T00:00:00"/>
    <x v="2"/>
    <n v="1"/>
    <s v="A"/>
    <s v="NNZ DENMARK"/>
    <s v="162600119/16005549"/>
    <s v="Drum waste bag "/>
    <s v="59X131X279"/>
    <s v="2602-375"/>
    <n v="160"/>
    <n v="851.2"/>
    <x v="21"/>
    <n v="710"/>
    <n v="160"/>
    <n v="550"/>
    <m/>
  </r>
  <r>
    <d v="2026-04-17T00:00:00"/>
    <x v="2"/>
    <n v="1"/>
    <s v="A"/>
    <s v="Dajusa "/>
    <s v="50253/DAJU091180CABD070LOOPS30"/>
    <s v="U+2 panel"/>
    <s v="91X91X180"/>
    <s v="2603-055"/>
    <n v="200"/>
    <n v="344"/>
    <x v="14"/>
    <n v="175"/>
    <n v="200"/>
    <n v="-25"/>
    <m/>
  </r>
  <r>
    <d v="2026-04-18T00:00:00"/>
    <x v="2"/>
    <n v="1"/>
    <s v="A"/>
    <s v="BAZELLE EMBALLAGE"/>
    <s v="29437/AG936"/>
    <s v="U+2 panel"/>
    <s v="60X60X70"/>
    <s v="2602-368"/>
    <n v="2200"/>
    <n v="1496"/>
    <x v="19"/>
    <n v="2200"/>
    <n v="2200"/>
    <n v="0"/>
    <m/>
  </r>
  <r>
    <d v="2026-04-18T00:00:00"/>
    <x v="2"/>
    <n v="1"/>
    <s v="A"/>
    <s v="BAZELLE EMBALLAGE"/>
    <s v="29437/AG937R2"/>
    <s v="U+2 panel"/>
    <s v="95x95x110"/>
    <s v="2602-369"/>
    <n v="100"/>
    <n v="172"/>
    <x v="14"/>
    <n v="100"/>
    <n v="100"/>
    <n v="0"/>
    <m/>
  </r>
  <r>
    <d v="2026-04-18T00:00:00"/>
    <x v="2"/>
    <n v="1"/>
    <s v="A"/>
    <s v="NNZ DENMARK"/>
    <s v="162600119/16005549"/>
    <s v="Drum waste bag "/>
    <s v="59X131X279"/>
    <s v="2602-375"/>
    <n v="70"/>
    <n v="372.40000000000003"/>
    <x v="21"/>
    <n v="550"/>
    <n v="70"/>
    <n v="480"/>
    <m/>
  </r>
  <r>
    <d v="2026-04-20T00:00:00"/>
    <x v="2"/>
    <n v="1"/>
    <s v="A"/>
    <s v="Q PAC"/>
    <s v="22646/HIPPO MIDI BAG"/>
    <s v="U+2 panel"/>
    <s v="90X90X90"/>
    <s v="2310-332"/>
    <n v="450"/>
    <n v="353.7"/>
    <x v="20"/>
    <n v="8975"/>
    <n v="450"/>
    <n v="8525"/>
    <m/>
  </r>
  <r>
    <d v="2026-04-20T00:00:00"/>
    <x v="2"/>
    <n v="1"/>
    <s v="A"/>
    <s v="NNZ DENMARK"/>
    <s v="162600119/16005549"/>
    <s v="Drum waste bag "/>
    <s v="59X131X279"/>
    <s v="2602-375"/>
    <n v="100"/>
    <n v="532"/>
    <x v="21"/>
    <n v="480"/>
    <n v="100"/>
    <n v="380"/>
    <m/>
  </r>
  <r>
    <d v="2026-04-20T00:00:00"/>
    <x v="2"/>
    <n v="1"/>
    <s v="A"/>
    <s v="Dajusa "/>
    <s v="50253/DAJU091180CABD070LOOPS30"/>
    <s v="U+2 panel"/>
    <s v="91X91X180"/>
    <s v="2603-055"/>
    <n v="75"/>
    <n v="129"/>
    <x v="14"/>
    <n v="-25"/>
    <n v="75"/>
    <n v="-100"/>
    <m/>
  </r>
  <r>
    <d v="2026-04-20T00:00:00"/>
    <x v="2"/>
    <n v="2"/>
    <s v="A"/>
    <s v="AMBIFLEX"/>
    <s v="OBV1250047-3/1779"/>
    <s v="U+2 panel top and bottom spout "/>
    <s v="95x95x170"/>
    <s v="2603-338"/>
    <n v="400"/>
    <n v="888.00000000000011"/>
    <x v="17"/>
    <n v="3535"/>
    <n v="400"/>
    <n v="3135"/>
    <m/>
  </r>
  <r>
    <d v="2026-04-21T00:00:00"/>
    <x v="2"/>
    <n v="1"/>
    <s v="A"/>
    <s v="Q PAC"/>
    <s v="22646/HIPPO MIDI BAG"/>
    <s v="U+2 panel"/>
    <s v="90X90X90"/>
    <s v="2310-332"/>
    <n v="550"/>
    <n v="432.3"/>
    <x v="20"/>
    <n v="8525"/>
    <n v="550"/>
    <n v="7975"/>
    <m/>
  </r>
  <r>
    <d v="2026-04-21T00:00:00"/>
    <x v="2"/>
    <n v="1"/>
    <s v="A"/>
    <s v="Dajusa "/>
    <s v="50263/DAJU091110CABD070TUBULARLOOPS45"/>
    <s v="cross corner "/>
    <s v="91X91X110"/>
    <s v="2603-056"/>
    <n v="900"/>
    <n v="1314"/>
    <x v="18"/>
    <n v="2100"/>
    <n v="900"/>
    <n v="1200"/>
    <m/>
  </r>
  <r>
    <d v="2026-04-21T00:00:00"/>
    <x v="2"/>
    <n v="2"/>
    <s v="A"/>
    <s v="AMBIFLEX"/>
    <s v="OBV1250047-3/1779"/>
    <s v="U+2 panel top and bottom spout "/>
    <s v="95x95x170"/>
    <s v="2603-338"/>
    <n v="700"/>
    <n v="1554.0000000000002"/>
    <x v="17"/>
    <n v="3135"/>
    <n v="700"/>
    <n v="2435"/>
    <m/>
  </r>
  <r>
    <d v="2026-04-22T00:00:00"/>
    <x v="2"/>
    <n v="1"/>
    <s v="A"/>
    <s v="Dajusa "/>
    <s v="50263/DAJU091110CABD070TUBULARLOOPS45"/>
    <s v="cross corner "/>
    <s v="91X91X110"/>
    <s v="2603-056"/>
    <n v="700"/>
    <n v="1022"/>
    <x v="18"/>
    <n v="1200"/>
    <n v="700"/>
    <n v="500"/>
    <m/>
  </r>
  <r>
    <d v="2026-04-22T00:00:00"/>
    <x v="2"/>
    <n v="2"/>
    <s v="A"/>
    <s v="AMBIFLEX"/>
    <s v="OBV1250047-3/1779"/>
    <s v="U+2 panel top and bottom spout "/>
    <s v="95x95x170"/>
    <s v="2603-338"/>
    <n v="600"/>
    <n v="1332.0000000000002"/>
    <x v="17"/>
    <n v="2435"/>
    <n v="600"/>
    <n v="1835"/>
    <m/>
  </r>
  <r>
    <d v="2026-04-22T00:00:00"/>
    <x v="2"/>
    <n v="2"/>
    <s v="A"/>
    <s v="AMBIFLEX"/>
    <s v="OBV1250047-3/1777"/>
    <s v="U+2 panel top and bottom spout "/>
    <s v="95x95x170"/>
    <s v="2603-222"/>
    <n v="575"/>
    <n v="1075.25"/>
    <x v="12"/>
    <n v="4110"/>
    <n v="575"/>
    <n v="3535"/>
    <m/>
  </r>
  <r>
    <d v="2026-04-23T00:00:00"/>
    <x v="2"/>
    <n v="1"/>
    <s v="A"/>
    <s v="Dajusa "/>
    <s v="50263/DAJU091110CABD070TUBULARLOOPS45"/>
    <s v="cross corner "/>
    <s v="91X91X110"/>
    <s v="2603-056"/>
    <n v="500"/>
    <n v="730"/>
    <x v="18"/>
    <n v="500"/>
    <n v="500"/>
    <n v="0"/>
    <m/>
  </r>
  <r>
    <d v="2026-04-23T00:00:00"/>
    <x v="2"/>
    <n v="2"/>
    <s v="A"/>
    <s v="AMBIFLEX"/>
    <s v="OBV1250047-3/1779"/>
    <s v="U+2 panel top and bottom spout "/>
    <s v="95x95x170"/>
    <s v="2603-338"/>
    <n v="200"/>
    <n v="444.00000000000006"/>
    <x v="17"/>
    <n v="1835"/>
    <n v="200"/>
    <n v="1635"/>
    <m/>
  </r>
  <r>
    <d v="2026-04-23T00:00:00"/>
    <x v="2"/>
    <n v="2"/>
    <s v="A"/>
    <s v="AMBIFLEX"/>
    <s v="OBV1250047-3/1777"/>
    <s v="U+2 panel top and bottom spout "/>
    <s v="95x95x170"/>
    <s v="2603-222"/>
    <n v="600"/>
    <n v="1122"/>
    <x v="12"/>
    <n v="3535"/>
    <n v="600"/>
    <n v="2935"/>
    <m/>
  </r>
  <r>
    <d v="2026-04-23T00:00:00"/>
    <x v="2"/>
    <n v="2"/>
    <s v="A"/>
    <s v="AMBIFLEX"/>
    <s v="OBV1250048-1/4590"/>
    <s v="U+2 panel top and bottom spout "/>
    <s v="95x95x210"/>
    <s v="2603-085"/>
    <n v="595"/>
    <n v="1362.55"/>
    <x v="22"/>
    <n v="7600"/>
    <n v="595"/>
    <n v="7005"/>
    <m/>
  </r>
  <r>
    <d v="2026-04-24T00:00:00"/>
    <x v="2"/>
    <n v="2"/>
    <s v="A"/>
    <s v="AMBIFLEX"/>
    <s v="OBV1250048-1/4590"/>
    <s v="U+2 panel top and bottom spout "/>
    <s v="95x95x210"/>
    <s v="2603-085"/>
    <n v="1375"/>
    <n v="3148.75"/>
    <x v="22"/>
    <n v="7005"/>
    <n v="1375"/>
    <n v="5630"/>
    <m/>
  </r>
  <r>
    <d v="2026-04-24T00:00:00"/>
    <x v="2"/>
    <n v="1"/>
    <s v="A"/>
    <s v="Q PAC"/>
    <s v="22646/HIPPO MIDI BAG"/>
    <s v="U+2 panel"/>
    <s v="90X90X90"/>
    <s v="2310-332"/>
    <n v="150"/>
    <n v="117.9"/>
    <x v="20"/>
    <n v="7975"/>
    <n v="150"/>
    <n v="7825"/>
    <m/>
  </r>
  <r>
    <d v="2026-04-25T00:00:00"/>
    <x v="2"/>
    <n v="2"/>
    <s v="A"/>
    <s v="AMBIFLEX"/>
    <s v="OBV1250047-3/1777"/>
    <s v="U+2 panel top and bottom spout "/>
    <s v="95x95x170"/>
    <s v="2603-222"/>
    <n v="450"/>
    <n v="841.5"/>
    <x v="12"/>
    <n v="2935"/>
    <n v="450"/>
    <n v="2485"/>
    <m/>
  </r>
  <r>
    <d v="2026-04-25T00:00:00"/>
    <x v="2"/>
    <n v="2"/>
    <s v="A"/>
    <s v="AMBIFLEX"/>
    <s v="OBV1250048-1/4590"/>
    <s v="U+2 panel top and bottom spout "/>
    <s v="95x95x210"/>
    <s v="2603-085"/>
    <n v="250"/>
    <n v="572.5"/>
    <x v="22"/>
    <n v="5630"/>
    <n v="250"/>
    <n v="5380"/>
    <m/>
  </r>
  <r>
    <d v="2026-04-25T00:00:00"/>
    <x v="2"/>
    <n v="2"/>
    <s v="A"/>
    <s v="AMBIFLEX"/>
    <s v="OBV1250048-1/4589"/>
    <s v="U+2 panel top and bottom spout "/>
    <s v="90X90X185"/>
    <s v="2603-084"/>
    <n v="725"/>
    <n v="1450"/>
    <x v="23"/>
    <e v="#REF!"/>
    <n v="725"/>
    <e v="#REF!"/>
    <m/>
  </r>
  <r>
    <d v="2026-04-25T00:00:00"/>
    <x v="2"/>
    <n v="1"/>
    <s v="A"/>
    <s v="Q PAC"/>
    <s v="22646/HIPPO MIDI BAG"/>
    <s v="U+2 panel"/>
    <s v="90X90X90"/>
    <s v="2310-332"/>
    <n v="400"/>
    <n v="314.40000000000003"/>
    <x v="20"/>
    <n v="7825"/>
    <n v="400"/>
    <n v="7425"/>
    <m/>
  </r>
  <r>
    <d v="2026-04-27T00:00:00"/>
    <x v="2"/>
    <n v="2"/>
    <s v="A"/>
    <s v="AMBIFLEX"/>
    <s v="OBV1250047-3/1777"/>
    <s v="U+2 panel top and bottom spout "/>
    <s v="95x95x170"/>
    <s v="2603-222"/>
    <n v="300"/>
    <n v="561"/>
    <x v="12"/>
    <n v="2485"/>
    <n v="300"/>
    <n v="2185"/>
    <m/>
  </r>
  <r>
    <d v="2026-04-27T00:00:00"/>
    <x v="2"/>
    <n v="2"/>
    <s v="A"/>
    <s v="AMBIFLEX"/>
    <s v="OBV1250048-1/4590"/>
    <s v="U+2 panel top and bottom spout "/>
    <s v="95x95x210"/>
    <s v="2603-085"/>
    <n v="250"/>
    <n v="572.5"/>
    <x v="22"/>
    <n v="5380"/>
    <n v="250"/>
    <n v="5130"/>
    <m/>
  </r>
  <r>
    <d v="2026-04-27T00:00:00"/>
    <x v="2"/>
    <n v="2"/>
    <s v="A"/>
    <s v="AMBIFLEX"/>
    <s v="OBV1250048-1/4589"/>
    <s v="U+2 panel top and bottom spout "/>
    <s v="90X90X185"/>
    <s v="2603-084"/>
    <n v="370"/>
    <n v="740"/>
    <x v="23"/>
    <e v="#REF!"/>
    <n v="370"/>
    <e v="#REF!"/>
    <m/>
  </r>
  <r>
    <d v="2026-04-27T00:00:00"/>
    <x v="2"/>
    <n v="1"/>
    <s v="A"/>
    <s v="NNZ DENMARK"/>
    <s v="162600119/16005549"/>
    <s v="Drum waste bag "/>
    <s v="59X131X279"/>
    <s v="2602-375"/>
    <n v="120"/>
    <n v="638.40000000000009"/>
    <x v="21"/>
    <n v="380"/>
    <n v="120"/>
    <n v="260"/>
    <m/>
  </r>
  <r>
    <d v="2026-04-28T00:00:00"/>
    <x v="2"/>
    <n v="2"/>
    <s v="A"/>
    <s v="AMBIFLEX"/>
    <s v="OBV1250047-3/1777"/>
    <s v="U+2 panel top and bottom spout "/>
    <s v="95x95x170"/>
    <s v="2603-222"/>
    <n v="400"/>
    <n v="748"/>
    <x v="12"/>
    <n v="2185"/>
    <n v="400"/>
    <n v="1785"/>
    <m/>
  </r>
  <r>
    <d v="2026-04-28T00:00:00"/>
    <x v="2"/>
    <n v="2"/>
    <s v="A"/>
    <s v="AMBIFLEX"/>
    <s v="OBV1250048-1/4589"/>
    <s v="U+2 panel top and bottom spout "/>
    <s v="90X90X185"/>
    <s v="2603-084"/>
    <n v="310"/>
    <n v="620"/>
    <x v="23"/>
    <e v="#REF!"/>
    <n v="310"/>
    <e v="#REF!"/>
    <m/>
  </r>
  <r>
    <d v="2026-04-28T00:00:00"/>
    <x v="2"/>
    <n v="1"/>
    <s v="A"/>
    <s v="NNZ DENMARK"/>
    <s v="162600119/16005549"/>
    <s v="Drum waste bag "/>
    <s v="59X131X279"/>
    <s v="2602-375"/>
    <n v="140"/>
    <n v="744.80000000000007"/>
    <x v="21"/>
    <n v="260"/>
    <n v="140"/>
    <n v="120"/>
    <m/>
  </r>
  <r>
    <d v="2026-04-29T00:00:00"/>
    <x v="2"/>
    <n v="2"/>
    <s v="A"/>
    <s v="AMBIFLEX"/>
    <s v="OBV1250047-3/1777"/>
    <s v="U+2 panel top and bottom spout "/>
    <s v="95x95x170"/>
    <s v="2603-222"/>
    <n v="1200"/>
    <n v="2244"/>
    <x v="12"/>
    <n v="1785"/>
    <n v="1200"/>
    <n v="585"/>
    <m/>
  </r>
  <r>
    <d v="2026-04-29T00:00:00"/>
    <x v="2"/>
    <n v="1"/>
    <s v="A"/>
    <s v="NNZ DENMARK"/>
    <s v="162600119/16005549"/>
    <s v="Drum waste bag "/>
    <s v="59X131X279"/>
    <s v="2602-375"/>
    <n v="120"/>
    <n v="638.40000000000009"/>
    <x v="21"/>
    <n v="120"/>
    <n v="120"/>
    <n v="0"/>
    <m/>
  </r>
  <r>
    <d v="2026-04-29T00:00:00"/>
    <x v="2"/>
    <n v="1"/>
    <s v="A"/>
    <s v="Q PAC"/>
    <s v="22646/HIPPO MIDI BAG"/>
    <s v="U+2 panel"/>
    <s v="90X90X90"/>
    <s v="2310-332"/>
    <n v="150"/>
    <n v="117.9"/>
    <x v="20"/>
    <n v="7425"/>
    <n v="150"/>
    <n v="7275"/>
    <m/>
  </r>
  <r>
    <d v="2026-04-30T00:00:00"/>
    <x v="2"/>
    <n v="2"/>
    <s v="A"/>
    <s v="AMBIFLEX"/>
    <s v="OBV1250047-3/1779"/>
    <s v="U+2 panel top and bottom spout "/>
    <s v="95x95x170"/>
    <s v="2603-338"/>
    <n v="1275"/>
    <n v="2830.5000000000005"/>
    <x v="17"/>
    <n v="1635"/>
    <n v="1275"/>
    <n v="360"/>
    <m/>
  </r>
  <r>
    <d v="2026-05-01T00:00:00"/>
    <x v="3"/>
    <n v="2"/>
    <s v="A"/>
    <s v="AMBIFLEX"/>
    <s v="OBV1250047-3/1777"/>
    <s v="U+2 panel top and bottom spout "/>
    <s v="95x95x170"/>
    <s v="2603-222"/>
    <n v="410"/>
    <n v="766.7"/>
    <x v="12"/>
    <n v="585"/>
    <n v="410"/>
    <n v="175"/>
    <m/>
  </r>
  <r>
    <d v="2026-05-01T00:00:00"/>
    <x v="3"/>
    <n v="1"/>
    <s v="A"/>
    <s v="NNZ DENMARK"/>
    <s v="162600119/16005548"/>
    <s v="Drum waste bag "/>
    <s v="33X131X269"/>
    <s v="2602-374"/>
    <n v="75"/>
    <n v="346.5"/>
    <x v="24"/>
    <n v="1200"/>
    <n v="75"/>
    <n v="1125"/>
    <m/>
  </r>
  <r>
    <d v="2026-05-01T00:00:00"/>
    <x v="3"/>
    <n v="1"/>
    <s v="A"/>
    <s v="Q PAC"/>
    <s v="22646/HIPPO MIDI BAG"/>
    <s v="U+2 panel"/>
    <s v="90X90X90"/>
    <s v="2310-332"/>
    <n v="150"/>
    <n v="117.9"/>
    <x v="20"/>
    <n v="7275"/>
    <n v="150"/>
    <n v="7125"/>
    <m/>
  </r>
  <r>
    <d v="2026-05-01T00:00:00"/>
    <x v="3"/>
    <n v="2"/>
    <s v="A"/>
    <s v="AMBIFLEX"/>
    <s v="OBV1250047-3/1779"/>
    <s v="U+2 panel top and bottom spout "/>
    <s v="95x95x170"/>
    <s v="2603-338"/>
    <n v="360"/>
    <n v="799.2"/>
    <x v="17"/>
    <n v="360"/>
    <n v="360"/>
    <n v="0"/>
    <m/>
  </r>
  <r>
    <d v="2026-05-02T00:00:00"/>
    <x v="3"/>
    <n v="2"/>
    <s v="A"/>
    <s v="AMBIFLEX"/>
    <s v="OBV1250047-3/1777"/>
    <s v="U+2 panel top and bottom spout "/>
    <s v="95x95x170"/>
    <s v="2603-222"/>
    <n v="175"/>
    <n v="327.25"/>
    <x v="12"/>
    <n v="175"/>
    <n v="175"/>
    <n v="0"/>
    <m/>
  </r>
  <r>
    <d v="2026-05-02T00:00:00"/>
    <x v="3"/>
    <n v="1"/>
    <s v="A"/>
    <s v="NNZ DENMARK"/>
    <s v="162600119/16005548"/>
    <s v="Drum waste bag "/>
    <s v="33X131X269"/>
    <s v="2602-374"/>
    <n v="100"/>
    <n v="462"/>
    <x v="24"/>
    <n v="1125"/>
    <n v="100"/>
    <n v="1025"/>
    <m/>
  </r>
  <r>
    <d v="2026-05-02T00:00:00"/>
    <x v="3"/>
    <n v="1"/>
    <s v="A"/>
    <s v="Q PAC"/>
    <s v="22646/HIPPO MIDI BAG"/>
    <s v="U+2 panel"/>
    <s v="90X90X90"/>
    <s v="2310-332"/>
    <n v="150"/>
    <n v="117.9"/>
    <x v="20"/>
    <n v="7125"/>
    <n v="150"/>
    <n v="6975"/>
    <m/>
  </r>
  <r>
    <d v="2026-05-02T00:00:00"/>
    <x v="3"/>
    <n v="2"/>
    <s v="A"/>
    <s v="AMBIFLEX"/>
    <s v="OBV1250048-1/4590"/>
    <s v="U+2 panel top and bottom spout "/>
    <s v="95x95x210"/>
    <s v="2603-085"/>
    <n v="300"/>
    <n v="687"/>
    <x v="22"/>
    <n v="5130"/>
    <n v="300"/>
    <n v="4830"/>
    <m/>
  </r>
  <r>
    <d v="2026-05-02T00:00:00"/>
    <x v="3"/>
    <n v="2"/>
    <s v="A"/>
    <s v="AMBIFLEX"/>
    <s v="OBV1250048-1/4589"/>
    <s v="U+2 panel top and bottom spout "/>
    <s v="90X90X185"/>
    <s v="2603-084"/>
    <n v="315"/>
    <n v="630"/>
    <x v="23"/>
    <e v="#REF!"/>
    <n v="315"/>
    <e v="#REF!"/>
    <m/>
  </r>
  <r>
    <d v="2026-05-04T00:00:00"/>
    <x v="3"/>
    <n v="1"/>
    <s v="A"/>
    <s v="NNZ DENMARK"/>
    <s v="162600119/16005548"/>
    <s v="Drum waste bag "/>
    <s v="33X131X269"/>
    <s v="2602-374"/>
    <n v="50"/>
    <n v="231"/>
    <x v="24"/>
    <n v="1025"/>
    <n v="50"/>
    <n v="975"/>
    <m/>
  </r>
  <r>
    <d v="2026-05-04T00:00:00"/>
    <x v="3"/>
    <n v="1"/>
    <s v="A"/>
    <s v="Q PAC"/>
    <s v="22646/HIPPO MIDI BAG"/>
    <s v="U+2 panel"/>
    <s v="90X90X90"/>
    <s v="2310-332"/>
    <n v="570"/>
    <n v="448.02000000000004"/>
    <x v="20"/>
    <n v="6975"/>
    <n v="570"/>
    <n v="6405"/>
    <m/>
  </r>
  <r>
    <d v="2026-05-04T00:00:00"/>
    <x v="3"/>
    <n v="2"/>
    <s v="A"/>
    <s v="AMBIFLEX"/>
    <s v="OBV1250048-1/4590"/>
    <s v="U+2 panel top and bottom spout "/>
    <s v="95x95x210"/>
    <s v="2603-085"/>
    <n v="650"/>
    <n v="1488.5"/>
    <x v="22"/>
    <n v="4830"/>
    <n v="650"/>
    <n v="4180"/>
    <m/>
  </r>
  <r>
    <d v="2026-05-04T00:00:00"/>
    <x v="3"/>
    <n v="2"/>
    <s v="A"/>
    <s v="Gulbrandsen "/>
    <s v=" _x0009_111065000/50048687"/>
    <s v="U+2 panel top and bottom spout "/>
    <s v="91.5X91.5X118"/>
    <s v="2604-001"/>
    <n v="250"/>
    <n v="570"/>
    <x v="25"/>
    <n v="250"/>
    <n v="250"/>
    <n v="0"/>
    <m/>
  </r>
  <r>
    <d v="2026-05-04T00:00:00"/>
    <x v="3"/>
    <n v="2"/>
    <s v="A"/>
    <s v="Dajusa "/>
    <s v="50201/DAJU100120CAFP070CANO"/>
    <s v="U+2 panel"/>
    <s v="100X100X120"/>
    <s v="2603-054"/>
    <n v="100"/>
    <n v="136"/>
    <x v="26"/>
    <n v="300"/>
    <n v="100"/>
    <n v="200"/>
    <m/>
  </r>
  <r>
    <d v="2026-05-04T00:00:00"/>
    <x v="3"/>
    <n v="2"/>
    <s v="A"/>
    <s v="H Polesy "/>
    <s v="HPC-PO003844-9090160-3"/>
    <s v="circular cross corner "/>
    <s v="90x90x160"/>
    <s v="2604-249"/>
    <n v="200"/>
    <n v="376"/>
    <x v="27"/>
    <n v="1200"/>
    <n v="200"/>
    <n v="1000"/>
    <m/>
  </r>
  <r>
    <d v="2026-05-05T00:00:00"/>
    <x v="3"/>
    <n v="1"/>
    <s v="A"/>
    <s v="Q PAC"/>
    <s v="22646/HIPPO MIDI BAG"/>
    <s v="U+2 panel"/>
    <s v="90X90X90"/>
    <s v="2310-332"/>
    <n v="475"/>
    <n v="373.35"/>
    <x v="20"/>
    <n v="6405"/>
    <n v="475"/>
    <n v="5930"/>
    <m/>
  </r>
  <r>
    <d v="2026-05-05T00:00:00"/>
    <x v="3"/>
    <n v="2"/>
    <s v="A"/>
    <s v="AMBIFLEX"/>
    <s v="OBV1250048-1/4590"/>
    <s v="U+2 panel top and bottom spout "/>
    <s v="95x95x210"/>
    <s v="2603-085"/>
    <n v="1100"/>
    <n v="2519"/>
    <x v="22"/>
    <n v="4180"/>
    <n v="1100"/>
    <n v="3080"/>
    <m/>
  </r>
  <r>
    <d v="2026-05-05T00:00:00"/>
    <x v="3"/>
    <n v="2"/>
    <s v="A"/>
    <s v="Dajusa "/>
    <s v="50201/DAJU100120CAFP070CANO"/>
    <s v="U+2 panel"/>
    <s v="100X100X120"/>
    <s v="2603-054"/>
    <n v="200"/>
    <n v="272"/>
    <x v="26"/>
    <n v="200"/>
    <n v="200"/>
    <n v="0"/>
    <m/>
  </r>
  <r>
    <d v="2026-05-05T00:00:00"/>
    <x v="3"/>
    <n v="2"/>
    <s v="A"/>
    <s v="H Polesy "/>
    <s v="HPC-PO003844-9090160-3"/>
    <s v="circular cross corner "/>
    <s v="90x90x160"/>
    <s v="2604-249"/>
    <n v="725"/>
    <n v="1363"/>
    <x v="27"/>
    <n v="1000"/>
    <n v="725"/>
    <n v="275"/>
    <m/>
  </r>
  <r>
    <d v="2026-05-06T00:00:00"/>
    <x v="3"/>
    <n v="1"/>
    <s v="A"/>
    <s v="Q PAC"/>
    <s v="22646/HIPPO MIDI BAG"/>
    <s v="U+2 panel"/>
    <s v="90X90X90"/>
    <s v="2310-332"/>
    <n v="500"/>
    <n v="393"/>
    <x v="20"/>
    <n v="5930"/>
    <n v="500"/>
    <n v="5430"/>
    <m/>
  </r>
  <r>
    <d v="2026-05-06T00:00:00"/>
    <x v="3"/>
    <n v="2"/>
    <s v="A"/>
    <s v="AMBIFLEX"/>
    <s v="OBV1250048-1/4590"/>
    <s v="U+2 panel top and bottom spout "/>
    <s v="95x95x210"/>
    <s v="2603-085"/>
    <n v="450"/>
    <n v="1030.5"/>
    <x v="22"/>
    <n v="3080"/>
    <n v="450"/>
    <n v="2630"/>
    <m/>
  </r>
  <r>
    <d v="2026-05-06T00:00:00"/>
    <x v="3"/>
    <n v="2"/>
    <s v="A"/>
    <s v="H Polesy "/>
    <s v="HPC-PO003844-9090160-3"/>
    <s v="circular cross corner "/>
    <s v="90x90x160"/>
    <s v="2604-249"/>
    <n v="275"/>
    <n v="517"/>
    <x v="27"/>
    <n v="275"/>
    <n v="275"/>
    <n v="0"/>
    <m/>
  </r>
  <r>
    <d v="2026-05-06T00:00:00"/>
    <x v="3"/>
    <n v="2"/>
    <s v="A"/>
    <s v="H Polesy "/>
    <s v="HPC-PO003844-9090120-1"/>
    <s v="CIRCULER/COMPLI/X-CORNER"/>
    <s v="90x90x120"/>
    <s v="2604-247"/>
    <n v="225"/>
    <n v="353.25"/>
    <x v="28"/>
    <n v="1440"/>
    <n v="225"/>
    <n v="1215"/>
    <m/>
  </r>
  <r>
    <d v="2026-05-06T00:00:00"/>
    <x v="3"/>
    <n v="2"/>
    <s v="A"/>
    <s v="H Polesy "/>
    <s v="HPC-PO003844-9595180-5"/>
    <s v="CIRCULER/COMPLI/X-CORNER"/>
    <s v="95X95X180"/>
    <s v="2604-251"/>
    <n v="370"/>
    <n v="777"/>
    <x v="29"/>
    <n v="370"/>
    <n v="370"/>
    <n v="0"/>
    <m/>
  </r>
  <r>
    <d v="2026-05-07T00:00:00"/>
    <x v="3"/>
    <n v="1"/>
    <s v="A"/>
    <s v="Q PAC"/>
    <s v="22646/HIPPO MIDI BAG"/>
    <s v="U+2 panel"/>
    <s v="90X90X90"/>
    <s v="2310-332"/>
    <n v="875"/>
    <n v="687.75"/>
    <x v="20"/>
    <n v="5430"/>
    <n v="875"/>
    <n v="4555"/>
    <m/>
  </r>
  <r>
    <d v="2026-05-07T00:00:00"/>
    <x v="3"/>
    <n v="2"/>
    <s v="A"/>
    <s v="AMBIFLEX"/>
    <s v="OBV1250048-1/4590"/>
    <s v="U+2 panel top and bottom spout "/>
    <s v="95x95x210"/>
    <s v="2603-085"/>
    <n v="450"/>
    <n v="1030.5"/>
    <x v="22"/>
    <n v="2630"/>
    <n v="450"/>
    <n v="2180"/>
    <m/>
  </r>
  <r>
    <d v="2026-05-07T00:00:00"/>
    <x v="3"/>
    <n v="2"/>
    <s v="A"/>
    <s v="H Polesy "/>
    <s v="HPC-PO003844-9090120-1"/>
    <s v="CIRCULER/COMPLI/X-CORNER"/>
    <s v="90x90x120"/>
    <s v="2604-247"/>
    <n v="650"/>
    <n v="1020.5"/>
    <x v="28"/>
    <n v="1215"/>
    <n v="650"/>
    <n v="565"/>
    <m/>
  </r>
  <r>
    <d v="2026-05-08T00:00:00"/>
    <x v="3"/>
    <n v="1"/>
    <s v="A"/>
    <s v="Q PAC"/>
    <s v="22646/HIPPO MIDI BAG"/>
    <s v="U+2 panel"/>
    <s v="90X90X90"/>
    <s v="2310-332"/>
    <n v="1000"/>
    <n v="786"/>
    <x v="20"/>
    <n v="4555"/>
    <n v="1000"/>
    <n v="3555"/>
    <m/>
  </r>
  <r>
    <d v="2026-05-08T00:00:00"/>
    <x v="3"/>
    <n v="2"/>
    <s v="A"/>
    <s v="AMBIFLEX"/>
    <s v="OBV1250048-1/4590"/>
    <s v="U+2 panel top and bottom spout "/>
    <s v="95x95x210"/>
    <s v="2603-085"/>
    <n v="850"/>
    <n v="1946.5"/>
    <x v="22"/>
    <n v="2180"/>
    <n v="850"/>
    <n v="1330"/>
    <m/>
  </r>
  <r>
    <d v="2026-05-08T00:00:00"/>
    <x v="3"/>
    <n v="2"/>
    <s v="A"/>
    <s v="H Polesy "/>
    <s v="HPC-PO003844-9090120-1"/>
    <s v="CIRCULER/COMPLI/X-CORNER"/>
    <s v="90x90x120"/>
    <s v="2604-247"/>
    <n v="565"/>
    <n v="887.05000000000007"/>
    <x v="28"/>
    <n v="565"/>
    <n v="565"/>
    <n v="0"/>
    <m/>
  </r>
  <r>
    <d v="2026-05-09T00:00:00"/>
    <x v="3"/>
    <n v="1"/>
    <s v="A"/>
    <s v="Q PAC"/>
    <s v="22646/HIPPO MIDI BAG"/>
    <s v="U+2 panel"/>
    <s v="90X90X90"/>
    <s v="2310-332"/>
    <n v="1400"/>
    <n v="1100.4000000000001"/>
    <x v="20"/>
    <n v="3555"/>
    <n v="1400"/>
    <n v="2155"/>
    <m/>
  </r>
  <r>
    <d v="2026-05-09T00:00:00"/>
    <x v="3"/>
    <n v="2"/>
    <s v="A"/>
    <s v="AMBIFLEX"/>
    <s v="OBV1250048-1/4590"/>
    <s v="U+2 panel top and bottom spout "/>
    <s v="95x95x210"/>
    <s v="2603-085"/>
    <n v="375"/>
    <n v="858.75"/>
    <x v="22"/>
    <n v="1330"/>
    <n v="375"/>
    <n v="955"/>
    <m/>
  </r>
  <r>
    <d v="2026-05-09T00:00:00"/>
    <x v="3"/>
    <n v="1"/>
    <s v="A"/>
    <s v="NNZ DENMARK"/>
    <s v="162600119/16005548"/>
    <s v="Drum waste bag "/>
    <s v="33X131X269"/>
    <s v="2602-374"/>
    <n v="170"/>
    <n v="785.4"/>
    <x v="24"/>
    <n v="975"/>
    <n v="170"/>
    <n v="805"/>
    <m/>
  </r>
  <r>
    <d v="2026-05-11T00:00:00"/>
    <x v="3"/>
    <n v="1"/>
    <s v="A"/>
    <s v="Q PAC"/>
    <s v="22646/HIPPO MIDI BAG"/>
    <s v="U+2 panel"/>
    <s v="90X90X90"/>
    <s v="2310-332"/>
    <n v="1975"/>
    <n v="1552.3500000000001"/>
    <x v="20"/>
    <n v="2155"/>
    <n v="1975"/>
    <n v="180"/>
    <m/>
  </r>
  <r>
    <d v="2026-05-11T00:00:00"/>
    <x v="3"/>
    <n v="2"/>
    <s v="A"/>
    <s v="AMBIFLEX"/>
    <s v="OBV1250048-1/4590"/>
    <s v="U+2 panel top and bottom spout "/>
    <s v="95x95x210"/>
    <s v="2603-085"/>
    <n v="475"/>
    <n v="1087.75"/>
    <x v="22"/>
    <n v="955"/>
    <n v="475"/>
    <n v="480"/>
    <m/>
  </r>
  <r>
    <d v="2026-05-11T00:00:00"/>
    <x v="3"/>
    <n v="1"/>
    <s v="A"/>
    <s v="NNZ DENMARK"/>
    <s v="162600119/16005548"/>
    <s v="Drum waste bag "/>
    <s v="33X131X269"/>
    <s v="2602-374"/>
    <n v="80"/>
    <n v="369.6"/>
    <x v="24"/>
    <n v="805"/>
    <n v="80"/>
    <n v="725"/>
    <m/>
  </r>
  <r>
    <d v="2026-05-11T00:00:00"/>
    <x v="3"/>
    <n v="2"/>
    <s v="A"/>
    <s v="AMBIFLEX"/>
    <s v="OBV1250048-1/4590"/>
    <s v="U+2 panel top and bottom spout "/>
    <s v="95x95x210"/>
    <s v="2603-085"/>
    <n v="200"/>
    <n v="458"/>
    <x v="22"/>
    <n v="480"/>
    <n v="200"/>
    <n v="280"/>
    <m/>
  </r>
  <r>
    <d v="2026-05-12T00:00:00"/>
    <x v="3"/>
    <n v="1"/>
    <s v="A"/>
    <s v="NNZ DENMARK"/>
    <s v="162600119/16005548"/>
    <s v="Drum waste bag "/>
    <s v="33X131X269"/>
    <s v="2602-374"/>
    <n v="175"/>
    <n v="808.5"/>
    <x v="24"/>
    <n v="725"/>
    <n v="175"/>
    <n v="550"/>
    <m/>
  </r>
  <r>
    <d v="2026-05-12T00:00:00"/>
    <x v="3"/>
    <n v="1"/>
    <s v="A"/>
    <s v="Dajusa "/>
    <s v="50229/DAJU091090BABD070LOOPS45"/>
    <s v="u panel complicated "/>
    <s v="91X91X90"/>
    <s v="2603-052"/>
    <n v="175"/>
    <n v="169.4"/>
    <x v="30"/>
    <n v="450"/>
    <n v="175"/>
    <n v="275"/>
    <m/>
  </r>
  <r>
    <d v="2026-05-12T00:00:00"/>
    <x v="3"/>
    <n v="1"/>
    <s v="A"/>
    <s v="Dajusa "/>
    <s v="50146/DAJU100220BCBD080GREENLOOPS30/120"/>
    <s v="u panel complicated "/>
    <s v="100X100X220"/>
    <s v="2603-047"/>
    <n v="425"/>
    <n v="947.75"/>
    <x v="0"/>
    <n v="1900"/>
    <n v="425"/>
    <n v="1475"/>
    <m/>
  </r>
  <r>
    <d v="2026-05-12T00:00:00"/>
    <x v="3"/>
    <n v="1"/>
    <s v="A"/>
    <s v="Dajusa "/>
    <s v="50088/DAJU125105130CAFPUN13H4Z/120"/>
    <s v="u panel complicated "/>
    <s v="125X105X130"/>
    <s v="2603-046"/>
    <n v="450"/>
    <n v="1368"/>
    <x v="31"/>
    <n v="600"/>
    <n v="450"/>
    <n v="150"/>
    <m/>
  </r>
  <r>
    <d v="2026-05-12T00:00:00"/>
    <x v="3"/>
    <n v="2"/>
    <s v="A"/>
    <s v="AMBIFLEX"/>
    <s v="OBV1250048-1/4590"/>
    <s v="U+2 panel top and bottom spout "/>
    <s v="95x95x210"/>
    <s v="2603-085"/>
    <n v="200"/>
    <n v="458"/>
    <x v="22"/>
    <n v="280"/>
    <n v="200"/>
    <n v="80"/>
    <m/>
  </r>
  <r>
    <d v="2026-05-13T00:00:00"/>
    <x v="3"/>
    <n v="1"/>
    <s v="A"/>
    <s v="Q PAC"/>
    <s v="22646/HIPPO MIDI BAG"/>
    <s v="U+2 panel"/>
    <s v="90X90X90"/>
    <s v="2310-332"/>
    <n v="180"/>
    <n v="141.48000000000002"/>
    <x v="20"/>
    <n v="180"/>
    <n v="180"/>
    <n v="0"/>
    <m/>
  </r>
  <r>
    <d v="2026-05-13T00:00:00"/>
    <x v="3"/>
    <n v="2"/>
    <s v="A"/>
    <s v="AMBIFLEX"/>
    <s v="OBV1250048-1/4590"/>
    <s v="U+2 panel top and bottom spout "/>
    <s v="95x95x210"/>
    <s v="2603-085"/>
    <n v="280"/>
    <n v="641.20000000000005"/>
    <x v="22"/>
    <n v="280"/>
    <n v="280"/>
    <n v="0"/>
    <m/>
  </r>
  <r>
    <d v="2026-05-13T00:00:00"/>
    <x v="3"/>
    <n v="1"/>
    <s v="A"/>
    <s v="NNZ DENMARK"/>
    <s v="162600119/16005548"/>
    <s v="Drum waste bag "/>
    <s v="33X131X269"/>
    <s v="2602-374"/>
    <n v="175"/>
    <n v="808.5"/>
    <x v="24"/>
    <n v="550"/>
    <n v="175"/>
    <n v="375"/>
    <m/>
  </r>
  <r>
    <d v="2026-05-13T00:00:00"/>
    <x v="3"/>
    <n v="1"/>
    <s v="A"/>
    <s v="Dajusa "/>
    <s v="50146/DAJU100220BCBD080GREENLOOPS30/120"/>
    <s v="u panel complicated "/>
    <s v="100X100X220"/>
    <s v="2603-047"/>
    <n v="375"/>
    <n v="836.25"/>
    <x v="0"/>
    <n v="1475"/>
    <n v="375"/>
    <n v="1100"/>
    <m/>
  </r>
  <r>
    <d v="2026-05-13T00:00:00"/>
    <x v="3"/>
    <n v="1"/>
    <s v="A"/>
    <s v="Dajusa "/>
    <s v="50088/DAJU125105130CAFPUN13H4Z/120"/>
    <s v="u panel complicated "/>
    <s v="125X105X130"/>
    <s v="2603-046"/>
    <n v="150"/>
    <n v="456"/>
    <x v="31"/>
    <n v="150"/>
    <n v="150"/>
    <n v="0"/>
    <m/>
  </r>
  <r>
    <d v="2026-05-14T00:00:00"/>
    <x v="3"/>
    <n v="1"/>
    <s v="A"/>
    <s v="NNZ DENMARK"/>
    <s v="162600119/16005548"/>
    <s v="Drum waste bag "/>
    <s v="33X131X269"/>
    <s v="2602-374"/>
    <n v="175"/>
    <n v="808.5"/>
    <x v="24"/>
    <n v="375"/>
    <n v="175"/>
    <n v="200"/>
    <m/>
  </r>
  <r>
    <d v="2026-05-14T00:00:00"/>
    <x v="3"/>
    <n v="1"/>
    <s v="A"/>
    <s v="Gulbrandsen "/>
    <s v="111065966/50048688"/>
    <s v="U panel liner "/>
    <s v="91.5X91.5X118"/>
    <s v="2604-185"/>
    <n v="250"/>
    <n v="570"/>
    <x v="25"/>
    <n v="250"/>
    <n v="250"/>
    <n v="0"/>
    <m/>
  </r>
  <r>
    <d v="2026-05-14T00:00:00"/>
    <x v="3"/>
    <n v="1"/>
    <s v="A"/>
    <s v="Dajusa "/>
    <s v="50146/DAJU100220BCBD080GREENLOOPS30/120"/>
    <s v="UPANEL/COMPLI"/>
    <s v="100X100X220"/>
    <s v="2603-047"/>
    <n v="200"/>
    <n v="446"/>
    <x v="0"/>
    <n v="1100"/>
    <n v="200"/>
    <n v="900"/>
    <m/>
  </r>
  <r>
    <d v="2026-05-14T00:00:00"/>
    <x v="3"/>
    <n v="1"/>
    <s v="A"/>
    <s v="Dajusa "/>
    <s v="50222/DAJU091120BAFP090GRANITO"/>
    <s v="UPANEL"/>
    <s v="91X91X120"/>
    <s v="2603-048"/>
    <n v="850"/>
    <n v="1147.5"/>
    <x v="32"/>
    <n v="1625"/>
    <n v="850"/>
    <n v="775"/>
    <m/>
  </r>
  <r>
    <d v="2026-05-14T00:00:00"/>
    <x v="3"/>
    <n v="1"/>
    <s v="A"/>
    <s v="Dajusa "/>
    <s v="50074/DAJU091100BAFP090LOOPS30"/>
    <s v="UPANEL"/>
    <s v="91X91X100"/>
    <s v="2603-049"/>
    <n v="350"/>
    <n v="420"/>
    <x v="33"/>
    <n v="350"/>
    <n v="350"/>
    <n v="0"/>
    <m/>
  </r>
  <r>
    <d v="2026-05-14T00:00:00"/>
    <x v="3"/>
    <n v="1"/>
    <s v="A"/>
    <s v="Dajusa "/>
    <s v="50229/DAJU091090BABD070LOOPS45"/>
    <s v="UPANEL/COMPLI"/>
    <s v="91X91X90"/>
    <s v="2603-052"/>
    <n v="200"/>
    <n v="192"/>
    <x v="34"/>
    <n v="275"/>
    <n v="200"/>
    <n v="75"/>
    <m/>
  </r>
  <r>
    <d v="2026-05-15T00:00:00"/>
    <x v="3"/>
    <n v="1"/>
    <s v="A"/>
    <s v="NNZ DENMARK"/>
    <s v="162600119/16005548"/>
    <s v="Drum waste bag "/>
    <s v="33X131X269"/>
    <s v="2602-374"/>
    <n v="175"/>
    <n v="808.5"/>
    <x v="24"/>
    <n v="200"/>
    <n v="175"/>
    <n v="25"/>
    <m/>
  </r>
  <r>
    <d v="2026-05-15T00:00:00"/>
    <x v="3"/>
    <n v="1"/>
    <s v="A"/>
    <s v="Gulbrandsen "/>
    <s v="111065000/20001609"/>
    <s v="U panel liner "/>
    <s v="89X104X165"/>
    <s v="2604-001"/>
    <n v="200"/>
    <n v="558"/>
    <x v="7"/>
    <n v="250"/>
    <n v="200"/>
    <n v="50"/>
    <m/>
  </r>
  <r>
    <d v="2026-05-15T00:00:00"/>
    <x v="3"/>
    <n v="1"/>
    <s v="A"/>
    <s v="Dajusa "/>
    <s v="50146/DAJU100220BCBD080GREENLOOPS30/120"/>
    <s v="UPANEL/COMPLI"/>
    <s v="100X100X220"/>
    <s v="2603-047"/>
    <n v="50"/>
    <n v="111.5"/>
    <x v="0"/>
    <n v="900"/>
    <n v="50"/>
    <n v="850"/>
    <m/>
  </r>
  <r>
    <d v="2026-05-15T00:00:00"/>
    <x v="3"/>
    <n v="1"/>
    <s v="A"/>
    <s v="Dajusa "/>
    <s v="50222/DAJU091120BAFP090GRANITO"/>
    <s v="UPANEL"/>
    <s v="91X91X120"/>
    <s v="2603-048"/>
    <n v="700"/>
    <n v="945.00000000000011"/>
    <x v="32"/>
    <n v="775"/>
    <n v="700"/>
    <n v="75"/>
    <m/>
  </r>
  <r>
    <d v="2026-05-15T00:00:00"/>
    <x v="3"/>
    <n v="1"/>
    <s v="A"/>
    <s v="Dajusa "/>
    <s v="50225/DAJU091090BAFP070LABOBILA"/>
    <s v="UPANEL"/>
    <s v="91X94X90"/>
    <s v="2603-051"/>
    <n v="400"/>
    <n v="316"/>
    <x v="35"/>
    <n v="1000"/>
    <n v="400"/>
    <n v="600"/>
    <m/>
  </r>
  <r>
    <d v="2026-05-15T00:00:00"/>
    <x v="3"/>
    <n v="1"/>
    <s v="A"/>
    <s v="Dajusa "/>
    <s v="50265/DAJU091110CABD070LOOPS30"/>
    <s v="UPANEL/COMPLI"/>
    <s v="91X91X100"/>
    <s v="2603-057"/>
    <n v="50"/>
    <n v="64.5"/>
    <x v="36"/>
    <n v="325"/>
    <n v="50"/>
    <n v="275"/>
    <m/>
  </r>
  <r>
    <d v="2026-05-16T00:00:00"/>
    <x v="3"/>
    <n v="1"/>
    <s v="A"/>
    <s v="Dajusa "/>
    <s v="50146/DAJU100220BCBD080GREENLOOPS30/120"/>
    <s v="UPANEL/COMPLI"/>
    <s v="100X100X220"/>
    <s v="2603-047"/>
    <n v="325"/>
    <n v="724.75"/>
    <x v="0"/>
    <n v="850"/>
    <n v="325"/>
    <n v="525"/>
    <m/>
  </r>
  <r>
    <d v="2026-05-16T00:00:00"/>
    <x v="3"/>
    <n v="1"/>
    <s v="A"/>
    <s v="Dajusa "/>
    <s v="50225/DAJU091090BAFP070LABOBILA"/>
    <s v="UPANEL"/>
    <s v="91X94X90"/>
    <s v="2603-051"/>
    <n v="300"/>
    <n v="237"/>
    <x v="35"/>
    <n v="600"/>
    <n v="300"/>
    <n v="300"/>
    <m/>
  </r>
  <r>
    <d v="2026-05-16T00:00:00"/>
    <x v="3"/>
    <n v="1"/>
    <s v="A"/>
    <s v="Dajusa "/>
    <s v="50265/DAJU091110CABD070LOOPS30"/>
    <s v="UPANEL/COMPLI"/>
    <s v="91X91X100"/>
    <s v="2603-057"/>
    <n v="275"/>
    <n v="354.75"/>
    <x v="36"/>
    <n v="275"/>
    <n v="275"/>
    <n v="0"/>
    <m/>
  </r>
  <r>
    <d v="2026-05-16T00:00:00"/>
    <x v="3"/>
    <n v="1"/>
    <s v="A"/>
    <s v="FIBCO"/>
    <s v="FIBCO/PO/2026/0057/JBPL-01"/>
    <s v="UPANEL"/>
    <s v="90x90x120"/>
    <s v="2605-034"/>
    <n v="300"/>
    <n v="378"/>
    <x v="37"/>
    <n v="15500"/>
    <n v="300"/>
    <n v="15200"/>
    <m/>
  </r>
  <r>
    <d v="2026-05-16T00:00:00"/>
    <x v="3"/>
    <n v="1"/>
    <s v="A"/>
    <s v="H Polesy "/>
    <s v="HPC-PO003844-9090140-2"/>
    <s v="cross corner "/>
    <s v="90X90X140"/>
    <s v="2604-248"/>
    <n v="600"/>
    <n v="960"/>
    <x v="38"/>
    <n v="1840"/>
    <n v="600"/>
    <n v="1240"/>
    <m/>
  </r>
  <r>
    <d v="2026-05-18T00:00:00"/>
    <x v="3"/>
    <n v="1"/>
    <s v="A"/>
    <s v="Dajusa "/>
    <s v="50146/DAJU100220BCBD080GREENLOOPS30/120"/>
    <s v="UPANEL/COMPLI"/>
    <s v="100X100X220"/>
    <s v="2603-047"/>
    <n v="365"/>
    <n v="813.95"/>
    <x v="0"/>
    <n v="525"/>
    <n v="365"/>
    <n v="160"/>
    <m/>
  </r>
  <r>
    <d v="2026-05-18T00:00:00"/>
    <x v="3"/>
    <n v="1"/>
    <s v="A"/>
    <s v="Dajusa "/>
    <s v="50225/DAJU091090BAFP070LABOBILA"/>
    <s v="UPANEL"/>
    <s v="91X94X90"/>
    <s v="2603-051"/>
    <n v="300"/>
    <n v="237"/>
    <x v="35"/>
    <n v="15200"/>
    <n v="300"/>
    <n v="14900"/>
    <m/>
  </r>
  <r>
    <d v="2026-05-18T00:00:00"/>
    <x v="3"/>
    <n v="1"/>
    <s v="A"/>
    <s v="Dajusa "/>
    <s v="50174/DAJU091090BAFP070CENTELLES"/>
    <s v="UPANEL/COMPLI"/>
    <s v="91X91X100"/>
    <s v="2603-053"/>
    <n v="120"/>
    <n v="97.440000000000012"/>
    <x v="39"/>
    <n v="1000"/>
    <n v="120"/>
    <n v="880"/>
    <m/>
  </r>
  <r>
    <d v="2026-05-18T00:00:00"/>
    <x v="3"/>
    <n v="1"/>
    <s v="A"/>
    <s v="FIBCO"/>
    <s v="FIBCO/PO/2026/0057/JBPL-01"/>
    <s v="UPANEL"/>
    <s v="90x90x120"/>
    <s v="2605-034"/>
    <n v="550"/>
    <n v="693"/>
    <x v="37"/>
    <n v="15200"/>
    <n v="550"/>
    <n v="14650"/>
    <m/>
  </r>
  <r>
    <d v="2026-05-18T00:00:00"/>
    <x v="3"/>
    <n v="1"/>
    <s v="A"/>
    <s v="H Polesy "/>
    <s v="HPC-PO003844-9090140-2"/>
    <s v="cross corner "/>
    <s v="90X90X140"/>
    <s v="2604-248"/>
    <n v="725"/>
    <n v="1160"/>
    <x v="38"/>
    <n v="1240"/>
    <n v="725"/>
    <n v="515"/>
    <m/>
  </r>
  <r>
    <d v="2026-05-19T00:00:00"/>
    <x v="3"/>
    <n v="1"/>
    <s v="A"/>
    <s v="FIBCO"/>
    <s v="FIBCO/PO/2026/0057/JBPL-01"/>
    <s v="UPANEL"/>
    <s v="90x90x120"/>
    <s v="2605-034"/>
    <n v="750"/>
    <n v="945"/>
    <x v="37"/>
    <n v="14650"/>
    <n v="750"/>
    <n v="13900"/>
    <m/>
  </r>
  <r>
    <d v="2026-05-19T00:00:00"/>
    <x v="3"/>
    <n v="1"/>
    <s v="A"/>
    <s v="H Polesy "/>
    <s v="HPC-PO003844-9090140-2"/>
    <s v="cross corner "/>
    <s v="90X90X140"/>
    <s v="2604-248"/>
    <n v="475"/>
    <n v="760"/>
    <x v="38"/>
    <n v="515"/>
    <n v="475"/>
    <n v="40"/>
    <m/>
  </r>
  <r>
    <d v="2026-05-19T00:00:00"/>
    <x v="3"/>
    <n v="1"/>
    <s v="A"/>
    <s v="NNZ DENMARK"/>
    <s v="162600119/16005548"/>
    <s v="Drum waste bag "/>
    <s v="33X131X269"/>
    <s v="2602-374"/>
    <n v="25"/>
    <n v="115.5"/>
    <x v="24"/>
    <n v="25"/>
    <n v="25"/>
    <n v="0"/>
    <m/>
  </r>
  <r>
    <d v="2026-05-19T00:00:00"/>
    <x v="3"/>
    <n v="1"/>
    <s v="A"/>
    <s v="Dajusa "/>
    <s v="50146/DAJU100220BCBD080GREENLOOPS30/120"/>
    <s v="UPANEL/COMPLI"/>
    <s v="100X100X220"/>
    <s v="2603-047"/>
    <n v="125"/>
    <n v="278.75"/>
    <x v="0"/>
    <n v="160"/>
    <n v="125"/>
    <n v="35"/>
    <m/>
  </r>
  <r>
    <d v="2026-05-19T00:00:00"/>
    <x v="3"/>
    <n v="1"/>
    <s v="A"/>
    <s v="Dajusa "/>
    <s v="50174/DAJU091090BAFP070CENTELLES"/>
    <s v="UPANEL/COMPLI"/>
    <s v="91X91X100"/>
    <s v="2603-053"/>
    <n v="500"/>
    <n v="406"/>
    <x v="39"/>
    <n v="880"/>
    <n v="500"/>
    <n v="380"/>
    <m/>
  </r>
  <r>
    <d v="2026-05-20T00:00:00"/>
    <x v="3"/>
    <n v="1"/>
    <s v="A"/>
    <s v="FIBCO"/>
    <s v="FIBCO/PO/2026/0057/JBPL-01"/>
    <s v="UPANEL"/>
    <s v="90x90x120"/>
    <s v="2605-034"/>
    <n v="1300"/>
    <n v="1638"/>
    <x v="37"/>
    <n v="13900"/>
    <n v="1300"/>
    <n v="12600"/>
    <m/>
  </r>
  <r>
    <d v="2026-05-20T00:00:00"/>
    <x v="3"/>
    <n v="1"/>
    <s v="A"/>
    <s v="NNZ DENMARK"/>
    <s v="162600212/16005410"/>
    <s v="Drum waste bag "/>
    <s v="131x131x 294"/>
    <s v="2603-307"/>
    <n v="175"/>
    <n v="1277.5"/>
    <x v="40"/>
    <n v="2400"/>
    <n v="175"/>
    <n v="2225"/>
    <m/>
  </r>
  <r>
    <d v="2026-05-20T00:00:00"/>
    <x v="3"/>
    <n v="1"/>
    <s v="A"/>
    <s v="Dajusa "/>
    <s v="50174/DAJU091090BAFP070CENTELLES"/>
    <s v="UPANEL/COMPLI"/>
    <s v="91X91X100"/>
    <s v="2603-053"/>
    <n v="180"/>
    <n v="146.16"/>
    <x v="39"/>
    <n v="380"/>
    <n v="180"/>
    <n v="200"/>
    <m/>
  </r>
  <r>
    <d v="2026-05-20T00:00:00"/>
    <x v="3"/>
    <n v="1"/>
    <s v="A"/>
    <s v="Dajusa "/>
    <s v="50137/DAJU040090080ISEG8:1"/>
    <s v="UPANEL/COMPLI"/>
    <s v="40X90X80"/>
    <s v="2603-050"/>
    <n v="60"/>
    <n v="108"/>
    <x v="41"/>
    <n v="230"/>
    <n v="60"/>
    <n v="170"/>
    <m/>
  </r>
  <r>
    <d v="2026-05-20T00:00:00"/>
    <x v="3"/>
    <n v="1"/>
    <s v="A"/>
    <s v="Dajusa "/>
    <s v="50245/DAJU091100BAFP070BRICODEPOT"/>
    <s v="UPANEL/COMPLI"/>
    <s v="91X91X100"/>
    <s v="2603-058"/>
    <n v="150"/>
    <n v="129"/>
    <x v="42"/>
    <n v="750"/>
    <n v="150"/>
    <n v="600"/>
    <m/>
  </r>
  <r>
    <d v="2026-05-20T00:00:00"/>
    <x v="3"/>
    <n v="1"/>
    <s v="A"/>
    <s v="multi negoce "/>
    <s v="MN-42-02032026/NEUTRAL+LOOP"/>
    <s v="U+2Panel/Corner"/>
    <s v="95x95x110"/>
    <s v="2506-218"/>
    <n v="700"/>
    <n v="959.00000000000011"/>
    <x v="43"/>
    <n v="5280"/>
    <n v="700"/>
    <n v="4580"/>
    <m/>
  </r>
  <r>
    <d v="2026-05-21T00:00:00"/>
    <x v="3"/>
    <n v="1"/>
    <s v="A"/>
    <s v="multi negoce "/>
    <s v="MN-42-02032026/NEUTRAL+LOOP"/>
    <s v="U+2Panel/Corner"/>
    <s v="95x95x110"/>
    <s v="2506-218"/>
    <n v="350"/>
    <n v="479.50000000000006"/>
    <x v="43"/>
    <n v="4580"/>
    <n v="350"/>
    <n v="4230"/>
    <m/>
  </r>
  <r>
    <d v="2026-05-21T00:00:00"/>
    <x v="3"/>
    <n v="1"/>
    <s v="A"/>
    <s v="NNZ DENMARK"/>
    <s v="162600212/16005410"/>
    <s v="Drum waste bag "/>
    <s v="131x131x 294"/>
    <s v="2603-307"/>
    <n v="150"/>
    <n v="1095"/>
    <x v="40"/>
    <n v="2225"/>
    <n v="150"/>
    <n v="2075"/>
    <m/>
  </r>
  <r>
    <d v="2026-05-21T00:00:00"/>
    <x v="3"/>
    <n v="1"/>
    <s v="A"/>
    <s v="Dajusa "/>
    <s v="50222/DAJU091120BAFP090GRANITO"/>
    <s v="UPANEL"/>
    <s v="91X91X120"/>
    <s v="2603-048"/>
    <n v="75"/>
    <n v="101.25"/>
    <x v="32"/>
    <n v="75"/>
    <n v="75"/>
    <n v="0"/>
    <m/>
  </r>
  <r>
    <d v="2026-05-21T00:00:00"/>
    <x v="3"/>
    <n v="1"/>
    <s v="A"/>
    <s v="Dajusa "/>
    <s v="50245/DAJU091100BAFP070BRICODEPOT"/>
    <s v="UPANEL/COMPLI"/>
    <s v="91X91X100"/>
    <s v="2603-058"/>
    <n v="400"/>
    <n v="344"/>
    <x v="42"/>
    <n v="600"/>
    <n v="400"/>
    <n v="200"/>
    <m/>
  </r>
  <r>
    <d v="2026-05-21T00:00:00"/>
    <x v="3"/>
    <n v="1"/>
    <s v="A"/>
    <s v="Dajusa "/>
    <s v="50102/DAJU091110CAFP070MEDENASA"/>
    <s v="UPANEL/COMPLI"/>
    <s v="91X91X110"/>
    <s v="2603-045"/>
    <n v="50"/>
    <n v="60.5"/>
    <x v="44"/>
    <n v="700"/>
    <n v="50"/>
    <n v="650"/>
    <m/>
  </r>
  <r>
    <d v="2026-05-22T00:00:00"/>
    <x v="3"/>
    <n v="1"/>
    <s v="A"/>
    <s v="Dajusa "/>
    <s v="50245/DAJU091100BAFP070BRICODEPOT"/>
    <s v="UPANEL/COMPLI"/>
    <s v="91X91X100"/>
    <s v="2603-058"/>
    <n v="200"/>
    <n v="172"/>
    <x v="42"/>
    <n v="750"/>
    <n v="200"/>
    <n v="550"/>
    <m/>
  </r>
  <r>
    <d v="2026-05-22T00:00:00"/>
    <x v="3"/>
    <n v="1"/>
    <s v="A"/>
    <s v="Dajusa "/>
    <s v="50174/DAJU091090BAFP070CENTELLES"/>
    <s v="UPANEL/COMPLI"/>
    <s v="91X91X100"/>
    <s v="2603-053"/>
    <n v="200"/>
    <n v="162.4"/>
    <x v="39"/>
    <n v="200"/>
    <n v="200"/>
    <n v="0"/>
    <m/>
  </r>
  <r>
    <d v="2026-05-22T00:00:00"/>
    <x v="3"/>
    <n v="1"/>
    <s v="A"/>
    <s v="NNZ DENMARK"/>
    <s v="162600212/16005410"/>
    <s v="Drum waste bag "/>
    <s v="131x131x 294"/>
    <s v="2603-307"/>
    <n v="175"/>
    <n v="1277.5"/>
    <x v="40"/>
    <n v="2075"/>
    <n v="175"/>
    <n v="1900"/>
    <m/>
  </r>
  <r>
    <d v="2026-05-22T00:00:00"/>
    <x v="3"/>
    <n v="1"/>
    <s v="A"/>
    <s v="Dajusa "/>
    <s v="50102/DAJU091110CAFP070MEDENASA"/>
    <s v="UPANEL/COMPLI"/>
    <s v="91X91X110"/>
    <s v="2603-045"/>
    <n v="650"/>
    <n v="786.5"/>
    <x v="44"/>
    <n v="700"/>
    <n v="50"/>
    <n v="650"/>
    <m/>
  </r>
  <r>
    <d v="2026-05-23T00:00:00"/>
    <x v="3"/>
    <n v="1"/>
    <s v="A"/>
    <s v="NNZ DENMARK"/>
    <s v="162600212/16005410"/>
    <s v="Drum waste bag "/>
    <s v="131x131x 294"/>
    <s v="2603-307"/>
    <n v="150"/>
    <n v="1095"/>
    <x v="40"/>
    <n v="1900"/>
    <n v="150"/>
    <n v="1750"/>
    <m/>
  </r>
  <r>
    <d v="2026-05-23T00:00:00"/>
    <x v="3"/>
    <n v="1"/>
    <s v="A"/>
    <s v="Archit "/>
    <s v="AOLBD2026270034"/>
    <s v="U panel with liner "/>
    <s v="90x90x120"/>
    <s v="2604-014"/>
    <n v="125"/>
    <n v="425"/>
    <x v="45"/>
    <n v="200"/>
    <n v="125"/>
    <n v="75"/>
    <m/>
  </r>
  <r>
    <d v="2026-05-25T00:00:00"/>
    <x v="3"/>
    <n v="1"/>
    <s v="A"/>
    <s v="NNZ DENMARK"/>
    <s v="162600212/16005410"/>
    <s v="Drum waste bag "/>
    <s v="131x131x 294"/>
    <s v="2603-307"/>
    <n v="75"/>
    <n v="547.5"/>
    <x v="40"/>
    <n v="1750"/>
    <n v="75"/>
    <n v="1675"/>
    <m/>
  </r>
  <r>
    <d v="2026-05-25T00:00:00"/>
    <x v="3"/>
    <n v="1"/>
    <s v="A"/>
    <s v="Archit "/>
    <s v="AOLBD2026270034"/>
    <s v="U panel with liner "/>
    <s v="90x90x120"/>
    <s v="2604-014"/>
    <n v="75"/>
    <n v="255"/>
    <x v="45"/>
    <n v="75"/>
    <n v="75"/>
    <n v="0"/>
    <m/>
  </r>
  <r>
    <d v="2026-05-25T00:00:00"/>
    <x v="3"/>
    <n v="1"/>
    <s v="A"/>
    <s v="H Polesy "/>
    <s v="HPC-PO003844-100100140-4"/>
    <s v="cross corner "/>
    <s v="100x100x140"/>
    <s v="2604-248"/>
    <n v="400"/>
    <n v="756"/>
    <x v="46"/>
    <n v="400"/>
    <n v="400"/>
    <n v="0"/>
    <m/>
  </r>
  <r>
    <d v="2026-05-25T00:00:00"/>
    <x v="3"/>
    <n v="1"/>
    <s v="A"/>
    <s v="FIBCO"/>
    <s v="FIBCO/PO/2026/0057/JBPL-01"/>
    <s v="UPANEL"/>
    <s v="90x90x120"/>
    <s v="2605-034"/>
    <n v="400"/>
    <n v="504"/>
    <x v="37"/>
    <n v="12600"/>
    <n v="400"/>
    <n v="12200"/>
    <m/>
  </r>
  <r>
    <d v="2026-05-25T00:00:00"/>
    <x v="3"/>
    <n v="1"/>
    <s v="A"/>
    <s v="Dajusa "/>
    <s v="50137/DAJU040090080ISEG8:1"/>
    <s v="UPANEL/COMPLI"/>
    <s v="40X90X80"/>
    <s v="2603-050"/>
    <n v="170"/>
    <n v="306"/>
    <x v="41"/>
    <n v="170"/>
    <n v="170"/>
    <n v="0"/>
    <m/>
  </r>
  <r>
    <d v="2026-05-25T00:00:00"/>
    <x v="3"/>
    <n v="1"/>
    <s v="A"/>
    <s v="Dajusa "/>
    <s v="50196/DAJU091100BAFP070BRIPORTU"/>
    <s v="UPANEL/COMPLI"/>
    <s v="91X91X100"/>
    <s v="2603-059"/>
    <n v="250"/>
    <n v="222.5"/>
    <x v="47"/>
    <n v="250"/>
    <n v="250"/>
    <n v="0"/>
    <m/>
  </r>
  <r>
    <d v="2026-05-26T00:00:00"/>
    <x v="3"/>
    <n v="1"/>
    <s v="A"/>
    <s v="H Polesy "/>
    <s v="HPC-PO003844-9090140-2"/>
    <s v="cross corner "/>
    <s v="90X90X140"/>
    <s v="2604-248"/>
    <n v="40"/>
    <n v="64"/>
    <x v="38"/>
    <n v="40"/>
    <n v="40"/>
    <n v="0"/>
    <m/>
  </r>
  <r>
    <d v="2026-05-26T00:00:00"/>
    <x v="3"/>
    <n v="1"/>
    <s v="A"/>
    <s v="NNZ DENMARK"/>
    <s v="162600212/16005410"/>
    <s v="Drum waste bag "/>
    <s v="131x131x 294"/>
    <s v="2603-307"/>
    <n v="155"/>
    <n v="1131.5"/>
    <x v="40"/>
    <n v="1675"/>
    <n v="155"/>
    <n v="1520"/>
    <m/>
  </r>
  <r>
    <d v="2026-05-27T00:00:00"/>
    <x v="3"/>
    <n v="1"/>
    <s v="A"/>
    <s v="NNZ DENMARK"/>
    <s v="162600212/16005410"/>
    <s v="Drum waste bag "/>
    <s v="131x131x 294"/>
    <s v="2603-307"/>
    <n v="170"/>
    <n v="1241"/>
    <x v="40"/>
    <n v="1545"/>
    <n v="170"/>
    <n v="1375"/>
    <m/>
  </r>
  <r>
    <d v="2026-05-27T00:00:00"/>
    <x v="3"/>
    <n v="1"/>
    <s v="A"/>
    <s v="Dajusa "/>
    <s v="50146/DAJU100220BCBD080GREENLOOPS30/120"/>
    <s v="UPANEL/COMPLI"/>
    <s v="100X100X220"/>
    <s v="2603-047"/>
    <n v="35"/>
    <n v="78.05"/>
    <x v="0"/>
    <n v="35"/>
    <n v="35"/>
    <n v="0"/>
    <m/>
  </r>
  <r>
    <d v="2026-05-27T00:00:00"/>
    <x v="3"/>
    <n v="1"/>
    <s v="A"/>
    <s v="Q PAC"/>
    <s v="22752/TERRALIS-RC"/>
    <s v="u panel"/>
    <s v="22752/TERRALIS-RC"/>
    <s v="2604-294"/>
    <n v="450"/>
    <n v="301.5"/>
    <x v="48"/>
    <n v="15000"/>
    <n v="450"/>
    <n v="14550"/>
    <m/>
  </r>
  <r>
    <d v="2026-05-27T00:00:00"/>
    <x v="3"/>
    <n v="1"/>
    <s v="A"/>
    <s v="United tradex"/>
    <s v="PO14/100X100X105"/>
    <s v="Q bag "/>
    <s v="PO14/100X100X105"/>
    <s v="2605-346"/>
    <n v="300"/>
    <n v="651"/>
    <x v="49"/>
    <n v="10000"/>
    <n v="300"/>
    <n v="9700"/>
    <m/>
  </r>
  <r>
    <d v="2026-05-28T00:00:00"/>
    <x v="3"/>
    <n v="1"/>
    <s v="A"/>
    <s v="United tradex"/>
    <s v="PO14/100X100X105"/>
    <s v="Q bag "/>
    <s v="PO14/100X100X105"/>
    <s v="2605-346"/>
    <n v="270"/>
    <n v="585.9"/>
    <x v="49"/>
    <n v="9700"/>
    <n v="270"/>
    <n v="9430"/>
    <m/>
  </r>
  <r>
    <d v="2026-05-28T00:00:00"/>
    <x v="3"/>
    <n v="1"/>
    <s v="A"/>
    <s v="NNZ DENMARK"/>
    <s v="162600212/16005410"/>
    <s v="Drum waste bag "/>
    <s v="131x131x 294"/>
    <s v="2603-307"/>
    <n v="165"/>
    <n v="1204.5"/>
    <x v="40"/>
    <n v="1375"/>
    <n v="165"/>
    <n v="1210"/>
    <m/>
  </r>
  <r>
    <d v="2026-05-28T00:00:00"/>
    <x v="3"/>
    <n v="1"/>
    <s v="A"/>
    <s v="Q PAC"/>
    <s v="22752/TERRALIS-RC"/>
    <s v="u panel"/>
    <s v="22752/TERRALIS-RC"/>
    <s v="2604-294"/>
    <n v="800"/>
    <n v="536"/>
    <x v="48"/>
    <n v="14550"/>
    <n v="800"/>
    <n v="13750"/>
    <m/>
  </r>
  <r>
    <d v="2026-05-29T00:00:00"/>
    <x v="3"/>
    <n v="1"/>
    <s v="A"/>
    <s v="United tradex"/>
    <s v="PO14/100X100X105"/>
    <s v="Q bag "/>
    <s v="PO14/100X100X105"/>
    <s v="2605-346"/>
    <n v="100"/>
    <n v="217"/>
    <x v="49"/>
    <n v="9430"/>
    <n v="100"/>
    <n v="9330"/>
    <m/>
  </r>
  <r>
    <d v="2026-05-29T00:00:00"/>
    <x v="3"/>
    <n v="1"/>
    <s v="A"/>
    <s v="NNZ DENMARK"/>
    <s v="162600212/16005410"/>
    <s v="Drum waste bag "/>
    <s v="131x131x 294"/>
    <s v="2603-307"/>
    <n v="150"/>
    <n v="1095"/>
    <x v="40"/>
    <n v="1210"/>
    <n v="150"/>
    <n v="1060"/>
    <m/>
  </r>
  <r>
    <d v="2026-05-30T00:00:00"/>
    <x v="3"/>
    <n v="1"/>
    <s v="A"/>
    <s v="United tradex"/>
    <s v="PO14/100X100X105"/>
    <s v="Q bag "/>
    <s v="PO14/100X100X105"/>
    <s v="2605-346"/>
    <n v="225"/>
    <n v="488.25"/>
    <x v="49"/>
    <n v="9330"/>
    <n v="225"/>
    <n v="9105"/>
    <m/>
  </r>
  <r>
    <d v="2026-05-30T00:00:00"/>
    <x v="3"/>
    <n v="1"/>
    <s v="A"/>
    <s v="NNZ DENMARK"/>
    <s v="162600212/16005410"/>
    <s v="Drum waste bag "/>
    <s v="131x131x 294"/>
    <s v="2603-307"/>
    <n v="165"/>
    <n v="1204.5"/>
    <x v="40"/>
    <n v="1060"/>
    <n v="165"/>
    <n v="895"/>
    <m/>
  </r>
  <r>
    <d v="2026-06-01T00:00:00"/>
    <x v="4"/>
    <n v="1"/>
    <s v="A"/>
    <s v="FIBCO PLASTIC INDUSTRY LLC"/>
    <s v="FIBCO/PO/2026/0057/JBPL-01"/>
    <s v="UPANEL/COMPLI"/>
    <s v="90x90x120"/>
    <s v="2605-034"/>
    <n v="250"/>
    <n v="315"/>
    <x v="37"/>
    <n v="12200"/>
    <n v="250"/>
    <n v="11950"/>
    <m/>
  </r>
  <r>
    <d v="2026-06-01T00:00:00"/>
    <x v="4"/>
    <n v="1"/>
    <s v="A"/>
    <s v="United tradex"/>
    <s v="PO14/100X100X105"/>
    <s v="Q bag "/>
    <s v="PO14/100X100X105"/>
    <s v="2605-346"/>
    <n v="500"/>
    <n v="1085"/>
    <x v="49"/>
    <n v="9105"/>
    <n v="500"/>
    <n v="8605"/>
    <m/>
  </r>
  <r>
    <d v="2026-06-01T00:00:00"/>
    <x v="4"/>
    <n v="1"/>
    <s v="A"/>
    <s v="NNZ DENMARK"/>
    <s v="162600212/16005410"/>
    <s v="Drum waste bag "/>
    <s v="131x131x 294"/>
    <s v="2603-307"/>
    <n v="125"/>
    <n v="912.5"/>
    <x v="40"/>
    <n v="895"/>
    <n v="125"/>
    <n v="770"/>
    <m/>
  </r>
  <r>
    <d v="2026-06-03T00:00:00"/>
    <x v="4"/>
    <n v="1"/>
    <s v="A"/>
    <s v="NNZ DENMARK"/>
    <s v="162600212/16005410"/>
    <s v="Drum waste bag "/>
    <s v="131x131x 294"/>
    <s v="2603-307"/>
    <n v="180"/>
    <n v="1314"/>
    <x v="40"/>
    <n v="770"/>
    <n v="180"/>
    <n v="590"/>
    <m/>
  </r>
  <r>
    <d v="2026-06-03T00:00:00"/>
    <x v="4"/>
    <n v="1"/>
    <s v="A"/>
    <s v="United tradex"/>
    <s v="PO14/100X100X105"/>
    <s v="Q bag "/>
    <s v="PO14/100X100X105"/>
    <s v="2605-346"/>
    <n v="550"/>
    <n v="1193.5"/>
    <x v="49"/>
    <n v="8605"/>
    <n v="550"/>
    <n v="8055"/>
    <m/>
  </r>
  <r>
    <d v="2026-06-04T00:00:00"/>
    <x v="4"/>
    <n v="1"/>
    <s v="A"/>
    <s v="NNZ DENMARK"/>
    <s v="162600212/16005410"/>
    <s v="Drum waste bag "/>
    <s v="131x131x 294"/>
    <s v="2603-307"/>
    <n v="215"/>
    <n v="1569.5"/>
    <x v="40"/>
    <n v="590"/>
    <n v="215"/>
    <n v="375"/>
    <m/>
  </r>
  <r>
    <d v="2026-06-04T00:00:00"/>
    <x v="4"/>
    <n v="1"/>
    <s v="A"/>
    <s v="United tradex"/>
    <s v="PO14/100X100X105"/>
    <s v="Q bag "/>
    <s v="PO14/100X100X105"/>
    <s v="2605-346"/>
    <n v="700"/>
    <n v="1519"/>
    <x v="49"/>
    <n v="8055"/>
    <n v="700"/>
    <n v="7355"/>
    <m/>
  </r>
  <r>
    <d v="2026-06-05T00:00:00"/>
    <x v="4"/>
    <n v="1"/>
    <s v="A"/>
    <s v="NNZ DENMARK"/>
    <s v="162600212/16005410"/>
    <s v="Drum waste bag "/>
    <s v="131x131x 294"/>
    <s v="2603-307"/>
    <n v="350"/>
    <n v="2555"/>
    <x v="40"/>
    <n v="375"/>
    <n v="350"/>
    <n v="25"/>
    <m/>
  </r>
  <r>
    <d v="2026-06-05T00:00:00"/>
    <x v="4"/>
    <n v="1"/>
    <s v="A"/>
    <s v="United tradex"/>
    <s v="PO14/100X100X105"/>
    <s v="Q bag "/>
    <s v="PO14/100X100X105"/>
    <s v="2605-346"/>
    <n v="550"/>
    <n v="1193.5"/>
    <x v="49"/>
    <n v="7355"/>
    <n v="550"/>
    <n v="6805"/>
    <m/>
  </r>
  <r>
    <d v="2026-06-06T00:00:00"/>
    <x v="4"/>
    <n v="1"/>
    <s v="A"/>
    <s v="United tradex"/>
    <s v="PO14/100X100X105"/>
    <s v="Q bag "/>
    <s v="PO14/100X100X105"/>
    <s v="2605-346"/>
    <n v="400"/>
    <n v="868"/>
    <x v="49"/>
    <n v="6805"/>
    <n v="400"/>
    <n v="6405"/>
    <m/>
  </r>
  <r>
    <d v="2026-06-06T00:00:00"/>
    <x v="4"/>
    <n v="1"/>
    <s v="A"/>
    <s v="FIBCO PLASTIC INDUSTRY LLC"/>
    <s v="FIBCO/PO/2026/0057/JBPL-01"/>
    <s v="UPANEL/COMPLI"/>
    <s v="90x90x120"/>
    <s v="2605-034"/>
    <n v="640"/>
    <n v="806.4"/>
    <x v="37"/>
    <n v="11950"/>
    <n v="640"/>
    <n v="11310"/>
    <m/>
  </r>
  <r>
    <d v="2026-06-06T00:00:00"/>
    <x v="4"/>
    <n v="1"/>
    <s v="A"/>
    <s v="Gulbrandsen "/>
    <s v="111066165-50048689"/>
    <s v="U panel liner "/>
    <n v="0"/>
    <n v="0"/>
    <n v="150"/>
    <n v="341.99999999999994"/>
    <x v="25"/>
    <n v="250"/>
    <n v="150"/>
    <n v="100"/>
    <m/>
  </r>
  <r>
    <d v="2026-06-08T00:00:00"/>
    <x v="4"/>
    <n v="1"/>
    <s v="A"/>
    <s v="United tradex"/>
    <s v="PO14/100X100X105"/>
    <s v="Q bag "/>
    <s v="PO14/100X100X105"/>
    <s v="2605-346"/>
    <n v="675"/>
    <n v="1464.75"/>
    <x v="49"/>
    <n v="6405"/>
    <n v="675"/>
    <n v="5730"/>
    <m/>
  </r>
  <r>
    <d v="2026-06-08T00:00:00"/>
    <x v="4"/>
    <n v="1"/>
    <s v="A"/>
    <s v="FIBCO PLASTIC INDUSTRY LLC"/>
    <s v="FIBCO/PO/2026/0057/JBPL-01"/>
    <s v="UPANEL/COMPLI"/>
    <s v="90x90x120"/>
    <s v="2605-034"/>
    <n v="350"/>
    <n v="441"/>
    <x v="37"/>
    <n v="11310"/>
    <n v="350"/>
    <n v="10960"/>
    <m/>
  </r>
  <r>
    <d v="2026-06-08T00:00:00"/>
    <x v="4"/>
    <n v="1"/>
    <s v="A"/>
    <s v="Gulbrandsen "/>
    <s v="111066165-50048689"/>
    <s v="U panel liner "/>
    <n v="0"/>
    <n v="0"/>
    <n v="50"/>
    <n v="113.99999999999999"/>
    <x v="25"/>
    <n v="100"/>
    <n v="50"/>
    <n v="50"/>
    <m/>
  </r>
  <r>
    <d v="2026-06-08T00:00:00"/>
    <x v="4"/>
    <n v="1"/>
    <s v="A"/>
    <s v="MULTI NEGOCE"/>
    <s v="MN-43-14052026/NEUTRAL-1000L"/>
    <s v="UPANEL"/>
    <s v="80X80X80"/>
    <s v="2601-461"/>
    <n v="575"/>
    <n v="461.4375"/>
    <x v="50"/>
    <n v="1140"/>
    <n v="575"/>
    <n v="565"/>
    <m/>
  </r>
  <r>
    <d v="2026-06-09T00:00:00"/>
    <x v="4"/>
    <n v="1"/>
    <s v="A"/>
    <s v="MULTI NEGOCE"/>
    <s v="MN-43-14052026/NEUTRAL-1000L"/>
    <s v="UPANEL"/>
    <s v="80X80X80"/>
    <s v="2601-461"/>
    <n v="565"/>
    <n v="453.41250000000002"/>
    <x v="50"/>
    <n v="565"/>
    <n v="565"/>
    <n v="0"/>
    <m/>
  </r>
  <r>
    <d v="2026-06-09T00:00:00"/>
    <x v="4"/>
    <n v="1"/>
    <s v="A"/>
    <s v="FIBCO PLASTIC INDUSTRY LLC"/>
    <s v="FIBCO/PO/2026/0057/JBPL-01"/>
    <s v="UPANEL/COMPLI"/>
    <s v="90x90x120"/>
    <s v="2605-034"/>
    <n v="400"/>
    <n v="504"/>
    <x v="37"/>
    <n v="10960"/>
    <n v="400"/>
    <n v="10560"/>
    <m/>
  </r>
  <r>
    <d v="2026-06-09T00:00:00"/>
    <x v="4"/>
    <n v="1"/>
    <s v="A"/>
    <s v="United tradex"/>
    <s v="PO14/100X100X105"/>
    <s v="Q bag "/>
    <s v="PO14/100X100X105"/>
    <s v="2605-346"/>
    <n v="725"/>
    <n v="1573.25"/>
    <x v="49"/>
    <n v="5730"/>
    <n v="725"/>
    <n v="5005"/>
    <m/>
  </r>
  <r>
    <d v="2026-06-10T00:00:00"/>
    <x v="4"/>
    <n v="1"/>
    <s v="A"/>
    <s v="QPAC LTD"/>
    <s v="22752/RO-LANDSCAPE BARK-RC"/>
    <s v="u panel"/>
    <s v="70X90X79"/>
    <s v="2604-297"/>
    <n v="450"/>
    <n v="301.815"/>
    <x v="51"/>
    <n v="1200"/>
    <n v="450"/>
    <n v="750"/>
    <m/>
  </r>
  <r>
    <d v="2026-06-10T00:00:00"/>
    <x v="4"/>
    <n v="1"/>
    <s v="A"/>
    <s v="QPAC LTD"/>
    <s v="22752/JEWSON TERRALIS FIBC-RC"/>
    <s v="u panel"/>
    <s v="70X90X79"/>
    <s v="2604-294"/>
    <n v="400"/>
    <n v="268.27999999999997"/>
    <x v="51"/>
    <n v="13750"/>
    <n v="400"/>
    <n v="13350"/>
    <m/>
  </r>
  <r>
    <d v="2026-06-10T00:00:00"/>
    <x v="4"/>
    <n v="1"/>
    <s v="A"/>
    <s v="FIBCO PLASTIC INDUSTRY LLC"/>
    <s v="FIBCO/PO/2026/0057/JBPL-01"/>
    <s v="UPANEL/COMPLI"/>
    <s v="90x90x120"/>
    <s v="2605-034"/>
    <n v="1100"/>
    <n v="1386"/>
    <x v="37"/>
    <n v="10560"/>
    <n v="1100"/>
    <n v="9460"/>
    <m/>
  </r>
  <r>
    <d v="2026-06-10T00:00:00"/>
    <x v="4"/>
    <n v="1"/>
    <s v="A"/>
    <s v="United tradex"/>
    <s v="PO14/100X100X105"/>
    <s v="Q bag "/>
    <s v="PO14/100X100X105"/>
    <s v="2605-346"/>
    <n v="445"/>
    <n v="965.65"/>
    <x v="49"/>
    <n v="5005"/>
    <n v="445"/>
    <n v="4560"/>
    <m/>
  </r>
  <r>
    <d v="2026-06-11T00:00:00"/>
    <x v="4"/>
    <n v="1"/>
    <s v="A"/>
    <s v="QPAC LTD"/>
    <s v="22752/RO-LANDSCAPE BARK-RC"/>
    <s v="u panel"/>
    <s v="70X90X79"/>
    <s v="2604-297"/>
    <n v="325"/>
    <n v="217.97749999999999"/>
    <x v="51"/>
    <n v="750"/>
    <n v="325"/>
    <n v="425"/>
    <m/>
  </r>
  <r>
    <d v="2026-06-11T00:00:00"/>
    <x v="4"/>
    <n v="1"/>
    <s v="A"/>
    <s v="QPAC LTD"/>
    <s v="22752/JEWSON TERRALIS FIBC-RC"/>
    <s v="u panel"/>
    <s v="70X90X79"/>
    <s v="2604-294"/>
    <n v="300"/>
    <n v="201.20999999999998"/>
    <x v="51"/>
    <n v="13350"/>
    <n v="300"/>
    <n v="13050"/>
    <m/>
  </r>
  <r>
    <d v="2026-06-11T00:00:00"/>
    <x v="4"/>
    <n v="1"/>
    <s v="A"/>
    <s v="FIBCO PLASTIC INDUSTRY LLC"/>
    <s v="FIBCO/PO/2026/0057/JBPL-01"/>
    <s v="UPANEL/COMPLI"/>
    <s v="90x90x120"/>
    <s v="2605-034"/>
    <n v="650"/>
    <n v="819"/>
    <x v="37"/>
    <n v="9460"/>
    <n v="650"/>
    <n v="8810"/>
    <m/>
  </r>
  <r>
    <d v="2026-06-11T00:00:00"/>
    <x v="4"/>
    <n v="1"/>
    <s v="A"/>
    <s v="United tradex"/>
    <s v="PO14/100X100X105"/>
    <s v="Q bag "/>
    <s v="PO14/100X100X105"/>
    <s v="2605-346"/>
    <n v="440"/>
    <n v="954.8"/>
    <x v="49"/>
    <n v="4560"/>
    <n v="440"/>
    <n v="4120"/>
    <m/>
  </r>
  <r>
    <d v="2026-06-11T00:00:00"/>
    <x v="4"/>
    <n v="1"/>
    <s v="A"/>
    <s v="FLEXOCHEM VENTURES PRIVATE LIMITED"/>
    <s v="FVPL/PO/2026-00145"/>
    <s v="CIRCULER/COMPLI/X-CORNER/TYPE C"/>
    <s v="FVPL/PO/2026-00123"/>
    <s v="2605-372"/>
    <n v="200"/>
    <n v="345.2"/>
    <x v="52"/>
    <n v="700"/>
    <n v="200"/>
    <n v="500"/>
    <m/>
  </r>
  <r>
    <d v="2026-06-12T00:00:00"/>
    <x v="4"/>
    <n v="1"/>
    <s v="A"/>
    <s v="QPAC LTD"/>
    <s v="22752/RO-LANDSCAPE BARK-RC"/>
    <s v="u panel"/>
    <s v="70X90X79"/>
    <s v="2604-297"/>
    <n v="425"/>
    <n v="285.04749999999996"/>
    <x v="51"/>
    <n v="425"/>
    <n v="425"/>
    <n v="0"/>
    <m/>
  </r>
  <r>
    <d v="2026-06-12T00:00:00"/>
    <x v="4"/>
    <n v="1"/>
    <s v="A"/>
    <s v="FIBCO PLASTIC INDUSTRY LLC"/>
    <s v="FIBCO/PO/2026/0057/JBPL-01"/>
    <s v="UPANEL/COMPLI"/>
    <s v="90x90x120"/>
    <s v="2605-034"/>
    <n v="1500"/>
    <n v="1890"/>
    <x v="37"/>
    <n v="8810"/>
    <n v="1500"/>
    <n v="7310"/>
    <m/>
  </r>
  <r>
    <d v="2026-06-12T00:00:00"/>
    <x v="4"/>
    <n v="1"/>
    <s v="A"/>
    <s v="FLEXOCHEM VENTURES PRIVATE LIMITED"/>
    <s v="FVPL/PO/2026-00145"/>
    <s v="CIRCULER/COMPLI/X-CORNER/TYPE C"/>
    <s v="FVPL/PO/2026-00123"/>
    <s v="2605-372"/>
    <n v="50"/>
    <n v="86.3"/>
    <x v="52"/>
    <n v="500"/>
    <n v="50"/>
    <n v="450"/>
    <m/>
  </r>
  <r>
    <d v="2026-06-12T00:00:00"/>
    <x v="4"/>
    <n v="1"/>
    <s v="A"/>
    <s v="United tradex"/>
    <s v="PO14/100X100X105"/>
    <s v="Q bag "/>
    <s v="PO14/100X100X105"/>
    <s v="2605-346"/>
    <n v="505"/>
    <n v="1095.8499999999999"/>
    <x v="49"/>
    <n v="4120"/>
    <n v="505"/>
    <n v="3615"/>
    <m/>
  </r>
  <r>
    <d v="2026-06-13T00:00:00"/>
    <x v="4"/>
    <n v="1"/>
    <s v="A"/>
    <s v="FIBCO PLASTIC INDUSTRY LLC"/>
    <s v="FIBCO/PO/2026/0057/JBPL-01"/>
    <s v="UPANEL/COMPLI"/>
    <s v="90x90x120"/>
    <s v="2605-034"/>
    <n v="1300"/>
    <n v="1638"/>
    <x v="37"/>
    <n v="7310"/>
    <n v="1300"/>
    <n v="6010"/>
    <m/>
  </r>
  <r>
    <d v="2026-06-13T00:00:00"/>
    <x v="4"/>
    <n v="1"/>
    <s v="A"/>
    <s v="FLEXOCHEM VENTURES PRIVATE LIMITED"/>
    <s v="FVPL/PO/2026-00145"/>
    <s v="CIRCULER/COMPLI/X-CORNER/TYPE C"/>
    <s v="FVPL/PO/2026-00123"/>
    <s v="2605-372"/>
    <n v="300"/>
    <n v="517.79999999999995"/>
    <x v="52"/>
    <n v="450"/>
    <n v="300"/>
    <n v="150"/>
    <m/>
  </r>
  <r>
    <d v="2026-06-13T00:00:00"/>
    <x v="4"/>
    <n v="1"/>
    <s v="A"/>
    <s v="United tradex"/>
    <s v="PO14/100X100X105"/>
    <s v="Q bag "/>
    <s v="PO14/100X100X105"/>
    <s v="2605-346"/>
    <n v="515"/>
    <n v="1085.6200000000001"/>
    <x v="53"/>
    <n v="3615"/>
    <n v="515"/>
    <n v="3100"/>
    <m/>
  </r>
  <r>
    <d v="2026-06-15T00:00:00"/>
    <x v="4"/>
    <n v="1"/>
    <s v="A"/>
    <s v="United tradex"/>
    <s v="PO14/100X100X105"/>
    <s v="Q bag "/>
    <s v="PO14/100X100X105"/>
    <s v="2605-346"/>
    <n v="555"/>
    <n v="1169.94"/>
    <x v="53"/>
    <n v="3100"/>
    <n v="555"/>
    <n v="2545"/>
    <m/>
  </r>
  <r>
    <d v="2026-06-15T00:00:00"/>
    <x v="4"/>
    <n v="1"/>
    <s v="A"/>
    <s v="MULTI NEGOCE"/>
    <s v="MN-43-14052026/NEUTRAL+LOOP"/>
    <s v="UPANEL"/>
    <s v="95x95x110"/>
    <s v="2605-218"/>
    <n v="175"/>
    <n v="239.75000000000003"/>
    <x v="43"/>
    <n v="4230"/>
    <n v="175"/>
    <n v="4055"/>
    <m/>
  </r>
  <r>
    <d v="2026-06-15T00:00:00"/>
    <x v="4"/>
    <n v="1"/>
    <s v="A"/>
    <s v="Gulbrandsen "/>
    <s v="111066165-50048689"/>
    <s v="U panel liner "/>
    <n v="0"/>
    <n v="0"/>
    <n v="50"/>
    <n v="113.99999999999999"/>
    <x v="25"/>
    <n v="50"/>
    <n v="50"/>
    <n v="0"/>
    <m/>
  </r>
  <r>
    <d v="2026-06-15T00:00:00"/>
    <x v="4"/>
    <n v="1"/>
    <s v="A"/>
    <s v="FIBCO PLASTIC INDUSTRY LLC"/>
    <s v="FIBCO/PO/2026/0057/JBPL-01"/>
    <s v="UPANEL/COMPLI"/>
    <s v="90x90x120"/>
    <s v="2605-034"/>
    <n v="900"/>
    <n v="1134"/>
    <x v="37"/>
    <n v="6010"/>
    <n v="900"/>
    <n v="5110"/>
    <m/>
  </r>
  <r>
    <d v="2026-06-15T00:00:00"/>
    <x v="4"/>
    <n v="1"/>
    <s v="A"/>
    <s v="FLEXOCHEM VENTURES PRIVATE LIMITED"/>
    <s v="FVPL/PO/2026-00145"/>
    <s v="CIRCULER/COMPLI/X-CORNER/TYPE C"/>
    <s v="FVPL/PO/2026-00123"/>
    <s v="2605-372"/>
    <n v="85"/>
    <n v="146.71"/>
    <x v="52"/>
    <n v="150"/>
    <n v="85"/>
    <n v="65"/>
    <m/>
  </r>
  <r>
    <d v="2026-06-16T00:00:00"/>
    <x v="4"/>
    <n v="1"/>
    <s v="A"/>
    <s v="MULTI NEGOCE"/>
    <s v="MN-43-14052026/NEUTRAL+LOOP"/>
    <s v="UPANEL"/>
    <s v="95x95x110"/>
    <s v="2605-218"/>
    <n v="300"/>
    <n v="411.00000000000006"/>
    <x v="43"/>
    <n v="4055"/>
    <n v="300"/>
    <n v="3755"/>
    <m/>
  </r>
  <r>
    <d v="2026-06-16T00:00:00"/>
    <x v="4"/>
    <n v="1"/>
    <s v="A"/>
    <s v="FIBCO PLASTIC INDUSTRY LLC"/>
    <s v="FIBCO/PO/2026/0057/JBPL-01"/>
    <s v="UPANEL/COMPLI"/>
    <s v="90x90x120"/>
    <s v="2605-034"/>
    <n v="900"/>
    <n v="1134"/>
    <x v="37"/>
    <n v="5110"/>
    <n v="900"/>
    <n v="4210"/>
    <m/>
  </r>
  <r>
    <d v="2026-06-16T00:00:00"/>
    <x v="4"/>
    <n v="1"/>
    <s v="A"/>
    <s v="United tradex"/>
    <s v="PO14/100X100X105"/>
    <s v="Q bag "/>
    <s v="PO14/100X100X105"/>
    <s v="2605-346"/>
    <n v="510"/>
    <n v="1075.0800000000002"/>
    <x v="53"/>
    <n v="2545"/>
    <n v="510"/>
    <n v="2035"/>
    <m/>
  </r>
  <r>
    <d v="2026-06-17T00:00:00"/>
    <x v="4"/>
    <n v="1"/>
    <s v="A"/>
    <s v="MULTI NEGOCE"/>
    <s v="MN-43-14052026/NEUTRAL+LOOP"/>
    <s v="UPANEL"/>
    <s v="95x95x110"/>
    <s v="2605-218"/>
    <n v="425"/>
    <n v="582.25"/>
    <x v="43"/>
    <n v="3755"/>
    <n v="425"/>
    <n v="3330"/>
    <m/>
  </r>
  <r>
    <d v="2026-06-17T00:00:00"/>
    <x v="4"/>
    <n v="1"/>
    <s v="A"/>
    <s v="FIBCO PLASTIC INDUSTRY LLC"/>
    <s v="FIBCO/PO/2026/0057/JBPL-01"/>
    <s v="UPANEL/COMPLI"/>
    <s v="90x90x120"/>
    <s v="2605-034"/>
    <n v="1150"/>
    <n v="1449"/>
    <x v="37"/>
    <n v="4210"/>
    <n v="1150"/>
    <n v="3060"/>
    <m/>
  </r>
  <r>
    <d v="2026-06-17T00:00:00"/>
    <x v="4"/>
    <n v="1"/>
    <s v="A"/>
    <s v="United tradex"/>
    <s v="PO14/100X100X105"/>
    <s v="Q bag "/>
    <s v="PO14/100X100X105"/>
    <s v="2605-346"/>
    <n v="475"/>
    <n v="1001.3000000000001"/>
    <x v="53"/>
    <n v="2035"/>
    <n v="475"/>
    <n v="1560"/>
    <m/>
  </r>
  <r>
    <d v="2026-06-18T00:00:00"/>
    <x v="4"/>
    <n v="1"/>
    <s v="A"/>
    <s v="MULTI NEGOCE"/>
    <s v="MN-43-14052026/NEUTRAL+LOOP"/>
    <s v="UPANEL"/>
    <s v="95x95x110"/>
    <s v="2605-218"/>
    <n v="1300"/>
    <n v="1781.0000000000002"/>
    <x v="43"/>
    <n v="3330"/>
    <n v="1300"/>
    <n v="2030"/>
    <m/>
  </r>
  <r>
    <d v="2026-06-18T00:00:00"/>
    <x v="4"/>
    <n v="1"/>
    <s v="A"/>
    <s v="FIBCO PLASTIC INDUSTRY LLC"/>
    <s v="FIBCO/PO/2026/0057/JBPL-01"/>
    <s v="UPANEL/COMPLI"/>
    <s v="90x90x120"/>
    <s v="2605-034"/>
    <n v="600"/>
    <n v="756"/>
    <x v="37"/>
    <n v="3060"/>
    <n v="600"/>
    <n v="2460"/>
    <m/>
  </r>
  <r>
    <d v="2026-06-18T00:00:00"/>
    <x v="4"/>
    <n v="1"/>
    <s v="A"/>
    <s v="United tradex"/>
    <s v="PO14/100X100X105"/>
    <s v="Q bag "/>
    <s v="PO14/100X100X105"/>
    <s v="2605-346"/>
    <n v="580"/>
    <n v="1222.6400000000001"/>
    <x v="53"/>
    <n v="1560"/>
    <n v="580"/>
    <n v="980"/>
    <m/>
  </r>
  <r>
    <d v="2026-06-18T00:00:00"/>
    <x v="4"/>
    <n v="1"/>
    <s v="A"/>
    <s v="QPAC LTD"/>
    <s v="22752/RO-TOPSOIL.CO.UK-RC"/>
    <s v="UPANEL"/>
    <s v="70X90X79"/>
    <s v="2604-295"/>
    <n v="500"/>
    <n v="335"/>
    <x v="48"/>
    <n v="1800"/>
    <n v="500"/>
    <n v="1300"/>
    <m/>
  </r>
  <r>
    <d v="2026-06-19T00:00:00"/>
    <x v="4"/>
    <n v="1"/>
    <s v="A"/>
    <s v="MULTI NEGOCE"/>
    <s v="MN-43-14052026/NEUTRAL+LOOP"/>
    <s v="UPANEL"/>
    <s v="95x95x110"/>
    <s v="2605-218"/>
    <n v="1300"/>
    <n v="1781.0000000000002"/>
    <x v="43"/>
    <n v="2030"/>
    <n v="1300"/>
    <n v="730"/>
    <m/>
  </r>
  <r>
    <d v="2026-06-19T00:00:00"/>
    <x v="4"/>
    <n v="1"/>
    <s v="A"/>
    <s v="FIBCO PLASTIC INDUSTRY LLC"/>
    <s v="FIBCO/PO/2026/0057/JBPL-01"/>
    <s v="UPANEL/COMPLI"/>
    <s v="90x90x120"/>
    <s v="2605-034"/>
    <n v="600"/>
    <n v="756"/>
    <x v="37"/>
    <n v="2460"/>
    <n v="600"/>
    <n v="1860"/>
    <m/>
  </r>
  <r>
    <d v="2026-06-19T00:00:00"/>
    <x v="4"/>
    <n v="1"/>
    <s v="A"/>
    <s v="United tradex"/>
    <s v="PO14/100X100X105"/>
    <s v="Q bag "/>
    <s v="PO14/100X100X105"/>
    <s v="2605-346"/>
    <n v="595"/>
    <n v="1254.26"/>
    <x v="53"/>
    <n v="980"/>
    <n v="595"/>
    <n v="385"/>
    <m/>
  </r>
  <r>
    <d v="2026-06-19T00:00:00"/>
    <x v="4"/>
    <n v="1"/>
    <s v="A"/>
    <s v="QPAC LTD"/>
    <s v="22752/RO-TOPSOIL.CO.UK-RC"/>
    <s v="UPANEL"/>
    <s v="70X90X79"/>
    <s v="2604-295"/>
    <n v="450"/>
    <n v="301.5"/>
    <x v="48"/>
    <n v="1300"/>
    <n v="450"/>
    <n v="850"/>
    <m/>
  </r>
  <r>
    <d v="2026-06-20T00:00:00"/>
    <x v="4"/>
    <n v="1"/>
    <s v="A"/>
    <s v="MULTI NEGOCE"/>
    <s v="MN-43-14052026/NEUTRAL+LOOP"/>
    <s v="U+2"/>
    <s v="95x95x110"/>
    <s v="2601-460"/>
    <n v="400"/>
    <n v="546.56000000000006"/>
    <x v="54"/>
    <n v="730"/>
    <n v="400"/>
    <n v="330"/>
    <m/>
  </r>
  <r>
    <d v="2026-06-20T00:00:00"/>
    <x v="4"/>
    <n v="1"/>
    <s v="A"/>
    <s v="RUGO BAGS GMBH"/>
    <s v="202600223/006789"/>
    <s v="U+2"/>
    <s v="100X100X130"/>
    <s v="2605-083"/>
    <n v="575"/>
    <n v="917.7"/>
    <x v="55"/>
    <n v="3240"/>
    <n v="575"/>
    <n v="2665"/>
    <m/>
  </r>
  <r>
    <d v="2026-06-20T00:00:00"/>
    <x v="4"/>
    <n v="1"/>
    <s v="A"/>
    <s v="QPAC LTD."/>
    <s v="22752/RO-TOPSOILCO.UK-RC"/>
    <s v="U+2"/>
    <s v="70X90X79"/>
    <s v="2604-295"/>
    <n v="400"/>
    <n v="268.27999999999997"/>
    <x v="51"/>
    <n v="850"/>
    <n v="400"/>
    <n v="450"/>
    <m/>
  </r>
  <r>
    <d v="2026-06-20T00:00:00"/>
    <x v="4"/>
    <n v="1"/>
    <s v="A"/>
    <s v="FIBCO PLASTIC INDUSTRY LLC"/>
    <s v="FIBCO/PO/2026/0057/JBPL-01"/>
    <s v="U+2"/>
    <s v="90x90x120"/>
    <s v="2605-034"/>
    <n v="750"/>
    <n v="950.24999999999989"/>
    <x v="56"/>
    <n v="1860"/>
    <n v="750"/>
    <n v="1110"/>
    <m/>
  </r>
  <r>
    <d v="2026-06-20T00:00:00"/>
    <x v="4"/>
    <n v="1"/>
    <s v="A"/>
    <s v="United tradex"/>
    <s v="PO14/100X100X105"/>
    <s v="Q bag "/>
    <s v="PO14/100X100X105"/>
    <s v="2605-346"/>
    <n v="520"/>
    <n v="1096.1600000000001"/>
    <x v="53"/>
    <n v="905"/>
    <n v="520"/>
    <n v="385"/>
    <m/>
  </r>
  <r>
    <d v="2026-06-21T00:00:00"/>
    <x v="4"/>
    <n v="1"/>
    <s v="A"/>
    <s v="RUGO BAGS GMBH"/>
    <s v="202600223/006789"/>
    <s v="U+2"/>
    <s v="100X100X130"/>
    <s v="2605-083"/>
    <n v="1075"/>
    <n v="1715.7"/>
    <x v="55"/>
    <n v="2665"/>
    <n v="1075"/>
    <n v="1590"/>
    <m/>
  </r>
  <r>
    <d v="2026-06-21T00:00:00"/>
    <x v="4"/>
    <n v="1"/>
    <s v="A"/>
    <s v="QPAC LTD."/>
    <s v="22752/RO-TOPSOILCO.UK-RC"/>
    <s v="U+2"/>
    <s v="70X90X79"/>
    <s v="2604-295"/>
    <n v="450"/>
    <n v="301.815"/>
    <x v="51"/>
    <n v="450"/>
    <n v="450"/>
    <n v="0"/>
    <m/>
  </r>
  <r>
    <d v="2026-06-21T00:00:00"/>
    <x v="4"/>
    <n v="1"/>
    <s v="A"/>
    <s v="FIBCO PLASTIC INDUSTRY LLC"/>
    <s v="FIBCO/PO/2026/0057/JBPL-01"/>
    <s v="U+2"/>
    <s v="90x90x120"/>
    <s v="2605-034"/>
    <n v="750"/>
    <n v="950.24999999999989"/>
    <x v="56"/>
    <n v="1110"/>
    <n v="750"/>
    <n v="360"/>
    <m/>
  </r>
  <r>
    <d v="2026-06-21T00:00:00"/>
    <x v="4"/>
    <n v="1"/>
    <s v="A"/>
    <s v="United tradex"/>
    <s v="PO14/100X100X105"/>
    <s v="Q bag "/>
    <s v="PO14/100X100X105"/>
    <s v="2606-270"/>
    <n v="570"/>
    <n v="1201.56"/>
    <x v="53"/>
    <n v="9815"/>
    <n v="570"/>
    <n v="9245"/>
    <m/>
  </r>
  <r>
    <d v="2026-06-23T00:00:00"/>
    <x v="4"/>
    <n v="1"/>
    <s v="A"/>
    <s v="RUGO BAGS GMBH"/>
    <s v="202600223/006789"/>
    <s v="U+2"/>
    <s v="100X100X130"/>
    <s v="2605-083"/>
    <n v="500"/>
    <n v="798"/>
    <x v="55"/>
    <n v="2090"/>
    <n v="500"/>
    <n v="1590"/>
    <m/>
  </r>
  <r>
    <d v="2026-06-23T00:00:00"/>
    <x v="4"/>
    <n v="1"/>
    <s v="A"/>
    <s v="QPAC LTD."/>
    <s v="22752/RO-TOPSOILCO.UK-RC"/>
    <s v="U+2"/>
    <s v="70X90X79"/>
    <s v="2604-296"/>
    <n v="1275"/>
    <n v="855.14249999999993"/>
    <x v="51"/>
    <n v="9600"/>
    <n v="1275"/>
    <n v="8325"/>
    <m/>
  </r>
  <r>
    <d v="2026-06-23T00:00:00"/>
    <x v="4"/>
    <n v="1"/>
    <s v="A"/>
    <s v="FIBCO PLASTIC INDUSTRY LLC"/>
    <s v="FIBCO/PO/2026/0057/JBPL-01"/>
    <s v="U+2"/>
    <s v="90x90x120"/>
    <s v="2605-034"/>
    <n v="360"/>
    <n v="456.11999999999995"/>
    <x v="56"/>
    <n v="360"/>
    <n v="360"/>
    <n v="0"/>
    <m/>
  </r>
  <r>
    <d v="2026-06-23T00:00:00"/>
    <x v="4"/>
    <n v="1"/>
    <s v="A"/>
    <s v="United tradex"/>
    <s v="PO14/100X100X105"/>
    <s v="Q bag "/>
    <s v="PO14/100X100X105"/>
    <s v="2606-270"/>
    <n v="570"/>
    <n v="1201.56"/>
    <x v="53"/>
    <n v="9245"/>
    <n v="570"/>
    <n v="8675"/>
    <m/>
  </r>
  <r>
    <d v="2026-06-23T00:00:00"/>
    <x v="4"/>
    <n v="1"/>
    <s v="A"/>
    <s v="MULTI NEGOCE"/>
    <s v="MN-43-14052026/NEUTRAL+LOOP"/>
    <s v="U+2"/>
    <s v="95x95x110"/>
    <s v="2601-460"/>
    <n v="330"/>
    <n v="450.91200000000003"/>
    <x v="54"/>
    <n v="330"/>
    <n v="330"/>
    <n v="0"/>
    <m/>
  </r>
  <r>
    <d v="2026-06-24T00:00:00"/>
    <x v="4"/>
    <n v="1"/>
    <s v="A"/>
    <s v="RUGO BAGS GMBH"/>
    <s v="202600223/006789"/>
    <s v="U+2"/>
    <s v="100X100X130"/>
    <s v="2605-083"/>
    <n v="225"/>
    <n v="359.1"/>
    <x v="55"/>
    <n v="1590"/>
    <n v="225"/>
    <n v="1365"/>
    <m/>
  </r>
  <r>
    <d v="2026-06-24T00:00:00"/>
    <x v="4"/>
    <n v="1"/>
    <s v="A"/>
    <s v="QPAC LTD"/>
    <s v="22752/RO-BEDS &amp; BORDERS TOPSOIL-RC "/>
    <s v="U+2"/>
    <s v="70X90X79"/>
    <s v="2604-298"/>
    <n v="1100"/>
    <n v="737.77"/>
    <x v="51"/>
    <n v="1200"/>
    <n v="1100"/>
    <n v="100"/>
    <m/>
  </r>
  <r>
    <d v="2026-06-24T00:00:00"/>
    <x v="4"/>
    <n v="1"/>
    <s v="A"/>
    <s v="QPAC LTD"/>
    <s v="22752/RO-HALLSTONE-RC"/>
    <s v="U+2"/>
    <s v="70X90X79"/>
    <s v="2604-296"/>
    <n v="1675"/>
    <n v="1123.4224999999999"/>
    <x v="51"/>
    <n v="8325"/>
    <n v="1675"/>
    <n v="6650"/>
    <m/>
  </r>
  <r>
    <d v="2026-06-24T00:00:00"/>
    <x v="4"/>
    <n v="1"/>
    <s v="A"/>
    <s v="United tradex"/>
    <s v="PO1001/100X100X105"/>
    <s v="Q-BAG"/>
    <s v="105X105X110"/>
    <s v="2606-270"/>
    <n v="480"/>
    <n v="1219"/>
    <x v="57"/>
    <n v="8675"/>
    <n v="480"/>
    <n v="8145"/>
    <m/>
  </r>
  <r>
    <d v="2026-06-25T00:00:00"/>
    <x v="4"/>
    <n v="1"/>
    <s v="A"/>
    <s v="RUGO BAGS GMBH"/>
    <s v="202600223/006789"/>
    <s v="U+2"/>
    <s v="100X100X130"/>
    <s v="2605-083"/>
    <n v="375"/>
    <n v="598.5"/>
    <x v="55"/>
    <n v="865"/>
    <n v="375"/>
    <n v="490"/>
    <m/>
  </r>
  <r>
    <d v="2026-06-25T00:00:00"/>
    <x v="4"/>
    <n v="1"/>
    <s v="A"/>
    <s v="QPAC LTD"/>
    <s v="22752/RO-BEDS &amp; BORDERS TOPSOIL-RC "/>
    <s v="U+2"/>
    <s v="70X90X79"/>
    <s v="2604-298"/>
    <n v="100"/>
    <n v="67.069999999999993"/>
    <x v="51"/>
    <n v="100"/>
    <n v="100"/>
    <n v="0"/>
    <m/>
  </r>
  <r>
    <d v="2026-06-25T00:00:00"/>
    <x v="4"/>
    <n v="1"/>
    <s v="A"/>
    <s v="QPAC LTD"/>
    <s v="22752/RO-HALLSTONE-RC"/>
    <s v="U+2"/>
    <s v="70X90X79"/>
    <s v="2604-296"/>
    <n v="500"/>
    <n v="335.34999999999997"/>
    <x v="51"/>
    <n v="6650"/>
    <n v="500"/>
    <n v="6150"/>
    <m/>
  </r>
  <r>
    <d v="2026-06-25T00:00:00"/>
    <x v="4"/>
    <n v="1"/>
    <s v="A"/>
    <s v="MULTI NEGOCE"/>
    <s v="MN-43-14052026/GEDIMAT"/>
    <s v="U+2"/>
    <s v="95x95x110"/>
    <s v="2506-219"/>
    <n v="1085"/>
    <n v="1486.45"/>
    <x v="43"/>
    <n v="9900"/>
    <n v="1085"/>
    <n v="8815"/>
    <m/>
  </r>
  <r>
    <d v="2026-06-25T00:00:00"/>
    <x v="4"/>
    <n v="1"/>
    <s v="A"/>
    <s v="United tradex"/>
    <s v="PO1001/100X100X105"/>
    <s v="Q-BAG"/>
    <s v="105X105X110"/>
    <s v="2606-270"/>
    <n v="475"/>
    <n v="1219"/>
    <x v="57"/>
    <n v="8145"/>
    <n v="475"/>
    <n v="7670"/>
    <m/>
  </r>
  <r>
    <d v="2026-06-26T00:00:00"/>
    <x v="4"/>
    <n v="1"/>
    <s v="A"/>
    <s v="RUGO BAGS GMBH"/>
    <s v="202600223/006789"/>
    <s v="U+2"/>
    <s v="100X100X130"/>
    <s v="2605-083"/>
    <n v="400"/>
    <n v="638.40000000000009"/>
    <x v="55"/>
    <n v="490"/>
    <n v="400"/>
    <n v="90"/>
    <m/>
  </r>
  <r>
    <d v="2026-06-26T00:00:00"/>
    <x v="4"/>
    <n v="1"/>
    <s v="A"/>
    <s v="QPAC LTD"/>
    <s v="22752/RO-HALLSTONE-RC"/>
    <s v="U+2"/>
    <s v="70X90X79"/>
    <s v="2604-296"/>
    <n v="500"/>
    <n v="335.34999999999997"/>
    <x v="51"/>
    <n v="6150"/>
    <n v="500"/>
    <n v="5650"/>
    <m/>
  </r>
  <r>
    <d v="2026-06-26T00:00:00"/>
    <x v="4"/>
    <n v="1"/>
    <s v="A"/>
    <s v="MULTI NEGOCE"/>
    <s v="MN-43-14052026/GEDIMAT"/>
    <s v="U+2"/>
    <s v="95x95x110"/>
    <s v="2506-219"/>
    <n v="700"/>
    <n v="956.48"/>
    <x v="54"/>
    <n v="8815"/>
    <n v="700"/>
    <n v="8115"/>
    <m/>
  </r>
  <r>
    <d v="2026-06-26T00:00:00"/>
    <x v="4"/>
    <n v="1"/>
    <s v="A"/>
    <s v="United tradex"/>
    <s v="PO1001/100X100X105"/>
    <s v="Q-BAG"/>
    <s v="105X105X110"/>
    <s v="2606-270"/>
    <n v="525"/>
    <n v="1103.4449999999999"/>
    <x v="57"/>
    <n v="7670"/>
    <n v="525"/>
    <n v="7145"/>
    <m/>
  </r>
  <r>
    <d v="2026-06-27T00:00:00"/>
    <x v="4"/>
    <n v="1"/>
    <s v="A"/>
    <s v="RUGO BAGS GMBH"/>
    <s v="202600223/006789"/>
    <s v="U+2"/>
    <s v="100X100X130"/>
    <s v="2605-083"/>
    <n v="90"/>
    <n v="143.64000000000001"/>
    <x v="55"/>
    <n v="90"/>
    <n v="90"/>
    <n v="0"/>
    <m/>
  </r>
  <r>
    <d v="2026-06-27T00:00:00"/>
    <x v="4"/>
    <n v="1"/>
    <s v="A"/>
    <s v="QPAC LTD"/>
    <s v="22752/JEWSON TERRALIS FIBC-RC"/>
    <s v="U+2"/>
    <s v="70X90X79"/>
    <s v="2604-294"/>
    <n v="400"/>
    <n v="268.27999999999997"/>
    <x v="51"/>
    <n v="13050"/>
    <n v="400"/>
    <n v="12650"/>
    <m/>
  </r>
  <r>
    <d v="2026-06-27T00:00:00"/>
    <x v="4"/>
    <n v="1"/>
    <s v="A"/>
    <s v="QPAC LTD"/>
    <s v="22752/RO-HALLSTONE-RC"/>
    <s v="U+2"/>
    <s v="70X90X79"/>
    <s v="2604-296"/>
    <n v="1000"/>
    <n v="670.69999999999993"/>
    <x v="51"/>
    <n v="6150"/>
    <n v="1000"/>
    <n v="5150"/>
    <m/>
  </r>
  <r>
    <d v="2026-06-27T00:00:00"/>
    <x v="4"/>
    <n v="1"/>
    <s v="A"/>
    <s v="MULTI NEGOCE"/>
    <s v="MN-43-14052026/GEDIMAT"/>
    <s v="U+2"/>
    <s v="95x95x110"/>
    <s v="2506-219"/>
    <n v="1025"/>
    <n v="1400.5600000000002"/>
    <x v="54"/>
    <n v="8115"/>
    <n v="1025"/>
    <n v="7090"/>
    <m/>
  </r>
  <r>
    <d v="2026-06-27T00:00:00"/>
    <x v="4"/>
    <n v="1"/>
    <s v="A"/>
    <s v="United tradex"/>
    <s v="PO1001/100X100X105"/>
    <s v="Q-BAG"/>
    <s v="105X105X110"/>
    <s v="2606-270"/>
    <n v="235"/>
    <n v="493.923"/>
    <x v="57"/>
    <n v="7145"/>
    <n v="235"/>
    <n v="6910"/>
    <m/>
  </r>
  <r>
    <d v="2026-06-29T00:00:00"/>
    <x v="4"/>
    <n v="1"/>
    <s v="A"/>
    <s v="QPAC LTD"/>
    <s v="22752/JEWSON TERRALIS FIBC-RC"/>
    <s v="U+2"/>
    <s v="70X90X79"/>
    <s v="2604-294"/>
    <n v="675"/>
    <n v="452.72249999999997"/>
    <x v="51"/>
    <n v="12650"/>
    <n v="675"/>
    <n v="11975"/>
    <m/>
  </r>
  <r>
    <d v="2026-06-29T00:00:00"/>
    <x v="4"/>
    <n v="1"/>
    <s v="A"/>
    <s v="QPAC LTD"/>
    <s v="22752/RO-HALLSTONE-RC"/>
    <s v="U+2"/>
    <s v="70X90X79"/>
    <s v="2604-296"/>
    <n v="500"/>
    <n v="335.34999999999997"/>
    <x v="51"/>
    <n v="4650"/>
    <n v="500"/>
    <n v="4150"/>
    <m/>
  </r>
  <r>
    <d v="2026-06-29T00:00:00"/>
    <x v="4"/>
    <n v="1"/>
    <s v="A"/>
    <s v="MULTI NEGOCE"/>
    <s v="MN-43-14052026/GEDIMAT"/>
    <s v="U+2"/>
    <s v="95x95x110"/>
    <s v="2506-219"/>
    <n v="1825"/>
    <n v="2493.6800000000003"/>
    <x v="54"/>
    <n v="7090"/>
    <n v="1825"/>
    <n v="5265"/>
    <m/>
  </r>
  <r>
    <d v="2026-06-29T00:00:00"/>
    <x v="4"/>
    <n v="1"/>
    <s v="A"/>
    <s v="United tradex"/>
    <s v="PO1001/100X100X105"/>
    <s v="Q-BAG"/>
    <s v="105X105X110"/>
    <s v="2606-270"/>
    <n v="200"/>
    <n v="420.35999999999996"/>
    <x v="57"/>
    <n v="6910"/>
    <n v="200"/>
    <n v="6710"/>
    <m/>
  </r>
  <r>
    <d v="2026-06-30T00:00:00"/>
    <x v="4"/>
    <n v="1"/>
    <s v="A"/>
    <s v="QPAC LTD"/>
    <s v="22752/JEWSON TERRALIS FIBC-RC"/>
    <s v="U+2"/>
    <s v="70X90X79"/>
    <s v="2604-294"/>
    <n v="675"/>
    <n v="452.72249999999997"/>
    <x v="51"/>
    <n v="11975"/>
    <n v="675"/>
    <n v="11300"/>
    <m/>
  </r>
  <r>
    <d v="2026-06-30T00:00:00"/>
    <x v="4"/>
    <n v="1"/>
    <s v="A"/>
    <s v="QPAC LTD"/>
    <s v="22752/RO-HALLSTONE-RC"/>
    <s v="U+2"/>
    <s v="70X90X79"/>
    <s v="2604-296"/>
    <n v="150"/>
    <n v="100.60499999999999"/>
    <x v="51"/>
    <n v="4150"/>
    <n v="150"/>
    <n v="4000"/>
    <m/>
  </r>
  <r>
    <d v="2026-06-30T00:00:00"/>
    <x v="4"/>
    <n v="1"/>
    <s v="A"/>
    <s v="MULTI NEGOCE"/>
    <s v="MN-43-14052026/GEDIMAT"/>
    <s v="U+2"/>
    <s v="95x95x110"/>
    <s v="2506-219"/>
    <n v="2200"/>
    <n v="3006.08"/>
    <x v="54"/>
    <n v="5265"/>
    <n v="2200"/>
    <n v="3065"/>
    <m/>
  </r>
  <r>
    <d v="2026-06-30T00:00:00"/>
    <x v="4"/>
    <n v="1"/>
    <s v="A"/>
    <s v="United tradex"/>
    <s v="PO1001/100X100X105"/>
    <s v="Q-BAG"/>
    <s v="105X105X110"/>
    <s v="2606-270"/>
    <n v="195"/>
    <n v="409.851"/>
    <x v="57"/>
    <n v="6710"/>
    <n v="195"/>
    <n v="6515"/>
    <m/>
  </r>
  <r>
    <d v="2026-07-01T00:00:00"/>
    <x v="5"/>
    <n v="1"/>
    <s v="A"/>
    <s v="QPAC LTD"/>
    <s v="22752/JEWSON TERRALIS FIBC-RC"/>
    <s v="U+2"/>
    <s v="70X90X79"/>
    <s v="2604-294"/>
    <n v="675"/>
    <n v="452.72249999999997"/>
    <x v="51"/>
    <n v="11300"/>
    <n v="675"/>
    <n v="10625"/>
    <m/>
  </r>
  <r>
    <d v="2026-07-01T00:00:00"/>
    <x v="5"/>
    <n v="1"/>
    <s v="A"/>
    <s v="QPAC LTD"/>
    <s v="22752/RO-HALLSTONE-RC"/>
    <s v="U+2"/>
    <s v="70X90X79"/>
    <s v="2604-296"/>
    <n v="650"/>
    <n v="435.95499999999998"/>
    <x v="51"/>
    <n v="4000"/>
    <n v="650"/>
    <n v="3350"/>
    <m/>
  </r>
  <r>
    <d v="2026-07-01T00:00:00"/>
    <x v="5"/>
    <n v="1"/>
    <s v="A"/>
    <s v="MULTI NEGOCE"/>
    <s v="MN-43-14052026/GEDIMAT"/>
    <s v="U+2"/>
    <s v="95x95x110"/>
    <s v="2506-219"/>
    <n v="1650"/>
    <n v="2254.56"/>
    <x v="54"/>
    <n v="3065"/>
    <n v="1650"/>
    <n v="1415"/>
    <m/>
  </r>
  <r>
    <d v="2026-07-01T00:00:00"/>
    <x v="5"/>
    <n v="1"/>
    <s v="A"/>
    <s v="United tradex"/>
    <s v="PO1001/100X100X105"/>
    <s v="Q-BAG"/>
    <s v="105X105X110"/>
    <s v="2606-270"/>
    <n v="200"/>
    <n v="420.35999999999996"/>
    <x v="57"/>
    <n v="6515"/>
    <n v="200"/>
    <n v="6315"/>
    <m/>
  </r>
  <r>
    <d v="2026-07-02T00:00:00"/>
    <x v="5"/>
    <n v="1"/>
    <s v="A"/>
    <s v="QPAC LTD"/>
    <s v="22752/JEWSON TERRALIS FIBC-RC"/>
    <s v="U+2"/>
    <s v="70X90X79"/>
    <s v="2604-294"/>
    <n v="600"/>
    <n v="402.41999999999996"/>
    <x v="51"/>
    <n v="10625"/>
    <n v="600"/>
    <n v="10025"/>
    <m/>
  </r>
  <r>
    <d v="2026-07-02T00:00:00"/>
    <x v="5"/>
    <n v="1"/>
    <s v="A"/>
    <s v="QPAC LTD"/>
    <s v="22752/RO-HALLSTONE-RC"/>
    <s v="U+2"/>
    <s v="70X90X79"/>
    <s v="2604-296"/>
    <n v="900"/>
    <n v="603.63"/>
    <x v="51"/>
    <n v="3350"/>
    <n v="900"/>
    <n v="2450"/>
    <m/>
  </r>
  <r>
    <d v="2026-07-02T00:00:00"/>
    <x v="5"/>
    <n v="1"/>
    <s v="A"/>
    <s v="MULTI NEGOCE"/>
    <s v="MN-43-14052026/GEDIMAT"/>
    <s v="U+2"/>
    <s v="95x95x110"/>
    <s v="2506-219"/>
    <n v="1275"/>
    <n v="1742.16"/>
    <x v="54"/>
    <n v="1415"/>
    <n v="1275"/>
    <n v="140"/>
    <m/>
  </r>
  <r>
    <d v="2026-07-02T00:00:00"/>
    <x v="5"/>
    <n v="1"/>
    <s v="A"/>
    <s v="United tradex"/>
    <s v="PO1001/100X100X105"/>
    <s v="Q-BAG"/>
    <s v="105X105X110"/>
    <s v="2606-270"/>
    <n v="200"/>
    <n v="420.35999999999996"/>
    <x v="57"/>
    <n v="6315"/>
    <n v="200"/>
    <n v="6115"/>
    <m/>
  </r>
  <r>
    <d v="2026-07-03T00:00:00"/>
    <x v="5"/>
    <n v="1"/>
    <s v="A"/>
    <s v="FLEXOCHEM"/>
    <s v="FVPL/PO/2026-00144"/>
    <s v="C-C"/>
    <s v="90X90X70"/>
    <s v="2606-094"/>
    <n v="375"/>
    <n v="646.91250000000002"/>
    <x v="58"/>
    <n v="4000"/>
    <n v="375"/>
    <n v="3625"/>
    <m/>
  </r>
  <r>
    <d v="2026-07-03T00:00:00"/>
    <x v="5"/>
    <n v="1"/>
    <s v="A"/>
    <s v="QPAC LTD"/>
    <s v="22752/RO-HALLSTONE-RC"/>
    <s v="U+2"/>
    <s v="70X90X79"/>
    <s v="2604-296"/>
    <n v="555"/>
    <n v="372.23849999999999"/>
    <x v="51"/>
    <n v="2450"/>
    <n v="555"/>
    <n v="1895"/>
    <m/>
  </r>
  <r>
    <d v="2026-07-03T00:00:00"/>
    <x v="5"/>
    <n v="1"/>
    <s v="A"/>
    <s v="United tradex"/>
    <s v="PO1001/100X100X105"/>
    <s v="Q-BAG"/>
    <s v="105X105X110"/>
    <s v="2606-270"/>
    <n v="385"/>
    <n v="809.19299999999998"/>
    <x v="57"/>
    <n v="6115"/>
    <n v="385"/>
    <n v="5730"/>
    <m/>
  </r>
  <r>
    <d v="2026-07-03T00:00:00"/>
    <x v="5"/>
    <n v="1"/>
    <s v="A"/>
    <s v="QPAC LTD"/>
    <s v="22752/JEWSON TERRALIS FIBC-RC"/>
    <s v="U+2"/>
    <s v="70X90X79"/>
    <s v="2604-294"/>
    <n v="1000"/>
    <n v="670.69999999999993"/>
    <x v="51"/>
    <n v="10025"/>
    <n v="1000"/>
    <n v="9025"/>
    <m/>
  </r>
  <r>
    <d v="2026-07-04T00:00:00"/>
    <x v="5"/>
    <n v="1"/>
    <s v="A"/>
    <s v="FLEXOCHEM"/>
    <s v="FVPL/PO/2026-00144"/>
    <s v="C-C"/>
    <s v="90X90X70"/>
    <s v="2606-094"/>
    <n v="625"/>
    <n v="1078.1875"/>
    <x v="58"/>
    <n v="3625"/>
    <n v="625"/>
    <n v="3000"/>
    <m/>
  </r>
  <r>
    <d v="2026-07-04T00:00:00"/>
    <x v="5"/>
    <n v="1"/>
    <s v="A"/>
    <s v="QPAC LTD"/>
    <s v="22752/RO-HALLSTONE-RC"/>
    <s v="U+2"/>
    <s v="70X90X79"/>
    <s v="2604-296"/>
    <n v="400"/>
    <n v="268.27999999999997"/>
    <x v="51"/>
    <n v="1895"/>
    <n v="400"/>
    <n v="1495"/>
    <m/>
  </r>
  <r>
    <d v="2026-07-04T00:00:00"/>
    <x v="5"/>
    <n v="1"/>
    <s v="A"/>
    <s v="United tradex"/>
    <s v="PO1001/100X100X105"/>
    <s v="Q-BAG"/>
    <s v="105X105X110"/>
    <s v="2606-270"/>
    <n v="350"/>
    <n v="735.63"/>
    <x v="57"/>
    <n v="5730"/>
    <n v="350"/>
    <n v="5380"/>
    <m/>
  </r>
  <r>
    <d v="2026-07-04T00:00:00"/>
    <x v="5"/>
    <n v="1"/>
    <s v="A"/>
    <s v="QPAC LTD"/>
    <s v="22752/JEWSON TERRALIS FIBC-RC"/>
    <s v="U+2"/>
    <s v="70X90X79"/>
    <s v="2604-294"/>
    <n v="950"/>
    <n v="637.16499999999996"/>
    <x v="51"/>
    <n v="9025"/>
    <n v="950"/>
    <n v="8075"/>
    <m/>
  </r>
  <r>
    <d v="2026-07-04T00:00:00"/>
    <x v="5"/>
    <n v="1"/>
    <s v="A"/>
    <s v="MULTI NEGOCE"/>
    <s v="MN-43-14052026/GEDIMAT"/>
    <s v="U+2"/>
    <s v="95x95x110"/>
    <s v="2506-219"/>
    <n v="140"/>
    <n v="191.29600000000002"/>
    <x v="54"/>
    <n v="140"/>
    <n v="140"/>
    <n v="0"/>
    <m/>
  </r>
  <r>
    <d v="2026-07-04T00:00:00"/>
    <x v="5"/>
    <n v="1"/>
    <s v="A"/>
    <s v="COLOROBBIA"/>
    <s v="POD/2627/277"/>
    <s v="OMEGA"/>
    <s v="90X90X110"/>
    <s v="2606-412"/>
    <n v="250"/>
    <n v="513.25"/>
    <x v="59"/>
    <n v="500"/>
    <n v="250"/>
    <n v="250"/>
    <m/>
  </r>
  <r>
    <d v="2026-07-06T00:00:00"/>
    <x v="5"/>
    <n v="1"/>
    <s v="A"/>
    <s v="FLEXOCHEM"/>
    <s v="FVPL/PO/2026-00144"/>
    <s v="C-C"/>
    <s v="90X90X70"/>
    <s v="2606-094"/>
    <n v="425"/>
    <n v="733.16750000000002"/>
    <x v="58"/>
    <n v="3000"/>
    <n v="425"/>
    <n v="2575"/>
    <m/>
  </r>
  <r>
    <d v="2026-07-06T00:00:00"/>
    <x v="5"/>
    <n v="1"/>
    <s v="A"/>
    <s v="QPAC LTD"/>
    <s v="22752/RO-HALLSTONE-RC"/>
    <s v="U+2"/>
    <s v="70X90X79"/>
    <s v="2604-296"/>
    <n v="300"/>
    <n v="201.20999999999998"/>
    <x v="51"/>
    <n v="1495"/>
    <n v="300"/>
    <n v="1195"/>
    <m/>
  </r>
  <r>
    <d v="2026-07-06T00:00:00"/>
    <x v="5"/>
    <n v="1"/>
    <s v="A"/>
    <s v="QPAC LTD"/>
    <s v="22752/JEWSON TERRALIS FIBC-RC"/>
    <s v="U+2"/>
    <s v="70X90X79"/>
    <s v="2604-294"/>
    <n v="720"/>
    <n v="482.904"/>
    <x v="51"/>
    <n v="8075"/>
    <n v="720"/>
    <n v="7355"/>
    <m/>
  </r>
  <r>
    <d v="2026-07-06T00:00:00"/>
    <x v="5"/>
    <n v="1"/>
    <s v="A"/>
    <s v="United tradex"/>
    <s v="PO1001/100X100X105"/>
    <s v="Q-BAG"/>
    <s v="105X105X110"/>
    <s v="2606-270"/>
    <n v="380"/>
    <n v="798.68399999999997"/>
    <x v="57"/>
    <n v="5380"/>
    <n v="380"/>
    <n v="5000"/>
    <m/>
  </r>
  <r>
    <d v="2026-07-06T00:00:00"/>
    <x v="5"/>
    <n v="1"/>
    <s v="A"/>
    <s v="COLOROBBIA"/>
    <s v="POD/2627/277"/>
    <s v="OMEGA"/>
    <s v="90X90X110"/>
    <s v="2606-412"/>
    <n v="250"/>
    <n v="513.25"/>
    <x v="59"/>
    <n v="250"/>
    <n v="250"/>
    <n v="0"/>
    <m/>
  </r>
  <r>
    <d v="2026-07-07T00:00:00"/>
    <x v="5"/>
    <n v="1"/>
    <s v="A"/>
    <s v="QPAC LTD"/>
    <s v="22752/JEWSON TERRALIS FIBC-RC"/>
    <s v="U+2"/>
    <s v="70X90X79"/>
    <s v="2604-294"/>
    <n v="1670"/>
    <n v="1120.069"/>
    <x v="51"/>
    <n v="7355"/>
    <n v="1670"/>
    <n v="5685"/>
    <m/>
  </r>
  <r>
    <d v="2026-07-07T00:00:00"/>
    <x v="5"/>
    <n v="1"/>
    <s v="A"/>
    <s v="United tradex"/>
    <s v="PO1001/100X100X105"/>
    <s v="Q-BAG"/>
    <s v="105X105X110"/>
    <s v="2606-270"/>
    <n v="200"/>
    <n v="420.35999999999996"/>
    <x v="57"/>
    <n v="5000"/>
    <n v="200"/>
    <n v="4800"/>
    <m/>
  </r>
  <r>
    <d v="2026-07-10T00:00:00"/>
    <x v="5"/>
    <n v="1"/>
    <s v="A"/>
    <s v="QPAC LTD"/>
    <s v="22752/JEWSON TERRALIS FIBC-RC"/>
    <s v="U+2"/>
    <s v="70X90X79"/>
    <s v="2604-294"/>
    <n v="2025"/>
    <n v="1358.1675"/>
    <x v="51"/>
    <n v="5685"/>
    <n v="2025"/>
    <n v="3660"/>
    <m/>
  </r>
  <r>
    <d v="2026-07-10T00:00:00"/>
    <x v="5"/>
    <n v="1"/>
    <s v="A"/>
    <s v="FLEXOCHEM"/>
    <s v="FVPL/PO/2026-00144"/>
    <s v="C-C"/>
    <s v="90X90X70"/>
    <s v="2606-094"/>
    <n v="175"/>
    <n v="301.89250000000004"/>
    <x v="58"/>
    <n v="2575"/>
    <n v="175"/>
    <n v="2400"/>
    <m/>
  </r>
  <r>
    <d v="2026-07-10T00:00:00"/>
    <x v="5"/>
    <n v="1"/>
    <s v="A"/>
    <s v="United tradex"/>
    <s v="PO1002/90X90X75 TYPE C BAG"/>
    <s v="Q-BAG"/>
    <s v="90X90X75"/>
    <s v="2607-048"/>
    <n v="200"/>
    <n v="443.98"/>
    <x v="60"/>
    <n v="2000"/>
    <n v="200"/>
    <n v="1800"/>
    <m/>
  </r>
  <r>
    <d v="2026-07-10T00:00:00"/>
    <x v="5"/>
    <n v="1"/>
    <s v="A"/>
    <s v="United tradex"/>
    <s v="PO1001/100X100X105"/>
    <s v="Q-BAG"/>
    <s v="105X105X110"/>
    <s v="2606-270"/>
    <n v="250"/>
    <n v="525.44999999999993"/>
    <x v="57"/>
    <n v="4800"/>
    <n v="250"/>
    <n v="4550"/>
    <m/>
  </r>
  <r>
    <d v="2026-07-11T00:00:00"/>
    <x v="5"/>
    <n v="1"/>
    <s v="A"/>
    <s v="QPAC LTD"/>
    <s v="22752/JEWSON TERRALIS FIBC-RC"/>
    <s v="U+2"/>
    <s v="70X90X79"/>
    <s v="2604-294"/>
    <n v="2300"/>
    <n v="1542.61"/>
    <x v="51"/>
    <n v="3660"/>
    <n v="2300"/>
    <n v="1360"/>
    <m/>
  </r>
  <r>
    <d v="2026-07-11T00:00:00"/>
    <x v="5"/>
    <n v="1"/>
    <s v="A"/>
    <s v="FLEXOCHEM"/>
    <s v="FVPL/PO/2026-00144"/>
    <s v="C-C"/>
    <s v="90X90X70"/>
    <s v="2606-094"/>
    <n v="175"/>
    <n v="301.89250000000004"/>
    <x v="58"/>
    <n v="2400"/>
    <n v="175"/>
    <n v="2225"/>
    <m/>
  </r>
  <r>
    <d v="2026-07-11T00:00:00"/>
    <x v="5"/>
    <n v="1"/>
    <s v="A"/>
    <s v="United tradex"/>
    <s v="PO1001/100X100X105"/>
    <s v="Q-BAG"/>
    <s v="105X105X110"/>
    <s v="2606-270"/>
    <n v="200"/>
    <n v="420.35999999999996"/>
    <x v="57"/>
    <n v="4550"/>
    <n v="200"/>
    <n v="4350"/>
    <m/>
  </r>
  <r>
    <d v="2026-07-11T00:00:00"/>
    <x v="5"/>
    <n v="1"/>
    <s v="A"/>
    <s v="DAJUSA 2002 S.L"/>
    <s v="51237/DAJU091160CABDO80SALABLALCA"/>
    <s v="U+2"/>
    <s v="91X91X160"/>
    <s v="2606-463"/>
    <n v="400"/>
    <n v="723.6"/>
    <x v="61"/>
    <n v="5000"/>
    <n v="400"/>
    <n v="4600"/>
    <m/>
  </r>
  <r>
    <d v="2026-07-11T00:00:00"/>
    <x v="5"/>
    <n v="1"/>
    <s v="A"/>
    <s v="United tradex"/>
    <s v="PO1002/90X90X75 TYPE C BAG"/>
    <s v="Q-BAG"/>
    <s v="90X90X75"/>
    <s v="2607-048"/>
    <n v="300"/>
    <n v="665.97"/>
    <x v="60"/>
    <n v="1800"/>
    <n v="300"/>
    <n v="1500"/>
    <m/>
  </r>
  <r>
    <d v="2026-07-13T00:00:00"/>
    <x v="5"/>
    <n v="1"/>
    <s v="A"/>
    <s v="FLEXOCHEM"/>
    <s v="FVPL/PO/2026-00144"/>
    <s v="C-C"/>
    <s v="90X90X70"/>
    <s v="2606-094"/>
    <n v="375"/>
    <n v="646.91250000000002"/>
    <x v="58"/>
    <n v="2225"/>
    <n v="375"/>
    <n v="1850"/>
    <m/>
  </r>
  <r>
    <d v="2026-07-13T00:00:00"/>
    <x v="5"/>
    <n v="1"/>
    <s v="A"/>
    <s v="DAJUSA 2002 S.L"/>
    <s v="51351/DAJU085090BAFPO70CERDANY"/>
    <s v="U+2"/>
    <s v="85X85X90"/>
    <s v="2606-468"/>
    <n v="450"/>
    <n v="341.55"/>
    <x v="62"/>
    <n v="2500"/>
    <n v="450"/>
    <n v="2050"/>
    <m/>
  </r>
  <r>
    <d v="2026-07-13T00:00:00"/>
    <x v="5"/>
    <n v="1"/>
    <s v="A"/>
    <s v="United tradex"/>
    <s v="PO1001/100X100X105"/>
    <s v="Q-BAG"/>
    <s v="105X105X110"/>
    <s v="2606-270"/>
    <n v="525"/>
    <n v="1103.4449999999999"/>
    <x v="57"/>
    <n v="4350"/>
    <n v="525"/>
    <n v="3825"/>
    <m/>
  </r>
  <r>
    <d v="2026-07-13T00:00:00"/>
    <x v="5"/>
    <n v="1"/>
    <s v="A"/>
    <s v="DAJUSA 2002 S.L"/>
    <s v="51237/DAJU091160CABDO80SALABLALCA"/>
    <s v="U+2"/>
    <s v="91X91X160"/>
    <s v="2606-463"/>
    <n v="1125"/>
    <n v="2035.125"/>
    <x v="61"/>
    <n v="4600"/>
    <n v="1125"/>
    <n v="3475"/>
    <m/>
  </r>
  <r>
    <d v="2026-07-14T00:00:00"/>
    <x v="5"/>
    <n v="1"/>
    <s v="A"/>
    <s v="FLEXOCHEM"/>
    <s v="FVPL/PO/2026-00144"/>
    <s v="C-C"/>
    <s v="90X90X70"/>
    <s v="2606-094"/>
    <n v="350"/>
    <n v="603.78500000000008"/>
    <x v="58"/>
    <n v="1850"/>
    <n v="350"/>
    <n v="1500"/>
    <m/>
  </r>
  <r>
    <d v="2026-07-14T00:00:00"/>
    <x v="5"/>
    <n v="1"/>
    <s v="A"/>
    <s v="DAJUSA 2002 S.L"/>
    <s v="51351/DAJU085090BAFPO70CERDANY"/>
    <s v="U+2"/>
    <s v="85X85X90"/>
    <s v="2606-468"/>
    <n v="500"/>
    <n v="379.5"/>
    <x v="62"/>
    <n v="2050"/>
    <n v="500"/>
    <n v="1550"/>
    <m/>
  </r>
  <r>
    <d v="2026-07-14T00:00:00"/>
    <x v="5"/>
    <n v="1"/>
    <s v="A"/>
    <s v="United tradex"/>
    <s v="PO1001/100X100X105"/>
    <s v="Q-BAG"/>
    <s v="105X105X110"/>
    <s v="2606-270"/>
    <n v="525"/>
    <n v="1103.4449999999999"/>
    <x v="57"/>
    <n v="3825"/>
    <n v="525"/>
    <n v="3300"/>
    <m/>
  </r>
  <r>
    <d v="2026-07-14T00:00:00"/>
    <x v="5"/>
    <n v="1"/>
    <s v="A"/>
    <s v="DAJUSA 2002 S.L"/>
    <s v="51237/DAJU091160CABDO80SALABLALCA"/>
    <s v="U+2"/>
    <s v="91X91X160"/>
    <s v="2606-463"/>
    <n v="550"/>
    <n v="994.94999999999993"/>
    <x v="61"/>
    <n v="3475"/>
    <n v="550"/>
    <n v="2925"/>
    <m/>
  </r>
  <r>
    <d v="2026-07-15T00:00:00"/>
    <x v="5"/>
    <n v="1"/>
    <s v="A"/>
    <s v="FLEXOCHEM"/>
    <s v="FVPL/PO/2026-00144"/>
    <s v="C-C"/>
    <s v="90X90X70"/>
    <s v="2606-094"/>
    <n v="100"/>
    <n v="172.51000000000002"/>
    <x v="58"/>
    <n v="1500"/>
    <n v="100"/>
    <n v="1400"/>
    <m/>
  </r>
  <r>
    <d v="2026-07-15T00:00:00"/>
    <x v="5"/>
    <n v="1"/>
    <s v="A"/>
    <s v="SADLEIRS PACKAGING AUSTRALIA"/>
    <s v="PO-067345/DC 1299 S"/>
    <s v="C-C"/>
    <s v="90X90X90"/>
    <s v="2605-286"/>
    <n v="500"/>
    <n v="671"/>
    <x v="63"/>
    <n v="6820"/>
    <n v="500"/>
    <n v="6320"/>
    <m/>
  </r>
  <r>
    <d v="2026-07-15T00:00:00"/>
    <x v="5"/>
    <n v="1"/>
    <s v="A"/>
    <s v="United tradex"/>
    <s v="PO1001/100X100X105"/>
    <s v="Q-BAG"/>
    <s v="105X105X110"/>
    <s v="2606-270"/>
    <n v="300"/>
    <n v="630.54"/>
    <x v="57"/>
    <n v="3300"/>
    <n v="300"/>
    <n v="3000"/>
    <m/>
  </r>
  <r>
    <d v="2026-07-15T00:00:00"/>
    <x v="5"/>
    <n v="1"/>
    <s v="A"/>
    <s v="DAJUSA 2002 S.L"/>
    <s v="51237/DAJU091160CABDO80SALABLALCA"/>
    <s v="U+2"/>
    <s v="91X91X160"/>
    <s v="2606-463"/>
    <n v="350"/>
    <n v="633.15"/>
    <x v="61"/>
    <n v="2925"/>
    <n v="350"/>
    <n v="2575"/>
    <m/>
  </r>
  <r>
    <d v="2026-07-15T00:00:00"/>
    <x v="5"/>
    <n v="1"/>
    <s v="A"/>
    <s v="United tradex"/>
    <s v="PO1002/90X90X75 TYPE C BAG"/>
    <s v="Q-BAG"/>
    <s v="90X90X75"/>
    <s v="2607-048"/>
    <n v="50"/>
    <n v="110.995"/>
    <x v="60"/>
    <n v="1500"/>
    <n v="50"/>
    <n v="1450"/>
    <m/>
  </r>
  <r>
    <d v="2026-07-15T00:00:00"/>
    <x v="5"/>
    <n v="1"/>
    <s v="A"/>
    <s v="DAJUSA 2002 S.L"/>
    <s v="51351/DAJU085090BAFPO70CERDANY"/>
    <s v="U+2"/>
    <s v="85X85X90"/>
    <s v="2606-468"/>
    <n v="1150"/>
    <n v="872.85"/>
    <x v="62"/>
    <n v="1550"/>
    <n v="1150"/>
    <n v="400"/>
    <m/>
  </r>
  <r>
    <d v="2026-07-16T00:00:00"/>
    <x v="5"/>
    <n v="1"/>
    <s v="A"/>
    <s v="SADLEIRS PACKAGING AUSTRALIA"/>
    <s v="PO-067345/DC 1299 S"/>
    <s v="C-C"/>
    <s v="90X90X90"/>
    <s v="2605-286"/>
    <n v="950"/>
    <n v="1274.9000000000001"/>
    <x v="63"/>
    <n v="6820"/>
    <n v="950"/>
    <n v="5870"/>
    <m/>
  </r>
  <r>
    <d v="2026-07-16T00:00:00"/>
    <x v="5"/>
    <n v="1"/>
    <s v="A"/>
    <s v="United tradex"/>
    <s v="PO1001/100X100X105"/>
    <s v="Q-BAG"/>
    <s v="105X105X110"/>
    <s v="2606-270"/>
    <n v="550"/>
    <n v="1155.99"/>
    <x v="57"/>
    <n v="3000"/>
    <n v="550"/>
    <n v="2450"/>
    <m/>
  </r>
  <r>
    <d v="2026-07-16T00:00:00"/>
    <x v="5"/>
    <n v="1"/>
    <s v="A"/>
    <s v="United tradex"/>
    <s v="PO1002/90X90X75 TYPE C BAG"/>
    <s v="Q-BAG"/>
    <s v="90X90X75"/>
    <s v="2607-048"/>
    <n v="150"/>
    <n v="332.98500000000001"/>
    <x v="60"/>
    <n v="1450"/>
    <n v="150"/>
    <n v="1300"/>
    <m/>
  </r>
  <r>
    <d v="2026-07-16T00:00:00"/>
    <x v="5"/>
    <n v="1"/>
    <s v="A"/>
    <s v="DAJUSA 2002 S.L"/>
    <s v="51291/DAJU085090BAFPO70ARIMANY"/>
    <s v="U+2"/>
    <s v="85X85X90"/>
    <s v="2606-470"/>
    <n v="800"/>
    <n v="607.20000000000005"/>
    <x v="62"/>
    <n v="1000"/>
    <n v="800"/>
    <n v="200"/>
    <m/>
  </r>
  <r>
    <d v="2026-07-16T00:00:00"/>
    <x v="5"/>
    <n v="1"/>
    <s v="A"/>
    <s v="DAJUSA 2002 S.L"/>
    <s v="51351/DAJU085090BAFPO70CERDANY"/>
    <s v="U+2"/>
    <s v="85X85X90"/>
    <s v="2606-468"/>
    <n v="200"/>
    <n v="151.80000000000001"/>
    <x v="62"/>
    <n v="400"/>
    <n v="200"/>
    <n v="200"/>
    <m/>
  </r>
  <r>
    <d v="2026-07-17T00:00:00"/>
    <x v="5"/>
    <n v="1"/>
    <s v="A"/>
    <s v="SADLEIRS PACKAGING AUSTRALIA"/>
    <s v="PO-067345/DC 1299 S"/>
    <s v="C-C"/>
    <s v="90X90X90"/>
    <s v="2605-286"/>
    <n v="675"/>
    <n v="905.85"/>
    <x v="63"/>
    <n v="5370"/>
    <n v="675"/>
    <n v="4695"/>
    <m/>
  </r>
  <r>
    <d v="2026-07-17T00:00:00"/>
    <x v="5"/>
    <n v="1"/>
    <s v="A"/>
    <s v="United tradex"/>
    <s v="PO1001/100X100X105"/>
    <s v="Q-BAG"/>
    <s v="105X105X110"/>
    <s v="2606-270"/>
    <n v="525"/>
    <n v="1103.4449999999999"/>
    <x v="57"/>
    <n v="2450"/>
    <n v="525"/>
    <n v="1925"/>
    <m/>
  </r>
  <r>
    <d v="2026-07-17T00:00:00"/>
    <x v="5"/>
    <n v="1"/>
    <s v="A"/>
    <s v="United tradex"/>
    <s v="PO1002/90X90X75 TYPE C BAG"/>
    <s v="Q-BAG"/>
    <s v="90X90X75"/>
    <s v="2607-048"/>
    <n v="250"/>
    <n v="554.97500000000002"/>
    <x v="60"/>
    <n v="1300"/>
    <n v="250"/>
    <n v="1050"/>
    <m/>
  </r>
  <r>
    <d v="2026-07-17T00:00:00"/>
    <x v="5"/>
    <n v="1"/>
    <s v="A"/>
    <s v="SACOS DURCAL S.A"/>
    <s v="KPW/2026/CONT-176/05"/>
    <s v="U+2"/>
    <s v="85X85X90"/>
    <s v="2606-494"/>
    <n v="1100"/>
    <n v="885.5"/>
    <x v="64"/>
    <n v="4000"/>
    <n v="1100"/>
    <n v="2900"/>
    <m/>
  </r>
  <r>
    <d v="2026-07-17T00:00:00"/>
    <x v="5"/>
    <n v="1"/>
    <s v="A"/>
    <s v="DAJUSA 2002 S.L"/>
    <s v="51291/DAJU085090BAFPO70ARIMANY"/>
    <s v="U+2"/>
    <s v="85X85X90"/>
    <s v="2606-470"/>
    <n v="200"/>
    <n v="151.80000000000001"/>
    <x v="62"/>
    <n v="200"/>
    <n v="200"/>
    <n v="0"/>
    <m/>
  </r>
  <r>
    <d v="2026-07-17T00:00:00"/>
    <x v="5"/>
    <n v="1"/>
    <s v="A"/>
    <s v="DAJUSA 2002 S.L"/>
    <s v="51307/DAJU085090BAFP070BAHIA"/>
    <s v="U+2"/>
    <s v="85X85X90"/>
    <s v="2606-472"/>
    <n v="750"/>
    <n v="723"/>
    <x v="65"/>
    <n v="900"/>
    <n v="750"/>
    <n v="150"/>
    <m/>
  </r>
  <r>
    <d v="2026-07-18T00:00:00"/>
    <x v="5"/>
    <n v="1"/>
    <s v="A"/>
    <s v="SADLEIRS PACKAGING AUSTRALIA"/>
    <s v="PO-067345/DC 1299 S"/>
    <s v="C-C"/>
    <s v="90X90X90"/>
    <s v="2605-286"/>
    <n v="700"/>
    <n v="939.40000000000009"/>
    <x v="63"/>
    <n v="4695"/>
    <n v="700"/>
    <n v="3995"/>
    <m/>
  </r>
  <r>
    <d v="2026-07-18T00:00:00"/>
    <x v="5"/>
    <n v="1"/>
    <s v="A"/>
    <s v="United tradex"/>
    <s v="PO1001/100X100X105"/>
    <s v="Q-BAG"/>
    <s v="105X105X110"/>
    <s v="2606-270"/>
    <n v="505"/>
    <n v="1061.4089999999999"/>
    <x v="57"/>
    <n v="1925"/>
    <n v="505"/>
    <n v="1420"/>
    <m/>
  </r>
  <r>
    <d v="2026-07-18T00:00:00"/>
    <x v="5"/>
    <n v="1"/>
    <s v="A"/>
    <s v="United tradex"/>
    <s v="PO1002/90X90X75 TYPE C BAG"/>
    <s v="Q-BAG"/>
    <s v="90X90X75"/>
    <s v="2607-048"/>
    <n v="250"/>
    <n v="554.97500000000002"/>
    <x v="60"/>
    <n v="1050"/>
    <n v="250"/>
    <n v="800"/>
    <m/>
  </r>
  <r>
    <d v="2026-07-18T00:00:00"/>
    <x v="5"/>
    <n v="1"/>
    <s v="B"/>
    <s v="DAJUSA 2002 S.L"/>
    <s v="51237/DAJU091160CABDO80SALABLALCA"/>
    <s v="U+2"/>
    <s v="91X91X160"/>
    <s v="2606-463"/>
    <n v="400"/>
    <n v="723.6"/>
    <x v="61"/>
    <n v="2575"/>
    <n v="400"/>
    <n v="2175"/>
    <m/>
  </r>
  <r>
    <d v="2026-07-18T00:00:00"/>
    <x v="5"/>
    <n v="1"/>
    <s v="A"/>
    <s v="QPAC LTD"/>
    <s v="22752/RO-HALLSTONE-RC"/>
    <s v="U+2"/>
    <s v="70X90X79"/>
    <s v="2604-296"/>
    <n v="930"/>
    <n v="623.75099999999998"/>
    <x v="51"/>
    <n v="1195"/>
    <n v="930"/>
    <n v="265"/>
    <m/>
  </r>
  <r>
    <d v="2026-07-18T00:00:00"/>
    <x v="5"/>
    <n v="1"/>
    <s v="A"/>
    <s v="DAJUSA 2002 S.L"/>
    <s v="51307/DAJU085090BAFP070BAHIA"/>
    <s v="U+2"/>
    <s v="85X85X90"/>
    <s v="2606-472"/>
    <n v="100"/>
    <n v="96.399999999999991"/>
    <x v="65"/>
    <n v="150"/>
    <n v="100"/>
    <n v="50"/>
    <m/>
  </r>
  <r>
    <d v="2026-07-20T00:00:00"/>
    <x v="5"/>
    <n v="1"/>
    <s v="A"/>
    <s v="SADLEIRS PACKAGING AUSTRALIA"/>
    <s v="PO-067345/DC 1299 S"/>
    <s v="C-C"/>
    <s v="90X90X90"/>
    <s v="2605-286"/>
    <n v="950"/>
    <n v="1274.9000000000001"/>
    <x v="63"/>
    <n v="3995"/>
    <n v="950"/>
    <n v="3045"/>
    <m/>
  </r>
  <r>
    <d v="2026-07-20T00:00:00"/>
    <x v="5"/>
    <n v="1"/>
    <s v="A"/>
    <s v="United tradex"/>
    <s v="PO1001/100X100X105"/>
    <s v="Q-BAG"/>
    <s v="105X105X110"/>
    <s v="2606-270"/>
    <n v="300"/>
    <n v="630.54"/>
    <x v="57"/>
    <n v="1420"/>
    <n v="300"/>
    <n v="1120"/>
    <m/>
  </r>
  <r>
    <d v="2026-07-20T00:00:00"/>
    <x v="5"/>
    <n v="1"/>
    <s v="A"/>
    <s v="SACOS DURCAL S.A"/>
    <s v="KPW/2026/CONT-176/05"/>
    <s v="U+2"/>
    <s v="85X85X90"/>
    <s v="2606-494"/>
    <n v="450"/>
    <n v="362.25"/>
    <x v="64"/>
    <n v="2900"/>
    <n v="450"/>
    <n v="2450"/>
    <m/>
  </r>
  <r>
    <d v="2026-07-20T00:00:00"/>
    <x v="5"/>
    <n v="1"/>
    <s v="A"/>
    <s v="United tradex"/>
    <s v="PO1002/90X90X75 TYPE C BAG"/>
    <s v="Q-BAG"/>
    <s v="90X90X75"/>
    <s v="2607-048"/>
    <n v="90"/>
    <n v="199.791"/>
    <x v="60"/>
    <n v="800"/>
    <n v="90"/>
    <n v="710"/>
    <m/>
  </r>
  <r>
    <d v="2026-07-20T00:00:00"/>
    <x v="5"/>
    <n v="1"/>
    <s v="A"/>
    <s v="DAJUSA 2002 S.L"/>
    <s v="51237/DAJU091160CABDO80SALABLALCA"/>
    <s v="U+2"/>
    <s v="91X91X160"/>
    <s v="2606-463"/>
    <n v="420"/>
    <n v="759.78"/>
    <x v="61"/>
    <n v="2175"/>
    <n v="420"/>
    <n v="1755"/>
    <m/>
  </r>
  <r>
    <d v="2026-07-20T00:00:00"/>
    <x v="5"/>
    <n v="1"/>
    <s v="A"/>
    <s v="DAJUSA 2002 S.L"/>
    <s v="51327/DAJU091110CABD070LOOP"/>
    <s v="U+2"/>
    <s v="91X91X110"/>
    <s v="2606-467"/>
    <n v="325"/>
    <n v="419.57499999999999"/>
    <x v="66"/>
    <n v="650"/>
    <n v="325"/>
    <n v="325"/>
    <m/>
  </r>
  <r>
    <d v="2026-07-20T00:00:00"/>
    <x v="5"/>
    <n v="1"/>
    <s v="A"/>
    <s v="QPAC LTD"/>
    <s v="22752/JEWSON TERRALIS FIBC-RC"/>
    <s v="U+2"/>
    <s v="70X90X79"/>
    <s v="2604-294"/>
    <n v="1200"/>
    <n v="804.83999999999992"/>
    <x v="51"/>
    <n v="1360"/>
    <n v="1200"/>
    <n v="160"/>
    <m/>
  </r>
  <r>
    <d v="2026-07-20T00:00:00"/>
    <x v="5"/>
    <n v="1"/>
    <s v="A"/>
    <s v="QPAC LTD"/>
    <s v="22752/RO-HALLSTONE-RC"/>
    <s v="U+2"/>
    <s v="70X90X79"/>
    <s v="2604-296"/>
    <n v="200"/>
    <n v="134.13999999999999"/>
    <x v="51"/>
    <n v="265"/>
    <n v="200"/>
    <n v="65"/>
    <m/>
  </r>
  <r>
    <d v="2026-07-21T00:00:00"/>
    <x v="5"/>
    <n v="1"/>
    <s v="A"/>
    <s v="SADLEIRS PACKAGING AUSTRALIA"/>
    <s v="PO-067345/DC 1299 S"/>
    <s v="C-C"/>
    <s v="90X90X90"/>
    <s v="2605-286"/>
    <n v="1050"/>
    <n v="1409.1000000000001"/>
    <x v="63"/>
    <n v="3045"/>
    <n v="1050"/>
    <n v="1995"/>
    <m/>
  </r>
  <r>
    <d v="2026-07-21T00:00:00"/>
    <x v="5"/>
    <n v="1"/>
    <s v="A"/>
    <s v="SACOS DURCAL S.A"/>
    <s v="KPW/2026/CONT-176/05"/>
    <s v="U+2"/>
    <s v="85X85X90"/>
    <s v="2606-494"/>
    <n v="550"/>
    <n v="442.75"/>
    <x v="64"/>
    <n v="2450"/>
    <n v="550"/>
    <n v="1900"/>
    <m/>
  </r>
  <r>
    <d v="2026-07-21T00:00:00"/>
    <x v="5"/>
    <n v="1"/>
    <s v="A"/>
    <s v="DAJUSA 2002 S.L"/>
    <s v="51327/DAJU091110CABD070LOOP"/>
    <s v="U+2"/>
    <s v="91X91X110"/>
    <s v="2606-467"/>
    <n v="325"/>
    <n v="419.57499999999999"/>
    <x v="66"/>
    <n v="325"/>
    <n v="325"/>
    <n v="0"/>
    <m/>
  </r>
  <r>
    <d v="2026-07-21T00:00:00"/>
    <x v="5"/>
    <n v="1"/>
    <s v="A"/>
    <s v="QPAC LTD"/>
    <s v="22752/JEWSON TERRALIS FIBC-RC"/>
    <s v="U+2"/>
    <s v="70X90X79"/>
    <s v="2604-294"/>
    <n v="160"/>
    <n v="107.312"/>
    <x v="51"/>
    <n v="160"/>
    <n v="160"/>
    <n v="0"/>
    <m/>
  </r>
  <r>
    <d v="2026-07-21T00:00:00"/>
    <x v="5"/>
    <n v="1"/>
    <s v="A"/>
    <s v="United tradex"/>
    <s v="PO1001/100X100X105"/>
    <s v="Q-BAG"/>
    <s v="105X105X110"/>
    <s v="2606-270"/>
    <n v="190"/>
    <n v="399.34199999999998"/>
    <x v="57"/>
    <n v="1120"/>
    <n v="190"/>
    <n v="930"/>
    <m/>
  </r>
  <r>
    <d v="2026-07-21T00:00:00"/>
    <x v="5"/>
    <n v="1"/>
    <s v="A"/>
    <s v="QPAC LTD"/>
    <s v="22752/RO-HALLSTONE-RC"/>
    <s v="U+2"/>
    <s v="70X90X79"/>
    <s v="2604-296"/>
    <n v="65"/>
    <n v="43.595499999999994"/>
    <x v="51"/>
    <n v="65"/>
    <n v="65"/>
    <n v="0"/>
    <m/>
  </r>
  <r>
    <d v="2026-07-21T00:00:00"/>
    <x v="5"/>
    <n v="1"/>
    <s v="A"/>
    <s v="DAJUSA 2002 S.L"/>
    <s v="51237/DAJU091160CABDO80SALABLALCA"/>
    <s v="U+2"/>
    <s v="91X91X160"/>
    <s v="2606-463"/>
    <n v="450"/>
    <n v="814.05"/>
    <x v="61"/>
    <n v="1755"/>
    <n v="450"/>
    <n v="1305"/>
    <m/>
  </r>
  <r>
    <d v="2026-07-22T00:00:00"/>
    <x v="5"/>
    <n v="1"/>
    <s v="A"/>
    <s v="SADLEIRS PACKAGING AUSTRALIA"/>
    <s v="PO-067345/DC 1299 S"/>
    <s v="C-C"/>
    <s v="90X90X90"/>
    <s v="2605-286"/>
    <n v="950"/>
    <n v="1274.9000000000001"/>
    <x v="63"/>
    <n v="1995"/>
    <n v="950"/>
    <n v="1045"/>
    <m/>
  </r>
  <r>
    <d v="2026-07-22T00:00:00"/>
    <x v="5"/>
    <n v="1"/>
    <s v="A"/>
    <s v="SACOS DURCAL S.A"/>
    <s v="KPW/2026/CONT-176/05"/>
    <s v="U+2"/>
    <s v="85X85X90"/>
    <s v="2606-494"/>
    <n v="450"/>
    <n v="362.25"/>
    <x v="64"/>
    <n v="1900"/>
    <n v="450"/>
    <n v="1450"/>
    <m/>
  </r>
  <r>
    <d v="2026-07-22T00:00:00"/>
    <x v="5"/>
    <n v="1"/>
    <s v="A"/>
    <s v="DAJUSA 2002 S.L"/>
    <s v="51533DAJU100220BCBB080GREE"/>
    <s v="U+2"/>
    <s v="100X100X220"/>
    <s v="2607-216"/>
    <n v="100"/>
    <n v="221.03000000000003"/>
    <x v="67"/>
    <n v="1560"/>
    <n v="100"/>
    <n v="1460"/>
    <m/>
  </r>
  <r>
    <d v="2026-07-22T00:00:00"/>
    <x v="5"/>
    <n v="1"/>
    <s v="A"/>
    <s v="SACOS DURCAL S.A"/>
    <s v="KPW/2026/CONT-176/02"/>
    <s v="U+2"/>
    <s v="80X80X65"/>
    <s v="2606-491"/>
    <n v="450"/>
    <n v="273.24"/>
    <x v="68"/>
    <n v="1200"/>
    <n v="450"/>
    <n v="750"/>
    <m/>
  </r>
  <r>
    <d v="2026-07-22T00:00:00"/>
    <x v="5"/>
    <n v="1"/>
    <s v="A"/>
    <s v="DAJUSA 2002 S.L"/>
    <s v="51217/DAJU080110BAFPO90CURRUCHO"/>
    <s v="U+2"/>
    <s v="80X80X110"/>
    <s v="2606-473"/>
    <n v="500"/>
    <n v="583"/>
    <x v="69"/>
    <n v="500"/>
    <n v="500"/>
    <n v="0"/>
    <m/>
  </r>
  <r>
    <d v="2026-07-22T00:00:00"/>
    <x v="5"/>
    <n v="1"/>
    <s v="A"/>
    <s v="DAJUSA 2002 S.L"/>
    <s v="51346/DAJU091160CABD080LOOPS30CLEAN"/>
    <s v="U+2"/>
    <s v="91X91X160"/>
    <s v="2606-475"/>
    <n v="450"/>
    <n v="814.94999999999993"/>
    <x v="70"/>
    <n v="600"/>
    <n v="450"/>
    <n v="150"/>
    <m/>
  </r>
  <r>
    <d v="2026-07-22T00:00:00"/>
    <x v="5"/>
    <n v="1"/>
    <s v="A"/>
    <s v="United tradex"/>
    <s v="PO1001/100X100X105"/>
    <s v="Q-BAG"/>
    <s v="105X105X110"/>
    <s v="2606-270"/>
    <n v="240"/>
    <n v="504.43199999999996"/>
    <x v="57"/>
    <n v="930"/>
    <n v="240"/>
    <n v="690"/>
    <m/>
  </r>
  <r>
    <d v="2026-07-22T00:00:00"/>
    <x v="5"/>
    <n v="1"/>
    <s v="A"/>
    <s v="DAJUSA 2002 S.L"/>
    <s v="51237/DAJU091160CABDO80SALABLALCA"/>
    <s v="U+2"/>
    <s v="91X91X160"/>
    <s v="2606-463"/>
    <n v="585"/>
    <n v="1058.2649999999999"/>
    <x v="61"/>
    <n v="1305"/>
    <n v="585"/>
    <n v="720"/>
    <m/>
  </r>
  <r>
    <d v="2026-07-23T00:00:00"/>
    <x v="5"/>
    <n v="1"/>
    <s v="A"/>
    <s v="SADLEIRS PACKAGING AUSTRALIA"/>
    <s v="PO-067345/DC 1299 S"/>
    <s v="C-C"/>
    <s v="90X90X90"/>
    <s v="2605-286"/>
    <n v="250"/>
    <n v="335.5"/>
    <x v="63"/>
    <n v="1045"/>
    <n v="250"/>
    <n v="795"/>
    <m/>
  </r>
  <r>
    <d v="2026-07-23T00:00:00"/>
    <x v="5"/>
    <n v="1"/>
    <s v="A"/>
    <s v="DAJUSA 2002 S.L"/>
    <s v="51533DAJU100220BCBB080GREE"/>
    <s v="U+2"/>
    <s v="100X100X220"/>
    <s v="2607-216"/>
    <n v="100"/>
    <n v="221.03000000000003"/>
    <x v="67"/>
    <n v="1460"/>
    <n v="100"/>
    <n v="1360"/>
    <m/>
  </r>
  <r>
    <d v="2026-07-23T00:00:00"/>
    <x v="5"/>
    <n v="1"/>
    <s v="A"/>
    <s v="SACOS DURCAL S.A"/>
    <s v="KPW/2026/CONT-176/02"/>
    <s v="U+2"/>
    <s v="80X80X65"/>
    <s v="2606-491"/>
    <n v="100"/>
    <n v="60.72"/>
    <x v="68"/>
    <n v="750"/>
    <n v="100"/>
    <n v="650"/>
    <m/>
  </r>
  <r>
    <d v="2026-07-23T00:00:00"/>
    <x v="5"/>
    <n v="1"/>
    <s v="A"/>
    <s v="DAJUSA 2002 S.L"/>
    <s v="51237/DAJU091160CABDO80SALABLALCA"/>
    <s v="U+2"/>
    <s v="91X91X160"/>
    <s v="2606-463"/>
    <n v="150"/>
    <n v="271.34999999999997"/>
    <x v="61"/>
    <n v="720"/>
    <n v="150"/>
    <n v="570"/>
    <m/>
  </r>
  <r>
    <d v="2026-07-24T00:00:00"/>
    <x v="5"/>
    <n v="1"/>
    <s v="A"/>
    <s v="SADLEIRS PACKAGING AUSTRALIA"/>
    <s v="PO-067345/DC 1299 S"/>
    <s v="C-C"/>
    <s v="90X90X90"/>
    <s v="2605-286"/>
    <n v="300"/>
    <n v="402.6"/>
    <x v="63"/>
    <n v="795"/>
    <n v="300"/>
    <n v="495"/>
    <m/>
  </r>
  <r>
    <d v="2026-07-24T00:00:00"/>
    <x v="5"/>
    <n v="1"/>
    <s v="A"/>
    <s v="SACOS DURCAL S.A"/>
    <s v="KPW/2026/CONT-176/02"/>
    <s v="U+2"/>
    <s v="80X80X65"/>
    <s v="2606-491"/>
    <n v="150"/>
    <n v="91.08"/>
    <x v="68"/>
    <n v="650"/>
    <n v="150"/>
    <n v="500"/>
    <m/>
  </r>
  <r>
    <d v="2026-07-24T00:00:00"/>
    <x v="5"/>
    <n v="1"/>
    <s v="A"/>
    <s v="United tradex"/>
    <s v="PO1001/100X100X105"/>
    <s v="Q-BAG"/>
    <s v="105X105X110"/>
    <s v="2606-270"/>
    <n v="190"/>
    <n v="399.34199999999998"/>
    <x v="57"/>
    <n v="690"/>
    <n v="190"/>
    <n v="500"/>
    <m/>
  </r>
  <r>
    <d v="2026-07-24T00:00:00"/>
    <x v="5"/>
    <n v="1"/>
    <s v="A"/>
    <s v="DAJUSA 2002 S.L"/>
    <s v="51237/DAJU091160CABDO80SALABLALCA"/>
    <s v="U+2"/>
    <s v="91X91X160"/>
    <s v="2606-463"/>
    <n v="200"/>
    <n v="361.8"/>
    <x v="61"/>
    <n v="570"/>
    <n v="200"/>
    <n v="370"/>
    <m/>
  </r>
  <r>
    <d v="2026-07-25T00:00:00"/>
    <x v="5"/>
    <n v="1"/>
    <s v="A"/>
    <s v="SADLEIRS PACKAGING AUSTRALIA"/>
    <s v="PO-067345/DC 1299 S"/>
    <s v="C-C"/>
    <s v="90X90X90"/>
    <s v="2605-286"/>
    <n v="495"/>
    <n v="664.29000000000008"/>
    <x v="63"/>
    <n v="495"/>
    <n v="495"/>
    <n v="0"/>
    <m/>
  </r>
  <r>
    <d v="2026-07-25T00:00:00"/>
    <x v="5"/>
    <n v="1"/>
    <s v="A"/>
    <s v="SADLEIRS PACKAGING AUSTRALIA"/>
    <s v="PO-67345/KDC 5905"/>
    <s v="C-C"/>
    <s v="90X90X50"/>
    <s v="2605-289"/>
    <n v="700"/>
    <n v="758.1"/>
    <x v="71"/>
    <n v="3200"/>
    <n v="700"/>
    <n v="2500"/>
    <m/>
  </r>
  <r>
    <d v="2026-07-25T00:00:00"/>
    <x v="5"/>
    <n v="1"/>
    <s v="A"/>
    <s v="United tradex"/>
    <s v="PO1002/90X90X75 TYPE C BAG"/>
    <s v="Q-BAG"/>
    <s v="90X90X75"/>
    <s v="2607-048"/>
    <n v="50"/>
    <n v="110.995"/>
    <x v="60"/>
    <n v="710"/>
    <n v="50"/>
    <n v="660"/>
    <m/>
  </r>
  <r>
    <d v="2026-07-25T00:00:00"/>
    <x v="5"/>
    <n v="1"/>
    <s v="A"/>
    <s v="DAJUSA 2002 S.L"/>
    <s v="51533DAJU100220BCBB080GREE"/>
    <s v="U+2"/>
    <s v="100X100X220"/>
    <s v="2607-216"/>
    <n v="310"/>
    <n v="685.1930000000001"/>
    <x v="67"/>
    <n v="1360"/>
    <n v="310"/>
    <n v="1050"/>
    <m/>
  </r>
  <r>
    <d v="2026-07-25T00:00:00"/>
    <x v="5"/>
    <n v="1"/>
    <s v="A"/>
    <s v="SACOS DURCAL S.A"/>
    <s v="KPW/2026/CONT-176/02"/>
    <s v="U+2"/>
    <s v="80X80X65"/>
    <s v="2606-491"/>
    <n v="400"/>
    <n v="242.88"/>
    <x v="68"/>
    <n v="500"/>
    <n v="400"/>
    <n v="100"/>
    <m/>
  </r>
  <r>
    <d v="2026-07-25T00:00:00"/>
    <x v="5"/>
    <n v="1"/>
    <s v="A"/>
    <s v="DAJUSA 2002 S.L"/>
    <s v="51346/DAJU091160CABD080LOOPS30CLEAN"/>
    <s v="U+2"/>
    <s v="91X91X160"/>
    <s v="2606-475"/>
    <n v="150"/>
    <n v="271.64999999999998"/>
    <x v="70"/>
    <n v="150"/>
    <n v="150"/>
    <n v="0"/>
    <m/>
  </r>
  <r>
    <d v="2026-07-25T00:00:00"/>
    <x v="5"/>
    <n v="1"/>
    <s v="A"/>
    <s v="DAJUSA 2002 S.L"/>
    <s v="51143/DAJU091100CAFP070AGROBAL"/>
    <s v="U+2"/>
    <s v="91X91X100"/>
    <s v="2606-465"/>
    <n v="800"/>
    <n v="926.4"/>
    <x v="72"/>
    <n v="1050"/>
    <n v="800"/>
    <n v="250"/>
    <m/>
  </r>
  <r>
    <d v="2026-07-25T00:00:00"/>
    <x v="5"/>
    <n v="1"/>
    <s v="A"/>
    <s v="SACOS DURCAL S.A"/>
    <s v="KPW/2026/CONT-176/05"/>
    <s v="U+2"/>
    <s v="85X85X90"/>
    <s v="2606-494"/>
    <n v="150"/>
    <n v="120.75000000000001"/>
    <x v="64"/>
    <n v="1450"/>
    <n v="150"/>
    <n v="1300"/>
    <m/>
  </r>
  <r>
    <d v="2026-07-25T00:00:00"/>
    <x v="5"/>
    <n v="1"/>
    <s v="A"/>
    <s v="DAJUSA 2002 S.L"/>
    <s v="51237/DAJU091160CABDO80SALABLALCA"/>
    <s v="U+2"/>
    <s v="91X91X160"/>
    <s v="2606-463"/>
    <n v="370"/>
    <n v="669.32999999999993"/>
    <x v="61"/>
    <n v="370"/>
    <n v="370"/>
    <n v="0"/>
    <m/>
  </r>
  <r>
    <d v="2026-07-25T00:00:00"/>
    <x v="5"/>
    <n v="1"/>
    <s v="A"/>
    <s v="United tradex"/>
    <s v="PO1001/100X100X105"/>
    <s v="Q-BAG"/>
    <s v="105X105X110"/>
    <s v="2606-270"/>
    <n v="145"/>
    <n v="304.76099999999997"/>
    <x v="57"/>
    <n v="500"/>
    <n v="145"/>
    <n v="355"/>
    <m/>
  </r>
  <r>
    <d v="2026-07-27T00:00:00"/>
    <x v="5"/>
    <n v="1"/>
    <s v="A"/>
    <s v="SADLEIRS PACKAGING AUSTRALIA"/>
    <s v="PO-67345/KDC 5905"/>
    <s v="C-C"/>
    <s v="90X90X50"/>
    <s v="2605-289"/>
    <n v="1800"/>
    <n v="1949.3999999999999"/>
    <x v="71"/>
    <n v="2500"/>
    <n v="1800"/>
    <n v="700"/>
    <m/>
  </r>
  <r>
    <d v="2026-07-27T00:00:00"/>
    <x v="5"/>
    <n v="1"/>
    <s v="A"/>
    <s v="DAJUSA 2002 S.L"/>
    <s v="51332/DAJU080085BAFP070CHICANO"/>
    <s v="U+2"/>
    <s v="80X80X85"/>
    <s v="2606-471"/>
    <n v="1800"/>
    <n v="1312.2"/>
    <x v="73"/>
    <n v="2400"/>
    <n v="1800"/>
    <n v="600"/>
    <m/>
  </r>
  <r>
    <d v="2026-07-27T00:00:00"/>
    <x v="5"/>
    <n v="1"/>
    <s v="A"/>
    <s v="United tradex"/>
    <s v="PO1001/100X100X105"/>
    <s v="Q-BAG"/>
    <s v="105X105X110"/>
    <s v="2606-270"/>
    <n v="225"/>
    <n v="472.90499999999997"/>
    <x v="57"/>
    <n v="355"/>
    <n v="225"/>
    <n v="130"/>
    <m/>
  </r>
  <r>
    <d v="2026-07-27T00:00:00"/>
    <x v="5"/>
    <n v="1"/>
    <s v="A"/>
    <s v="SACOS DURCAL S.A"/>
    <s v="KPW/2026/CONT-176/05"/>
    <s v="U+2"/>
    <s v="85X85X90"/>
    <s v="2606-494"/>
    <n v="1000"/>
    <n v="805"/>
    <x v="64"/>
    <n v="1300"/>
    <n v="1000"/>
    <n v="300"/>
    <m/>
  </r>
  <r>
    <d v="2026-07-28T00:00:00"/>
    <x v="5"/>
    <n v="1"/>
    <s v="A"/>
    <s v="SADLEIRS PACKAGING AUSTRALIA"/>
    <s v="PO-67345/KDC 5905"/>
    <s v="C-C"/>
    <s v="90X90X50"/>
    <s v="2605-289"/>
    <n v="650"/>
    <n v="703.94999999999993"/>
    <x v="71"/>
    <n v="700"/>
    <n v="650"/>
    <n v="50"/>
    <m/>
  </r>
  <r>
    <d v="2026-07-28T00:00:00"/>
    <x v="5"/>
    <n v="1"/>
    <s v="A"/>
    <s v="SADLEIRS PACKAGING AUSTRALIA"/>
    <s v="PO-067345/KDC 12912"/>
    <s v="C-C"/>
    <s v="90x90x120"/>
    <s v="2605-288"/>
    <n v="450"/>
    <n v="699.75"/>
    <x v="74"/>
    <n v="2160"/>
    <n v="450"/>
    <n v="1710"/>
    <m/>
  </r>
  <r>
    <d v="2026-07-28T00:00:00"/>
    <x v="5"/>
    <n v="1"/>
    <s v="A"/>
    <s v="DAJUSA 2002 S.L"/>
    <s v="51240/DAJU091120CAFP070BIASBESTO"/>
    <s v="U+2"/>
    <s v="91X91X120"/>
    <s v="2606-474"/>
    <n v="200"/>
    <n v="254.4"/>
    <x v="75"/>
    <n v="400"/>
    <n v="200"/>
    <n v="200"/>
    <m/>
  </r>
  <r>
    <d v="2026-07-28T00:00:00"/>
    <x v="5"/>
    <n v="1"/>
    <s v="A"/>
    <s v="United tradex"/>
    <s v="PO1002/90X90X75 TYPE C BAG"/>
    <s v="Q-BAG"/>
    <s v="90X90X75"/>
    <s v="2607-048"/>
    <n v="30"/>
    <n v="66.596999999999994"/>
    <x v="60"/>
    <n v="660"/>
    <n v="30"/>
    <n v="630"/>
    <m/>
  </r>
  <r>
    <d v="2026-07-28T00:00:00"/>
    <x v="5"/>
    <n v="1"/>
    <s v="A"/>
    <s v="DAJUSA 2002 S.L"/>
    <s v="51332/DAJU080085BAFP070CHICANO"/>
    <s v="U+2"/>
    <s v="80X80X85"/>
    <s v="2606-471"/>
    <n v="300"/>
    <n v="218.7"/>
    <x v="73"/>
    <n v="600"/>
    <n v="300"/>
    <n v="300"/>
    <m/>
  </r>
  <r>
    <d v="2026-07-28T00:00:00"/>
    <x v="5"/>
    <n v="1"/>
    <s v="A"/>
    <s v="SACOS DURCAL S.A"/>
    <s v="KPW/2026/CONT-176/02"/>
    <s v="U+2"/>
    <s v="80X80X65"/>
    <s v="2606-491"/>
    <n v="100"/>
    <n v="60.72"/>
    <x v="68"/>
    <n v="100"/>
    <n v="100"/>
    <n v="0"/>
    <m/>
  </r>
  <r>
    <d v="2026-07-28T00:00:00"/>
    <x v="5"/>
    <n v="1"/>
    <s v="A"/>
    <s v="DAJUSA 2002 S.L"/>
    <s v="51143/DAJU091100CAFP070AGROBAL"/>
    <s v="U+2"/>
    <s v="91X91X100"/>
    <s v="2606-465"/>
    <n v="250"/>
    <n v="289.5"/>
    <x v="72"/>
    <n v="250"/>
    <n v="250"/>
    <n v="0"/>
    <m/>
  </r>
  <r>
    <d v="2026-07-28T00:00:00"/>
    <x v="5"/>
    <n v="1"/>
    <s v="A"/>
    <s v="SACOS DURCAL S.A"/>
    <s v="KPW/2026/CONT-176/03"/>
    <s v="U+2"/>
    <s v="80x80x90"/>
    <s v="2606-492"/>
    <n v="1050"/>
    <n v="770.38499999999999"/>
    <x v="76"/>
    <n v="1200"/>
    <n v="1050"/>
    <n v="150"/>
    <m/>
  </r>
  <r>
    <d v="2026-07-28T00:00:00"/>
    <x v="5"/>
    <n v="1"/>
    <s v="A"/>
    <s v="United tradex"/>
    <s v="PO1001/100X100X105"/>
    <s v="Q-BAG"/>
    <s v="105X105X110"/>
    <s v="2606-270"/>
    <n v="130"/>
    <n v="273.23399999999998"/>
    <x v="57"/>
    <n v="130"/>
    <n v="130"/>
    <n v="0"/>
    <m/>
  </r>
  <r>
    <d v="2026-07-28T00:00:00"/>
    <x v="5"/>
    <n v="1"/>
    <s v="A"/>
    <s v="DAJUSA 2002 S.L"/>
    <s v="51298/DAJU080090BAFP070CANTA"/>
    <s v="U+2"/>
    <s v="80x80x90"/>
    <s v="2606-469"/>
    <n v="500"/>
    <n v="371.5"/>
    <x v="77"/>
    <n v="500"/>
    <n v="500"/>
    <n v="0"/>
    <m/>
  </r>
  <r>
    <d v="2026-07-28T00:00:00"/>
    <x v="5"/>
    <n v="1"/>
    <s v="A"/>
    <s v="DAJUSA 2002 S.L"/>
    <s v="51485/DAJU091110BCFP070BILOO"/>
    <s v="U+2"/>
    <s v="91X91X110"/>
    <s v="2607-208"/>
    <n v="75"/>
    <n v="83.43"/>
    <x v="78"/>
    <n v="675"/>
    <n v="75"/>
    <n v="600"/>
    <m/>
  </r>
  <r>
    <d v="2026-07-28T00:00:00"/>
    <x v="5"/>
    <n v="1"/>
    <s v="A"/>
    <s v="SACOS DURCAL S.A"/>
    <s v="KPW/2026/CONT-176/05"/>
    <s v="U+2"/>
    <s v="85X85X90"/>
    <s v="2606-494"/>
    <n v="250"/>
    <n v="201.25"/>
    <x v="64"/>
    <n v="300"/>
    <n v="250"/>
    <n v="50"/>
    <m/>
  </r>
  <r>
    <d v="2026-07-29T00:00:00"/>
    <x v="5"/>
    <n v="1"/>
    <s v="A"/>
    <s v="SADLEIRS PACKAGING AUSTRALIA"/>
    <s v="PO-067345/KDC 12912"/>
    <s v="C-C"/>
    <s v="90x90x120"/>
    <s v="2605-288"/>
    <n v="850"/>
    <n v="1321.75"/>
    <x v="74"/>
    <n v="1710"/>
    <n v="850"/>
    <n v="860"/>
    <m/>
  </r>
  <r>
    <d v="2026-07-29T00:00:00"/>
    <x v="5"/>
    <n v="1"/>
    <s v="A"/>
    <s v="DAJUSA 2002 S.L"/>
    <s v="51240/DAJU091120CAFP070BIASBESTO"/>
    <s v="U+2"/>
    <s v="91X91X120"/>
    <s v="2606-474"/>
    <n v="200"/>
    <n v="254.4"/>
    <x v="75"/>
    <n v="200"/>
    <n v="200"/>
    <n v="0"/>
    <m/>
  </r>
  <r>
    <d v="2026-07-29T00:00:00"/>
    <x v="5"/>
    <n v="1"/>
    <s v="A"/>
    <s v="SACOS DURCAL S.A"/>
    <s v="KPW/2026/CONT-176/04"/>
    <s v="U+2"/>
    <s v="80x80x90"/>
    <s v="2606-493"/>
    <n v="725"/>
    <n v="531.9325"/>
    <x v="76"/>
    <n v="2400"/>
    <n v="725"/>
    <n v="1675"/>
    <m/>
  </r>
  <r>
    <d v="2026-07-29T00:00:00"/>
    <x v="5"/>
    <n v="1"/>
    <s v="A"/>
    <s v="SACOS DURCAL S.A"/>
    <s v="KPW/2026/CONT-176/03"/>
    <s v="U+2"/>
    <s v="80x80x90"/>
    <s v="2606-492"/>
    <n v="150"/>
    <n v="110.05500000000001"/>
    <x v="76"/>
    <n v="150"/>
    <n v="150"/>
    <n v="0"/>
    <m/>
  </r>
  <r>
    <d v="2026-07-29T00:00:00"/>
    <x v="5"/>
    <n v="1"/>
    <s v="A"/>
    <s v="United tradex"/>
    <s v="PO1002/90X90X75 TYPE C BAG"/>
    <s v="Q-BAG"/>
    <s v="90X90X75"/>
    <s v="2607-048"/>
    <n v="120"/>
    <n v="266.38799999999998"/>
    <x v="60"/>
    <n v="630"/>
    <n v="120"/>
    <n v="510"/>
    <m/>
  </r>
  <r>
    <d v="2026-07-29T00:00:00"/>
    <x v="5"/>
    <n v="1"/>
    <s v="A"/>
    <s v="SACOS DURCAL S.A"/>
    <s v="KPW/2026/CONT-176/05"/>
    <s v="U+2"/>
    <s v="85X85X90"/>
    <s v="2606-494"/>
    <n v="50"/>
    <n v="40.25"/>
    <x v="64"/>
    <n v="50"/>
    <n v="50"/>
    <n v="0"/>
    <m/>
  </r>
  <r>
    <d v="2026-07-29T00:00:00"/>
    <x v="5"/>
    <n v="1"/>
    <s v="A"/>
    <s v="DAJUSA 2002 S.L"/>
    <s v="51485/DAJU091110BCFP070BILOO"/>
    <s v="U+2"/>
    <s v="91X91X110"/>
    <s v="2607-208"/>
    <n v="600"/>
    <n v="667.44"/>
    <x v="78"/>
    <n v="600"/>
    <n v="600"/>
    <n v="0"/>
    <m/>
  </r>
  <r>
    <d v="2026-07-30T00:00:00"/>
    <x v="5"/>
    <n v="1"/>
    <s v="A"/>
    <s v="SADLEIRS PACKAGING AUSTRALIA"/>
    <s v="PO-067345/KDC 12912"/>
    <s v="C-C"/>
    <s v="90x90x120"/>
    <s v="2605-288"/>
    <n v="860"/>
    <n v="1337.3"/>
    <x v="74"/>
    <n v="860"/>
    <n v="860"/>
    <n v="0"/>
    <m/>
  </r>
  <r>
    <d v="2026-07-30T00:00:00"/>
    <x v="5"/>
    <n v="1"/>
    <s v="A"/>
    <s v="SADLEIRS PACKAGING AUSTRALIA"/>
    <s v="PO-67345/KDC 5905"/>
    <s v="C-C"/>
    <s v="90X90X50"/>
    <s v="2605-289"/>
    <n v="75"/>
    <n v="81.224999999999994"/>
    <x v="71"/>
    <n v="75"/>
    <n v="75"/>
    <n v="0"/>
    <m/>
  </r>
  <r>
    <d v="2026-07-30T00:00:00"/>
    <x v="5"/>
    <n v="1"/>
    <s v="A"/>
    <s v="SADLEIRS PACKAGING AUSTRALIA"/>
    <s v="PO-067345/KDC 121016"/>
    <s v="C-C"/>
    <s v="100X100X160"/>
    <s v="2605-287"/>
    <n v="25"/>
    <n v="48.55"/>
    <x v="79"/>
    <n v="1050"/>
    <n v="25"/>
    <n v="1025"/>
    <m/>
  </r>
  <r>
    <d v="2026-07-30T00:00:00"/>
    <x v="5"/>
    <n v="1"/>
    <s v="A"/>
    <s v="ARCHIT ORGANIC"/>
    <s v="AOLBD2026270158"/>
    <s v="U+2"/>
    <s v="90X90X75"/>
    <s v="2607-070"/>
    <n v="200"/>
    <n v="479"/>
    <x v="80"/>
    <n v="300"/>
    <n v="200"/>
    <n v="100"/>
    <m/>
  </r>
  <r>
    <d v="2026-07-30T00:00:00"/>
    <x v="5"/>
    <n v="1"/>
    <s v="A"/>
    <s v="SACOS DURCAL S.A"/>
    <s v="KPW/2026/CONT-176/04"/>
    <s v="U+2"/>
    <s v="80x80x90"/>
    <s v="2606-493"/>
    <n v="1675"/>
    <n v="1228.9475"/>
    <x v="76"/>
    <n v="1675"/>
    <n v="1675"/>
    <n v="0"/>
    <m/>
  </r>
  <r>
    <d v="2026-07-30T00:00:00"/>
    <x v="5"/>
    <n v="1"/>
    <s v="A"/>
    <s v="DAJUSA 2002 S.L"/>
    <s v="51332/DAJU080085BAFP070CHICANO"/>
    <s v="U+2"/>
    <s v="80X80X85"/>
    <s v="2606-471"/>
    <n v="300"/>
    <n v="218.7"/>
    <x v="73"/>
    <n v="300"/>
    <n v="300"/>
    <n v="0"/>
    <m/>
  </r>
  <r>
    <d v="2026-07-30T00:00:00"/>
    <x v="5"/>
    <n v="1"/>
    <s v="A"/>
    <s v="United tradex"/>
    <s v="PO1002/90X90X75 TYPE C BAG"/>
    <s v="Q-BAG"/>
    <s v="90X90X75"/>
    <s v="2607-048"/>
    <n v="145"/>
    <n v="321.88549999999998"/>
    <x v="60"/>
    <n v="510"/>
    <n v="145"/>
    <n v="365"/>
    <m/>
  </r>
  <r>
    <d v="2026-07-31T00:00:00"/>
    <x v="5"/>
    <n v="1"/>
    <s v="A"/>
    <s v="SADLEIRS PACKAGING AUSTRALIA"/>
    <s v="PO-067345/KDC 121016"/>
    <s v="C-C"/>
    <s v="100X100X160"/>
    <s v="2605-287"/>
    <n v="550"/>
    <n v="1068.0999999999999"/>
    <x v="79"/>
    <n v="1025"/>
    <n v="550"/>
    <n v="475"/>
    <m/>
  </r>
  <r>
    <d v="2026-07-31T00:00:00"/>
    <x v="5"/>
    <n v="1"/>
    <s v="A"/>
    <s v="ARCHIT ORGANIC"/>
    <s v="AOLBD2026270158"/>
    <s v="U+2"/>
    <s v="90X90X75"/>
    <s v="2607-070"/>
    <n v="100"/>
    <n v="239.5"/>
    <x v="80"/>
    <n v="100"/>
    <n v="100"/>
    <n v="0"/>
    <m/>
  </r>
  <r>
    <d v="2026-07-31T00:00:00"/>
    <x v="5"/>
    <n v="1"/>
    <s v="A"/>
    <s v="SACOS DURCAL S.A"/>
    <s v="KPW/2026/CONT-176/08"/>
    <s v="U+2"/>
    <s v="85X85X90"/>
    <s v="2606-497"/>
    <n v="475"/>
    <n v="382.375"/>
    <x v="64"/>
    <n v="1000"/>
    <n v="475"/>
    <n v="525"/>
    <m/>
  </r>
  <r>
    <d v="2026-07-31T00:00:00"/>
    <x v="5"/>
    <n v="1"/>
    <s v="A"/>
    <s v="P.NIKIFORNKIS H.FASOURAKIS LTD"/>
    <s v="PNHF-18-MI."/>
    <s v="U+2"/>
    <s v="90x90x120"/>
    <s v="2607-139"/>
    <n v="500"/>
    <n v="583.55000000000007"/>
    <x v="81"/>
    <n v="1520"/>
    <n v="500"/>
    <n v="1020"/>
    <m/>
  </r>
  <r>
    <d v="2026-07-31T00:00:00"/>
    <x v="5"/>
    <n v="1"/>
    <s v="A"/>
    <s v="DAJUSA 2002 S.L"/>
    <s v="51351/DAJU085090BAFPO70CERDANY"/>
    <s v="U+2"/>
    <s v="85X85X90"/>
    <s v="2606-468"/>
    <n v="200"/>
    <n v="151.80000000000001"/>
    <x v="62"/>
    <n v="200"/>
    <n v="200"/>
    <n v="0"/>
    <m/>
  </r>
  <r>
    <d v="2026-07-31T00:00:00"/>
    <x v="5"/>
    <n v="1"/>
    <s v="A"/>
    <s v="DAJUSA 2002 S.L"/>
    <s v="51307/DAJU085090BAFP070BAHIA"/>
    <s v="U+2"/>
    <s v="85X85X90"/>
    <s v="2606-472"/>
    <n v="50"/>
    <n v="48.199999999999996"/>
    <x v="65"/>
    <n v="50"/>
    <n v="50"/>
    <n v="0"/>
    <m/>
  </r>
  <r>
    <d v="2026-08-01T00:00:00"/>
    <x v="6"/>
    <n v="1"/>
    <s v="A"/>
    <s v="SADLEIRS PACKAGING AUSTRALIA"/>
    <s v="PO-067345/KDC 121016"/>
    <s v="C-C"/>
    <s v="100X100X160"/>
    <s v="2605-287"/>
    <n v="475"/>
    <n v="922.44999999999993"/>
    <x v="79"/>
    <n v="475"/>
    <n v="475"/>
    <n v="0"/>
    <m/>
  </r>
  <r>
    <d v="2026-08-01T00:00:00"/>
    <x v="6"/>
    <n v="1"/>
    <s v="A"/>
    <s v="SADLEIRS PACKAGING AUSTRALIA"/>
    <s v="PO-067345/BB DC 60"/>
    <s v="U+2-C-C"/>
    <s v="60X60X60"/>
    <s v="2605-285"/>
    <n v="850"/>
    <n v="618.79999999999995"/>
    <x v="82"/>
    <n v="2400"/>
    <n v="850"/>
    <n v="1550"/>
    <m/>
  </r>
  <r>
    <d v="2026-08-01T00:00:00"/>
    <x v="6"/>
    <n v="1"/>
    <s v="A"/>
    <s v="DAJUSA 2002 S.L"/>
    <s v="51384/DAJU091100BAFPO70OTI"/>
    <s v="U+2"/>
    <s v="91X91X100"/>
    <s v="2607-206"/>
    <n v="925"/>
    <n v="804.93499999999995"/>
    <x v="83"/>
    <n v="1500"/>
    <n v="925"/>
    <n v="575"/>
    <m/>
  </r>
  <r>
    <d v="2026-08-01T00:00:00"/>
    <x v="6"/>
    <n v="1"/>
    <s v="A"/>
    <s v="United tradex"/>
    <s v="PO1002/90X90X75 TYPE C BAG"/>
    <s v="Q-BAG"/>
    <s v="90X90X75"/>
    <s v="2607-048"/>
    <n v="110"/>
    <n v="244.18899999999999"/>
    <x v="60"/>
    <n v="365"/>
    <n v="110"/>
    <n v="255"/>
    <m/>
  </r>
  <r>
    <d v="2026-08-01T00:00:00"/>
    <x v="6"/>
    <n v="1"/>
    <s v="A"/>
    <s v="SACOS DURCAL S.A"/>
    <s v="KPW/2026/CONT-176/06"/>
    <s v="U+2"/>
    <s v="85X85X90"/>
    <s v="2606-495"/>
    <n v="500"/>
    <n v="402.5"/>
    <x v="64"/>
    <n v="1000"/>
    <n v="500"/>
    <n v="500"/>
    <m/>
  </r>
  <r>
    <d v="2026-08-01T00:00:00"/>
    <x v="6"/>
    <n v="1"/>
    <s v="A"/>
    <s v="SACOS DURCAL S.A"/>
    <s v="KPW/2026/CONT-176/08"/>
    <s v="U+2"/>
    <s v="85X85X90"/>
    <s v="2606-497"/>
    <n v="525"/>
    <n v="422.625"/>
    <x v="64"/>
    <n v="525"/>
    <n v="525"/>
    <n v="0"/>
    <m/>
  </r>
  <r>
    <d v="2026-08-03T00:00:00"/>
    <x v="6"/>
    <n v="1"/>
    <s v="A"/>
    <s v="FIBCO"/>
    <s v="FIBCO/PO/2026/0069/JBPL/CIR135"/>
    <s v="C-C"/>
    <s v="84X84X72"/>
    <s v="2605-422"/>
    <n v="600"/>
    <n v="1102.2"/>
    <x v="84"/>
    <n v="13550"/>
    <n v="600"/>
    <n v="12950"/>
    <m/>
  </r>
  <r>
    <d v="2026-08-03T00:00:00"/>
    <x v="6"/>
    <n v="1"/>
    <s v="A"/>
    <s v="SADLEIRS PACKAGING AUSTRALIA"/>
    <s v="PO-067345/BB DC 60"/>
    <s v="U+2-C-C"/>
    <s v="60X60X60"/>
    <s v="2605-285"/>
    <n v="450"/>
    <n v="327.59999999999997"/>
    <x v="82"/>
    <n v="1550"/>
    <n v="450"/>
    <n v="1100"/>
    <m/>
  </r>
  <r>
    <d v="2026-08-03T00:00:00"/>
    <x v="6"/>
    <n v="1"/>
    <s v="A"/>
    <s v="DAJUSA 2002 S.L"/>
    <s v="51384/DAJU091100BAFPO70OTI"/>
    <s v="U+2"/>
    <s v="91X91X100"/>
    <s v="2607-206"/>
    <n v="575"/>
    <n v="500.36500000000001"/>
    <x v="83"/>
    <n v="575"/>
    <n v="575"/>
    <n v="0"/>
    <m/>
  </r>
  <r>
    <d v="2026-08-03T00:00:00"/>
    <x v="6"/>
    <n v="1"/>
    <s v="A"/>
    <s v="P.NIKIFORNKIS H.FASOURAKIS LTD"/>
    <s v="PNHF-18-MI."/>
    <s v="U+2"/>
    <s v="90x90x120"/>
    <s v="2607-139"/>
    <n v="200"/>
    <n v="233.42000000000002"/>
    <x v="81"/>
    <n v="1020"/>
    <n v="200"/>
    <n v="820"/>
    <m/>
  </r>
  <r>
    <d v="2026-08-03T00:00:00"/>
    <x v="6"/>
    <n v="1"/>
    <s v="A"/>
    <s v="P.NIKIFORAKIS"/>
    <s v="PNHF-18-AI"/>
    <s v="U+2"/>
    <s v="90X90X90"/>
    <s v="2606-540"/>
    <n v="500"/>
    <n v="489.59999999999997"/>
    <x v="85"/>
    <n v="500"/>
    <n v="500"/>
    <n v="0"/>
    <m/>
  </r>
  <r>
    <d v="2026-08-03T00:00:00"/>
    <x v="6"/>
    <n v="1"/>
    <s v="A"/>
    <s v="DAJUSA 2002 S.L"/>
    <s v="51507/DAJU080090BAFP070SANA"/>
    <s v="U+2"/>
    <s v="80x80x90"/>
    <s v="2607-205"/>
    <n v="900"/>
    <n v="675.09"/>
    <x v="86"/>
    <n v="6000"/>
    <n v="900"/>
    <n v="5100"/>
    <m/>
  </r>
  <r>
    <d v="2026-08-03T00:00:00"/>
    <x v="6"/>
    <n v="1"/>
    <s v="A"/>
    <s v="United tradex"/>
    <s v="PO1002/90X90X75 TYPE C BAG"/>
    <s v="Q-BAG"/>
    <s v="90X90X75"/>
    <s v="2607-048"/>
    <n v="200"/>
    <n v="443.98"/>
    <x v="60"/>
    <n v="255"/>
    <n v="200"/>
    <n v="55"/>
    <m/>
  </r>
  <r>
    <d v="2026-08-03T00:00:00"/>
    <x v="6"/>
    <n v="1"/>
    <s v="A"/>
    <s v="DAJUSA 2002 S.L"/>
    <s v="51506/DAJU091100BAFP080PARA"/>
    <s v="U+2"/>
    <s v="91X91X100"/>
    <s v="2607-204"/>
    <n v="800"/>
    <n v="823.44"/>
    <x v="87"/>
    <n v="800"/>
    <n v="800"/>
    <n v="0"/>
    <m/>
  </r>
  <r>
    <d v="2026-08-04T00:00:00"/>
    <x v="6"/>
    <n v="1"/>
    <s v="A"/>
    <s v="FIBCO"/>
    <s v="FIBCO/PO/2026/0069/JBPL/CIR135"/>
    <s v="C-C"/>
    <s v="84X84X72"/>
    <s v="2605-422"/>
    <n v="575"/>
    <n v="1056.2750000000001"/>
    <x v="84"/>
    <n v="12950"/>
    <n v="575"/>
    <n v="12375"/>
    <m/>
  </r>
  <r>
    <d v="2026-08-04T00:00:00"/>
    <x v="6"/>
    <n v="1"/>
    <s v="A"/>
    <s v="SADLEIRS PACKAGING AUSTRALIA"/>
    <s v="PO-067345/BB DC 60"/>
    <s v="U+2-C-C"/>
    <s v="60X60X60"/>
    <s v="2605-285"/>
    <n v="375"/>
    <n v="273"/>
    <x v="82"/>
    <n v="1100"/>
    <n v="375"/>
    <n v="725"/>
    <m/>
  </r>
  <r>
    <d v="2026-08-04T00:00:00"/>
    <x v="6"/>
    <n v="1"/>
    <s v="A"/>
    <s v="FLEXOCHEM"/>
    <s v="FVPL/PO/2026-00144"/>
    <s v="C-C"/>
    <s v="90X90X70"/>
    <s v="2606-094"/>
    <n v="165"/>
    <n v="284.64150000000001"/>
    <x v="58"/>
    <n v="165"/>
    <n v="165"/>
    <n v="0"/>
    <m/>
  </r>
  <r>
    <d v="2026-08-04T00:00:00"/>
    <x v="6"/>
    <n v="1"/>
    <s v="A"/>
    <s v="DAJUSA 2002 S.L"/>
    <s v="51507/DAJU080090BAFP070SANA"/>
    <s v="U+2"/>
    <s v="80x80x90"/>
    <s v="2607-205"/>
    <n v="1450"/>
    <n v="1087.645"/>
    <x v="86"/>
    <n v="5100"/>
    <n v="1450"/>
    <n v="3650"/>
    <m/>
  </r>
  <r>
    <d v="2026-08-04T00:00:00"/>
    <x v="6"/>
    <n v="1"/>
    <s v="A"/>
    <s v="United tradex"/>
    <s v="PO1002/90X90X75 TYPE C BAG"/>
    <s v="Q-BAG"/>
    <s v="90X90X75"/>
    <s v="2607-048"/>
    <n v="55"/>
    <n v="122.0945"/>
    <x v="60"/>
    <n v="55"/>
    <n v="55"/>
    <n v="0"/>
    <m/>
  </r>
  <r>
    <d v="2026-08-04T00:00:00"/>
    <x v="6"/>
    <n v="1"/>
    <s v="A"/>
    <s v="DAJUSA 2002 S.L"/>
    <s v="51572/DAJU091120CAFP070BILOO"/>
    <s v="U+2"/>
    <s v="91X91X120"/>
    <s v="2607-563"/>
    <n v="340"/>
    <n v="437.47800000000001"/>
    <x v="88"/>
    <n v="840"/>
    <n v="340"/>
    <n v="500"/>
    <m/>
  </r>
  <r>
    <d v="2026-08-04T00:00:00"/>
    <x v="6"/>
    <n v="1"/>
    <s v="A"/>
    <s v="SACOS DURCAL S.A"/>
    <s v="KPW/2026/CONT-176/06"/>
    <s v="U+2"/>
    <s v="85X85X90"/>
    <s v="2606-495"/>
    <n v="100"/>
    <n v="80.5"/>
    <x v="64"/>
    <n v="500"/>
    <n v="100"/>
    <n v="400"/>
    <m/>
  </r>
  <r>
    <d v="2026-08-04T00:00:00"/>
    <x v="6"/>
    <n v="1"/>
    <s v="A"/>
    <s v="DAJUSA 2002 S.L"/>
    <s v="51595/DAJU091140CABD090LOOP"/>
    <s v="U+2"/>
    <s v="91X91X140"/>
    <s v="2607-568"/>
    <n v="540"/>
    <n v="1035.6120000000001"/>
    <x v="89"/>
    <n v="1125"/>
    <n v="540"/>
    <n v="585"/>
    <m/>
  </r>
  <r>
    <d v="2026-08-05T00:00:00"/>
    <x v="6"/>
    <n v="1"/>
    <s v="A"/>
    <s v="FIBCO"/>
    <s v="FIBCO/PO/2026/0069/JBPL/CIR135"/>
    <s v="C-C"/>
    <s v="84X84X72"/>
    <s v="2605-422"/>
    <n v="675"/>
    <n v="1239.9749999999999"/>
    <x v="84"/>
    <n v="12375"/>
    <n v="675"/>
    <n v="11700"/>
    <m/>
  </r>
  <r>
    <d v="2026-08-05T00:00:00"/>
    <x v="6"/>
    <n v="1"/>
    <s v="A"/>
    <s v="DAJUSA 2002 S.L"/>
    <s v="51507/DAJU080090BAFP070SANA"/>
    <s v="U+2"/>
    <s v="80x80x90"/>
    <s v="2607-205"/>
    <n v="700"/>
    <n v="525.06999999999994"/>
    <x v="86"/>
    <n v="3650"/>
    <n v="700"/>
    <n v="2950"/>
    <m/>
  </r>
  <r>
    <d v="2026-08-05T00:00:00"/>
    <x v="6"/>
    <n v="1"/>
    <s v="A"/>
    <s v="ARCHIT ORGANOS YS"/>
    <s v="AOLBBD2026270157"/>
    <s v="U+2"/>
    <s v="90x90x120"/>
    <s v="2607-069"/>
    <n v="200"/>
    <n v="706.6"/>
    <x v="90"/>
    <n v="300"/>
    <n v="200"/>
    <n v="100"/>
    <m/>
  </r>
  <r>
    <d v="2026-08-05T00:00:00"/>
    <x v="6"/>
    <n v="1"/>
    <s v="A"/>
    <s v="SACOS DURCAL S.A"/>
    <s v="KPW/2026/CONT-176/01"/>
    <s v="U+2"/>
    <s v="75X75X90"/>
    <s v="2606-490"/>
    <n v="150"/>
    <n v="105"/>
    <x v="91"/>
    <n v="6000"/>
    <n v="150"/>
    <n v="5850"/>
    <m/>
  </r>
  <r>
    <d v="2026-08-05T00:00:00"/>
    <x v="6"/>
    <n v="1"/>
    <s v="A"/>
    <s v="DAJUSA 2002 S.L"/>
    <s v="51572/DAJU091120CAFP070BILOO"/>
    <s v="U+2"/>
    <s v="91X91X120"/>
    <s v="2607-563"/>
    <n v="500"/>
    <n v="1050"/>
    <x v="29"/>
    <n v="500"/>
    <n v="500"/>
    <n v="0"/>
    <m/>
  </r>
  <r>
    <d v="2026-08-05T00:00:00"/>
    <x v="6"/>
    <n v="1"/>
    <s v="A"/>
    <s v="DAJUSA 2002 S.L"/>
    <s v="51566/DAJU091160CABD080LOOP"/>
    <s v="U+2"/>
    <s v="91X91X160"/>
    <s v="2607-562"/>
    <n v="130"/>
    <n v="238.92700000000002"/>
    <x v="92"/>
    <n v="235"/>
    <n v="130"/>
    <n v="105"/>
    <m/>
  </r>
  <r>
    <d v="2026-08-05T00:00:00"/>
    <x v="6"/>
    <n v="1"/>
    <s v="A"/>
    <s v="DAJUSA 2002 S.L"/>
    <s v="51595/DAJU091140CABD090LOOP"/>
    <s v="U+2"/>
    <s v="91X91X140"/>
    <s v="2607-568"/>
    <n v="540"/>
    <n v="1035.6120000000001"/>
    <x v="89"/>
    <n v="585"/>
    <n v="540"/>
    <n v="45"/>
    <m/>
  </r>
  <r>
    <d v="2026-08-06T00:00:00"/>
    <x v="6"/>
    <n v="1"/>
    <s v="A"/>
    <s v="FIBCO"/>
    <s v="FIBCO/PO/2026/0069/JBPL/CIR135"/>
    <s v="C-C"/>
    <s v="84X84X72"/>
    <s v="2605-422"/>
    <n v="850"/>
    <n v="1561.45"/>
    <x v="84"/>
    <n v="11700"/>
    <n v="850"/>
    <n v="10850"/>
    <m/>
  </r>
  <r>
    <d v="2026-08-06T00:00:00"/>
    <x v="6"/>
    <n v="1"/>
    <s v="A"/>
    <s v="DAJUSA 2002 S.L"/>
    <s v="51507/DAJU080090BAFP070SANA"/>
    <s v="U+2"/>
    <s v="80x80x90"/>
    <s v="2607-205"/>
    <n v="100"/>
    <n v="75.010000000000005"/>
    <x v="86"/>
    <n v="2950"/>
    <n v="100"/>
    <n v="2850"/>
    <m/>
  </r>
  <r>
    <d v="2026-08-06T00:00:00"/>
    <x v="6"/>
    <n v="1"/>
    <s v="A"/>
    <s v="ARCHIT ORGANOS YS"/>
    <s v="AOLBBD2026270157"/>
    <s v="U+2"/>
    <s v="90x90x120"/>
    <s v="2607-069"/>
    <n v="100"/>
    <n v="353.3"/>
    <x v="90"/>
    <n v="100"/>
    <n v="100"/>
    <n v="0"/>
    <m/>
  </r>
  <r>
    <d v="2026-08-06T00:00:00"/>
    <x v="6"/>
    <n v="1"/>
    <s v="A"/>
    <s v="SACOS DURCAL S.A"/>
    <s v="KPW/2026/CONT-176/01"/>
    <s v="U+2"/>
    <s v="75X75X90"/>
    <s v="2606-490"/>
    <n v="1250"/>
    <n v="875"/>
    <x v="91"/>
    <n v="5850"/>
    <n v="1250"/>
    <n v="4600"/>
    <m/>
  </r>
  <r>
    <d v="2026-08-06T00:00:00"/>
    <x v="6"/>
    <n v="1"/>
    <s v="A"/>
    <s v="DAJUSA 2002 S.L"/>
    <s v="51566/DAJU091160CABD080LOOP"/>
    <s v="U+2"/>
    <s v="91X91X160"/>
    <s v="2607-562"/>
    <n v="105"/>
    <n v="192.9795"/>
    <x v="92"/>
    <n v="105"/>
    <n v="105"/>
    <n v="0"/>
    <m/>
  </r>
  <r>
    <d v="2026-08-06T00:00:00"/>
    <x v="6"/>
    <n v="1"/>
    <s v="A"/>
    <s v="DAJUSA 2002 S.L"/>
    <s v="51570/JAJU091180CABD070LOOP"/>
    <s v="U+2"/>
    <s v="91X91X180"/>
    <s v="2607-561"/>
    <n v="245"/>
    <n v="427.42699999999996"/>
    <x v="93"/>
    <n v="245"/>
    <n v="245"/>
    <n v="0"/>
    <m/>
  </r>
  <r>
    <d v="2026-08-06T00:00:00"/>
    <x v="6"/>
    <n v="1"/>
    <s v="A"/>
    <s v="DAJUSA 2002 S.L"/>
    <s v="51585/DAJU091120CABD080LOOP"/>
    <s v="U+2"/>
    <s v="91X91X120"/>
    <s v="2607-567"/>
    <n v="200"/>
    <n v="292.64"/>
    <x v="94"/>
    <n v="300"/>
    <n v="200"/>
    <n v="100"/>
    <m/>
  </r>
  <r>
    <d v="2026-08-06T00:00:00"/>
    <x v="6"/>
    <n v="1"/>
    <s v="A"/>
    <s v="DAJUSA 2002 S.L"/>
    <s v="51595/DAJU091140CABD090LOOP"/>
    <s v="U+2"/>
    <s v="91X91X140"/>
    <s v="2607-568"/>
    <n v="45"/>
    <n v="86.301000000000002"/>
    <x v="89"/>
    <n v="45"/>
    <n v="45"/>
    <n v="0"/>
    <m/>
  </r>
  <r>
    <d v="2026-08-07T00:00:00"/>
    <x v="6"/>
    <n v="1"/>
    <s v="A"/>
    <s v="FIBCO"/>
    <s v="FIBCO/PO/2026/0069/JBPL/CIR135"/>
    <s v="C-C"/>
    <s v="84X84X72"/>
    <s v="2605-422"/>
    <n v="1175"/>
    <n v="2158.4749999999999"/>
    <x v="84"/>
    <n v="10800"/>
    <n v="1175"/>
    <n v="9625"/>
    <m/>
  </r>
  <r>
    <d v="2026-08-07T00:00:00"/>
    <x v="6"/>
    <n v="1"/>
    <s v="A"/>
    <s v="DAJUSA 2002 S.L"/>
    <s v="51507/DAJU080090BAFP070SANA"/>
    <s v="U+2"/>
    <s v="80x80x90"/>
    <s v="2607-205"/>
    <n v="1200"/>
    <n v="900.12"/>
    <x v="86"/>
    <n v="2850"/>
    <n v="1200"/>
    <n v="1650"/>
    <m/>
  </r>
  <r>
    <d v="2026-08-07T00:00:00"/>
    <x v="6"/>
    <n v="1"/>
    <s v="A"/>
    <s v="SADLEIRS PACKAGING AUSTRALIA"/>
    <s v="PO-067345/BB DC 60"/>
    <s v="U+2-C-C"/>
    <s v="60X60X60"/>
    <s v="2605-285"/>
    <n v="500"/>
    <n v="364"/>
    <x v="82"/>
    <n v="725"/>
    <n v="500"/>
    <n v="225"/>
    <m/>
  </r>
  <r>
    <d v="2026-08-07T00:00:00"/>
    <x v="6"/>
    <n v="1"/>
    <s v="A"/>
    <s v="SACOS DURCAL S.A"/>
    <s v="KPW/2026/CONT-176/01"/>
    <s v="U+2"/>
    <s v="75X75X90"/>
    <s v="2606-490"/>
    <n v="700"/>
    <n v="489.99999999999994"/>
    <x v="91"/>
    <n v="4600"/>
    <n v="700"/>
    <n v="3900"/>
    <m/>
  </r>
  <r>
    <d v="2026-08-07T00:00:00"/>
    <x v="6"/>
    <n v="1"/>
    <s v="A"/>
    <s v="DAJUSA 2002 S.L"/>
    <s v="51513/DAJU085090BAFP070SANMARO"/>
    <s v="U+2"/>
    <s v="85X85X90"/>
    <s v="2607-212"/>
    <n v="500"/>
    <n v="397.9"/>
    <x v="95"/>
    <n v="500"/>
    <n v="500"/>
    <n v="0"/>
    <m/>
  </r>
  <r>
    <d v="2026-08-07T00:00:00"/>
    <x v="6"/>
    <n v="1"/>
    <s v="A"/>
    <s v="DAJUSA 2002 S.L"/>
    <s v="51475/DAJU085090BAFP070RECO"/>
    <s v="U+2"/>
    <s v="85X85X90"/>
    <s v="2607-211"/>
    <n v="400"/>
    <n v="318.32"/>
    <x v="95"/>
    <n v="1000"/>
    <n v="400"/>
    <n v="600"/>
    <m/>
  </r>
  <r>
    <d v="2026-08-07T00:00:00"/>
    <x v="6"/>
    <n v="1"/>
    <s v="A"/>
    <s v="DAJUSA 2002 S.L"/>
    <s v="51585/DAJU091120CABD080LOOP"/>
    <s v="U+2"/>
    <s v="91X91X120"/>
    <s v="2607-567"/>
    <n v="100"/>
    <n v="146.32"/>
    <x v="94"/>
    <n v="100"/>
    <n v="100"/>
    <n v="0"/>
    <m/>
  </r>
  <r>
    <d v="2026-08-08T00:00:00"/>
    <x v="6"/>
    <n v="1"/>
    <s v="A"/>
    <s v="FIBCO"/>
    <s v="FIBCO/PO/2026/0069/JBPL/CIR135"/>
    <s v="C-C"/>
    <s v="84X84X72"/>
    <s v="2605-422"/>
    <n v="930"/>
    <n v="1708.41"/>
    <x v="84"/>
    <n v="9625"/>
    <n v="930"/>
    <n v="8695"/>
    <m/>
  </r>
  <r>
    <d v="2026-08-08T00:00:00"/>
    <x v="6"/>
    <n v="1"/>
    <s v="A"/>
    <s v="DAJUSA 2002 S.L"/>
    <s v="51507/DAJU080090BAFP070SANA"/>
    <s v="U+2"/>
    <s v="80x80x90"/>
    <s v="2607-205"/>
    <n v="1350"/>
    <n v="1012.635"/>
    <x v="86"/>
    <n v="1650"/>
    <n v="1350"/>
    <n v="300"/>
    <m/>
  </r>
  <r>
    <d v="2026-08-08T00:00:00"/>
    <x v="6"/>
    <n v="1"/>
    <s v="A"/>
    <s v="SADLEIRS PACKAGING AUSTRALIA"/>
    <s v="PO-067345/BB DC 60"/>
    <s v="U+2-C-C"/>
    <s v="60X60X60"/>
    <s v="2605-285"/>
    <n v="100"/>
    <n v="72.8"/>
    <x v="82"/>
    <n v="225"/>
    <n v="100"/>
    <n v="125"/>
    <m/>
  </r>
  <r>
    <d v="2026-08-08T00:00:00"/>
    <x v="6"/>
    <n v="1"/>
    <s v="A"/>
    <s v="SACOS DURCAL S.A"/>
    <s v="KPW/2026/CONT-176/01"/>
    <s v="U+2"/>
    <s v="75X75X90"/>
    <s v="2606-490"/>
    <n v="900"/>
    <n v="630"/>
    <x v="91"/>
    <n v="3900"/>
    <n v="900"/>
    <n v="3000"/>
    <m/>
  </r>
  <r>
    <d v="2026-08-08T00:00:00"/>
    <x v="6"/>
    <n v="1"/>
    <s v="A"/>
    <s v="DAJUSA 2002 S.L"/>
    <s v="51520/DAJU091090BAFP070PAREDEH"/>
    <s v="U+2"/>
    <s v="91X91X90"/>
    <s v="2607-215"/>
    <n v="500"/>
    <n v="414.75"/>
    <x v="96"/>
    <n v="500"/>
    <n v="500"/>
    <n v="0"/>
    <m/>
  </r>
  <r>
    <d v="2026-08-08T00:00:00"/>
    <x v="6"/>
    <n v="1"/>
    <s v="A"/>
    <s v="DAJUSA 2002 S.L"/>
    <s v="51475/DAJU085090BAFP070RECO"/>
    <s v="U+2"/>
    <s v="85X85X90"/>
    <s v="2607-211"/>
    <n v="550"/>
    <n v="437.69"/>
    <x v="95"/>
    <n v="600"/>
    <n v="550"/>
    <n v="50"/>
    <m/>
  </r>
  <r>
    <d v="2026-08-08T00:00:00"/>
    <x v="6"/>
    <n v="1"/>
    <s v="A"/>
    <s v="SACOS DURCAL S.A"/>
    <s v="KPW/2026/CONT-176/06"/>
    <s v="U+2"/>
    <s v="85X85X90"/>
    <s v="2606-495"/>
    <n v="150"/>
    <n v="120.75000000000001"/>
    <x v="64"/>
    <n v="400"/>
    <n v="150"/>
    <n v="250"/>
    <m/>
  </r>
  <r>
    <d v="2026-08-10T00:00:00"/>
    <x v="6"/>
    <n v="1"/>
    <s v="A"/>
    <s v="FIBCO"/>
    <s v="FIBCO/PO/2026/0069/JBPL/CIR135"/>
    <s v="C-C"/>
    <s v="84X84X72"/>
    <s v="2605-422"/>
    <n v="725"/>
    <n v="1331.825"/>
    <x v="84"/>
    <n v="8695"/>
    <n v="725"/>
    <n v="7970"/>
    <m/>
  </r>
  <r>
    <d v="2026-08-10T00:00:00"/>
    <x v="6"/>
    <n v="1"/>
    <s v="A"/>
    <s v="FIBCO"/>
    <s v="FIBCO/PO/2026/0069/JBPL/CIR135"/>
    <s v="C-C"/>
    <s v="84X84X72"/>
    <s v="2605-422"/>
    <n v="380"/>
    <n v="698.06"/>
    <x v="84"/>
    <n v="7970"/>
    <n v="380"/>
    <n v="7590"/>
    <m/>
  </r>
  <r>
    <d v="2026-08-10T00:00:00"/>
    <x v="6"/>
    <n v="1"/>
    <s v="A"/>
    <s v="SACOS DURCAL S.A"/>
    <s v="KPW/2026/CONT-176/01"/>
    <s v="U+2"/>
    <s v="75X75X90"/>
    <s v="2606-490"/>
    <n v="2425"/>
    <n v="1697.5"/>
    <x v="91"/>
    <n v="3000"/>
    <n v="2425"/>
    <n v="575"/>
    <m/>
  </r>
  <r>
    <d v="2026-08-10T00:00:00"/>
    <x v="6"/>
    <n v="1"/>
    <s v="A"/>
    <s v="P.NIKIFORAKIS"/>
    <s v="PNHF-18-F1"/>
    <s v="U+2"/>
    <s v="80X80X80"/>
    <s v="2606-548"/>
    <n v="50"/>
    <n v="42.494999999999997"/>
    <x v="97"/>
    <n v="550"/>
    <n v="50"/>
    <n v="500"/>
    <m/>
  </r>
  <r>
    <d v="2026-08-10T00:00:00"/>
    <x v="6"/>
    <n v="1"/>
    <s v="A"/>
    <s v="P.NIKIFORAKIS"/>
    <s v="PNHF-18-F2"/>
    <s v="U+2"/>
    <s v="80X80X85"/>
    <s v="2606-549"/>
    <n v="300"/>
    <n v="260.61"/>
    <x v="98"/>
    <n v="300"/>
    <n v="300"/>
    <n v="0"/>
    <m/>
  </r>
  <r>
    <d v="2026-08-10T00:00:00"/>
    <x v="6"/>
    <n v="1"/>
    <s v="A"/>
    <s v="SACOS DURCAL S.A"/>
    <s v="KPW/2026/CONT-176/06"/>
    <s v="U+2"/>
    <s v="85X85X90"/>
    <s v="2606-495"/>
    <n v="100"/>
    <n v="80.5"/>
    <x v="64"/>
    <n v="250"/>
    <n v="100"/>
    <n v="150"/>
    <m/>
  </r>
  <r>
    <d v="2026-08-11T00:00:00"/>
    <x v="6"/>
    <n v="1"/>
    <s v="A"/>
    <s v="FIBCO"/>
    <s v="FIBCO/PO/2026/0069/JBPL/CIR135"/>
    <s v="C-C"/>
    <s v="84X84X72"/>
    <s v="2605-422"/>
    <n v="400"/>
    <n v="734.8"/>
    <x v="84"/>
    <n v="7590"/>
    <n v="400"/>
    <n v="7190"/>
    <m/>
  </r>
  <r>
    <d v="2026-08-11T00:00:00"/>
    <x v="6"/>
    <n v="1"/>
    <s v="A"/>
    <s v="FIBCO"/>
    <s v="FIBCO/PO/2026/0069/JBPL/CIR135"/>
    <s v="C-C"/>
    <s v="84X84X72"/>
    <s v="2605-422"/>
    <n v="300"/>
    <n v="551.1"/>
    <x v="84"/>
    <n v="7190"/>
    <n v="300"/>
    <n v="6890"/>
    <m/>
  </r>
  <r>
    <d v="2026-08-11T00:00:00"/>
    <x v="6"/>
    <n v="1"/>
    <s v="A"/>
    <s v="FIBCO"/>
    <s v="FIBCO/PO/2026/0069/JBPL/CIR135"/>
    <s v="C-C"/>
    <s v="84X84X72"/>
    <s v="2605-422"/>
    <n v="525"/>
    <n v="964.42499999999995"/>
    <x v="84"/>
    <n v="6890"/>
    <n v="525"/>
    <n v="6365"/>
    <m/>
  </r>
  <r>
    <d v="2026-08-11T00:00:00"/>
    <x v="6"/>
    <n v="1"/>
    <s v="A"/>
    <s v="SADLEIRS PACKAGING AUSTRALIA"/>
    <s v="PO-067345/BB DC 60"/>
    <s v="U+2-C-C"/>
    <s v="60X60X60"/>
    <s v="2605-285"/>
    <n v="125"/>
    <n v="91"/>
    <x v="82"/>
    <n v="125"/>
    <n v="125"/>
    <n v="0"/>
    <m/>
  </r>
  <r>
    <d v="2026-08-11T00:00:00"/>
    <x v="6"/>
    <n v="1"/>
    <s v="A"/>
    <s v="SACOS DURCAL S.A"/>
    <s v="KPW/2026/CONT-176/01"/>
    <s v="U+2"/>
    <s v="75X75X90"/>
    <s v="2606-490"/>
    <n v="300"/>
    <n v="210"/>
    <x v="91"/>
    <n v="575"/>
    <n v="300"/>
    <n v="275"/>
    <m/>
  </r>
  <r>
    <d v="2026-08-11T00:00:00"/>
    <x v="6"/>
    <n v="1"/>
    <s v="A"/>
    <s v="P.NIKIFORAKIS"/>
    <s v="PNHF-18-F1"/>
    <s v="U+2"/>
    <s v="80X80X80"/>
    <s v="2606-548"/>
    <n v="425"/>
    <n v="361.20749999999998"/>
    <x v="97"/>
    <n v="500"/>
    <n v="425"/>
    <n v="75"/>
    <m/>
  </r>
  <r>
    <d v="2026-08-11T00:00:00"/>
    <x v="6"/>
    <n v="1"/>
    <s v="A"/>
    <s v="P.NIKIFORAKIS"/>
    <s v="PNHF-18-DI."/>
    <s v="U+2"/>
    <s v="90X90X90"/>
    <s v="2606-546"/>
    <n v="400"/>
    <n v="396.4"/>
    <x v="99"/>
    <n v="500"/>
    <n v="400"/>
    <n v="100"/>
    <m/>
  </r>
  <r>
    <d v="2026-08-11T00:00:00"/>
    <x v="6"/>
    <n v="1"/>
    <s v="A"/>
    <s v="SADLELRS PACKAGING AUSTRALLA"/>
    <s v="PO-067345/KDS 20912"/>
    <s v="C-C"/>
    <s v="90x90x120"/>
    <s v="2605-290"/>
    <n v="125"/>
    <n v="420.75"/>
    <x v="100"/>
    <n v="125"/>
    <n v="125"/>
    <n v="0"/>
    <m/>
  </r>
  <r>
    <d v="2026-08-12T00:00:00"/>
    <x v="6"/>
    <n v="1"/>
    <s v="A"/>
    <s v="FIBCO"/>
    <s v="FIBCO/PO/2026/0069/JBPL/CIR135"/>
    <s v="C-C"/>
    <s v="84X84X72"/>
    <s v="2605-422"/>
    <n v="500"/>
    <n v="918.5"/>
    <x v="84"/>
    <n v="6365"/>
    <n v="500"/>
    <n v="5865"/>
    <m/>
  </r>
  <r>
    <d v="2026-08-12T00:00:00"/>
    <x v="6"/>
    <n v="1"/>
    <s v="A"/>
    <s v="FIBCO"/>
    <s v="FIBCO/PO/2026/0069/JBPL/CIR135"/>
    <s v="C-C"/>
    <s v="84X84X72"/>
    <s v="2605-422"/>
    <n v="350"/>
    <n v="642.94999999999993"/>
    <x v="84"/>
    <n v="5865"/>
    <n v="350"/>
    <n v="5515"/>
    <m/>
  </r>
  <r>
    <d v="2026-08-12T00:00:00"/>
    <x v="6"/>
    <n v="1"/>
    <s v="A"/>
    <s v="FIBCO"/>
    <s v="FIBCO/PO/2026/0069/JBPL/CIR135"/>
    <s v="C-C"/>
    <s v="84X84X72"/>
    <s v="2605-422"/>
    <n v="900"/>
    <n v="1653.3"/>
    <x v="84"/>
    <n v="5515"/>
    <n v="900"/>
    <n v="4615"/>
    <m/>
  </r>
  <r>
    <d v="2026-08-12T00:00:00"/>
    <x v="6"/>
    <n v="1"/>
    <s v="A"/>
    <s v="P.KINIFORAKIS "/>
    <s v="PNHF-18-K I."/>
    <s v="U+2"/>
    <s v="99X99X204"/>
    <s v="2607-135"/>
    <n v="250"/>
    <n v="552.25"/>
    <x v="101"/>
    <n v="1600"/>
    <n v="250"/>
    <n v="1350"/>
    <m/>
  </r>
  <r>
    <d v="2026-08-13T00:00:00"/>
    <x v="6"/>
    <n v="1"/>
    <s v="A"/>
    <s v="FIBCO"/>
    <s v="FIBCO/PO/2026/0069/JBPL/CIR135"/>
    <s v="C-C"/>
    <s v="84X84X72"/>
    <s v="2605-422"/>
    <n v="500"/>
    <n v="918.5"/>
    <x v="84"/>
    <n v="4615"/>
    <n v="500"/>
    <n v="4115"/>
    <m/>
  </r>
  <r>
    <d v="2026-08-13T00:00:00"/>
    <x v="6"/>
    <n v="1"/>
    <s v="A"/>
    <s v="FIBCO"/>
    <s v="FIBCO/PO/2026/0069/JBPL/CIR135"/>
    <s v="C-C"/>
    <s v="84X84X72"/>
    <s v="2605-422"/>
    <n v="250"/>
    <n v="459.25"/>
    <x v="84"/>
    <n v="4115"/>
    <n v="250"/>
    <n v="3865"/>
    <m/>
  </r>
  <r>
    <d v="2026-08-13T00:00:00"/>
    <x v="6"/>
    <n v="1"/>
    <s v="A"/>
    <s v="FIBCO"/>
    <s v="FIBCO/PO/2026/0069/JBPL/CIR135"/>
    <s v="C-C"/>
    <s v="84X84X72"/>
    <s v="2605-422"/>
    <n v="550"/>
    <n v="1010.35"/>
    <x v="84"/>
    <n v="3865"/>
    <n v="550"/>
    <n v="3315"/>
    <m/>
  </r>
  <r>
    <d v="2026-08-13T00:00:00"/>
    <x v="6"/>
    <n v="1"/>
    <s v="A"/>
    <s v="SACOS DURCL S.A"/>
    <s v="KPW/2026/CONT-176/09"/>
    <s v="U+2"/>
    <s v="85X85X90"/>
    <s v="2606-498"/>
    <n v="500"/>
    <n v="399.5"/>
    <x v="102"/>
    <n v="500"/>
    <n v="500"/>
    <n v="0"/>
    <m/>
  </r>
  <r>
    <d v="2026-08-13T00:00:00"/>
    <x v="6"/>
    <n v="1"/>
    <s v="A"/>
    <s v="GULBRANDSEN"/>
    <s v="111068050/50048687"/>
    <s v="U+2"/>
    <s v="91X91X118"/>
    <s v="2607-412"/>
    <n v="100"/>
    <n v="228.39000000000001"/>
    <x v="103"/>
    <n v="250"/>
    <n v="100"/>
    <n v="150"/>
    <m/>
  </r>
  <r>
    <d v="2026-08-13T00:00:00"/>
    <x v="6"/>
    <n v="1"/>
    <s v="A"/>
    <s v="P.NIKIFORAKIS"/>
    <s v="PNHF-18-DI."/>
    <s v="U+2"/>
    <s v="90X90X90"/>
    <s v="2606-546"/>
    <n v="100"/>
    <n v="99.1"/>
    <x v="99"/>
    <n v="100"/>
    <n v="100"/>
    <n v="0"/>
    <m/>
  </r>
  <r>
    <d v="2026-08-13T00:00:00"/>
    <x v="6"/>
    <n v="1"/>
    <s v="A"/>
    <s v="SACOS DURCAL S.A"/>
    <s v="KPW/2026/CONT-176/01"/>
    <s v="U+2"/>
    <s v="75X75X90"/>
    <s v="2606-490"/>
    <n v="275"/>
    <n v="192.5"/>
    <x v="91"/>
    <n v="275"/>
    <n v="275"/>
    <n v="0"/>
    <m/>
  </r>
  <r>
    <d v="2026-08-13T00:00:00"/>
    <x v="6"/>
    <n v="1"/>
    <s v="A"/>
    <s v="DAJUSA 2002 S.L"/>
    <s v="51507/DAJU080090BAFP070SANA"/>
    <s v="U+2"/>
    <s v="80x80x90"/>
    <s v="2607-205"/>
    <n v="300"/>
    <n v="225.03"/>
    <x v="86"/>
    <n v="300"/>
    <n v="300"/>
    <n v="0"/>
    <m/>
  </r>
  <r>
    <d v="2026-08-13T00:00:00"/>
    <x v="6"/>
    <n v="1"/>
    <s v="A"/>
    <s v="DAJUSA 2002 S.L"/>
    <s v="51439/DAJU091100BAFP080FUEN"/>
    <s v="U+2"/>
    <s v="91X91X100"/>
    <s v="2607-209"/>
    <n v="50"/>
    <n v="51.824999999999996"/>
    <x v="104"/>
    <n v="800"/>
    <n v="50"/>
    <n v="750"/>
    <m/>
  </r>
  <r>
    <d v="2026-08-13T00:00:00"/>
    <x v="6"/>
    <n v="1"/>
    <s v="A"/>
    <s v="P.NIKIFORAKIS "/>
    <s v="PNHF-18-K I."/>
    <s v="U+2"/>
    <s v="99X99X204"/>
    <s v="2607-135"/>
    <n v="270"/>
    <n v="596.43000000000006"/>
    <x v="101"/>
    <n v="1350"/>
    <n v="270"/>
    <n v="1080"/>
    <m/>
  </r>
  <r>
    <d v="2026-08-14T00:00:00"/>
    <x v="6"/>
    <n v="1"/>
    <s v="A"/>
    <s v="FIBCO"/>
    <s v="FIBCO/PO/2026/0069/JBPL/CIR135"/>
    <s v="C-C"/>
    <s v="84X84X72"/>
    <s v="2605-422"/>
    <n v="425"/>
    <n v="780.72500000000002"/>
    <x v="84"/>
    <n v="3315"/>
    <n v="425"/>
    <n v="2890"/>
    <m/>
  </r>
  <r>
    <d v="2026-08-14T00:00:00"/>
    <x v="6"/>
    <n v="1"/>
    <s v="A"/>
    <s v="SADLEIRS PACKAGING AUSTRALIA"/>
    <s v="PO-070703/KDC 5905"/>
    <s v="C-C"/>
    <s v="90X90X50"/>
    <s v="2607-102"/>
    <n v="150"/>
    <n v="162.20999999999998"/>
    <x v="105"/>
    <n v="6400"/>
    <n v="150"/>
    <n v="6250"/>
    <m/>
  </r>
  <r>
    <d v="2026-08-14T00:00:00"/>
    <x v="6"/>
    <n v="1"/>
    <s v="A"/>
    <s v="DAJUSA 2002 S.L"/>
    <s v="51322/DAJU10085BCBD080DPTUBULAR"/>
    <s v="C-C"/>
    <s v="100X100X185"/>
    <s v="2606-464"/>
    <n v="175"/>
    <n v="432.6"/>
    <x v="106"/>
    <n v="175"/>
    <n v="175"/>
    <n v="0"/>
    <m/>
  </r>
  <r>
    <d v="2026-08-14T00:00:00"/>
    <x v="6"/>
    <n v="1"/>
    <s v="A"/>
    <s v="SACOS DURCL S.A"/>
    <s v="KPW/2026/CONT-176/10"/>
    <s v="U+2"/>
    <s v="90X90X90"/>
    <s v="2606-499"/>
    <n v="75"/>
    <n v="73.14"/>
    <x v="107"/>
    <n v="900"/>
    <n v="75"/>
    <n v="825"/>
    <m/>
  </r>
  <r>
    <d v="2026-08-14T00:00:00"/>
    <x v="6"/>
    <n v="1"/>
    <s v="A"/>
    <s v="DAJUSA 2002 S.L"/>
    <s v="51439/DAJU091100BAFP080FUEN"/>
    <s v="U+2"/>
    <s v="91X91X100"/>
    <s v="2607-209"/>
    <n v="750"/>
    <n v="777.375"/>
    <x v="104"/>
    <n v="750"/>
    <n v="750"/>
    <n v="0"/>
    <m/>
  </r>
  <r>
    <d v="2026-08-14T00:00:00"/>
    <x v="6"/>
    <n v="1"/>
    <s v="A"/>
    <s v="DAJUSA 2002 S.L"/>
    <s v="51537/DAJU085090BAFP070MATD"/>
    <s v="U+2"/>
    <s v="85X85X90"/>
    <s v="2607-217"/>
    <n v="200"/>
    <n v="153.16"/>
    <x v="108"/>
    <n v="500"/>
    <n v="200"/>
    <n v="300"/>
    <m/>
  </r>
  <r>
    <d v="2026-08-14T00:00:00"/>
    <x v="6"/>
    <n v="1"/>
    <s v="A"/>
    <s v="GULBRANDSEN"/>
    <s v="111068050/50048687"/>
    <s v="U+2"/>
    <s v="91X91X118"/>
    <s v="2607-412"/>
    <n v="150"/>
    <n v="342.58499999999998"/>
    <x v="103"/>
    <n v="150"/>
    <n v="150"/>
    <n v="0"/>
    <m/>
  </r>
  <r>
    <d v="2026-08-14T00:00:00"/>
    <x v="6"/>
    <n v="1"/>
    <s v="A"/>
    <s v="SACOS DURCL S.A"/>
    <s v="KPW/2026/CONT-176/07"/>
    <s v="U+2"/>
    <s v="85X85X90"/>
    <s v="2606-496"/>
    <n v="500"/>
    <n v="402.5"/>
    <x v="64"/>
    <n v="500"/>
    <n v="500"/>
    <n v="0"/>
    <m/>
  </r>
  <r>
    <d v="2026-08-14T00:00:00"/>
    <x v="6"/>
    <n v="1"/>
    <s v="A"/>
    <s v="P.NIKIFORAKIS "/>
    <s v="PNHF-18-K I."/>
    <s v="U+2"/>
    <s v="99X99X204"/>
    <s v="2607-135"/>
    <n v="400"/>
    <n v="883.6"/>
    <x v="101"/>
    <n v="1080"/>
    <n v="400"/>
    <n v="680"/>
    <m/>
  </r>
  <r>
    <d v="2026-08-17T00:00:00"/>
    <x v="6"/>
    <n v="1"/>
    <s v="A"/>
    <s v="FIBCO"/>
    <s v="FIBCO/PO/2026/0069/JBPL/CIR135"/>
    <s v="C-C"/>
    <s v="84X84X72"/>
    <s v="2605-422"/>
    <n v="400"/>
    <n v="734.8"/>
    <x v="84"/>
    <n v="2890"/>
    <n v="400"/>
    <n v="2490"/>
    <m/>
  </r>
  <r>
    <d v="2026-08-17T00:00:00"/>
    <x v="6"/>
    <n v="1"/>
    <s v="A"/>
    <s v="SADLEIRS PACKAGING AUSTRALIA"/>
    <s v="PO-070703/KDC 5905"/>
    <s v="C-C"/>
    <s v="90X90X50"/>
    <s v="2607-102"/>
    <n v="50"/>
    <n v="54.069999999999993"/>
    <x v="105"/>
    <n v="6250"/>
    <n v="50"/>
    <n v="6200"/>
    <m/>
  </r>
  <r>
    <d v="2026-08-17T00:00:00"/>
    <x v="6"/>
    <n v="1"/>
    <s v="A"/>
    <s v="BELGIUM GLASS &amp; CERAMICS PVT L"/>
    <s v="HPBLV/SER/26-27/69"/>
    <s v="U+2"/>
    <s v="90X90X110"/>
    <s v="2608-335"/>
    <n v="200"/>
    <n v="389.58"/>
    <x v="109"/>
    <n v="200"/>
    <n v="200"/>
    <n v="0"/>
    <m/>
  </r>
  <r>
    <d v="2026-08-17T00:00:00"/>
    <x v="6"/>
    <n v="1"/>
    <s v="A"/>
    <s v="SACOS DURCL S.A"/>
    <s v="KPW/2026/CONT-176/10"/>
    <s v="U+2"/>
    <s v="90X90X90"/>
    <s v="2606-499"/>
    <n v="825"/>
    <n v="804.54"/>
    <x v="107"/>
    <n v="825"/>
    <n v="825"/>
    <n v="0"/>
    <m/>
  </r>
  <r>
    <d v="2026-08-17T00:00:00"/>
    <x v="6"/>
    <n v="1"/>
    <s v="A"/>
    <s v="DAJUSA 2002 S.L"/>
    <s v="51537/DAJU085090BAFP070MATD"/>
    <s v="U+2"/>
    <s v="85X85X90"/>
    <s v="2607-217"/>
    <n v="250"/>
    <n v="191.45000000000002"/>
    <x v="108"/>
    <n v="300"/>
    <n v="250"/>
    <n v="50"/>
    <m/>
  </r>
  <r>
    <d v="2026-08-17T00:00:00"/>
    <x v="6"/>
    <n v="1"/>
    <s v="A"/>
    <s v="P.NIKIFORAKIS "/>
    <s v="PNHF-18-C1."/>
    <s v="U+2"/>
    <s v="80X80X80"/>
    <s v="2606-543"/>
    <n v="740"/>
    <n v="576.82999999999993"/>
    <x v="110"/>
    <n v="1740"/>
    <n v="740"/>
    <n v="1000"/>
    <m/>
  </r>
  <r>
    <d v="2026-08-17T00:00:00"/>
    <x v="6"/>
    <n v="1"/>
    <s v="A"/>
    <s v="P.NIKIFORAKIS "/>
    <s v="PNHF-18-C2."/>
    <s v="U+2"/>
    <s v="90X90X90"/>
    <s v="2606-544"/>
    <n v="900"/>
    <n v="903.78"/>
    <x v="111"/>
    <n v="1350"/>
    <n v="900"/>
    <n v="450"/>
    <m/>
  </r>
  <r>
    <d v="2026-08-17T00:00:00"/>
    <x v="6"/>
    <n v="1"/>
    <s v="A"/>
    <s v="P.NIKIFORAKIS "/>
    <s v="PNHF-18-K I."/>
    <s v="U+2"/>
    <s v="99X99X204"/>
    <s v="2607-135"/>
    <n v="200"/>
    <n v="441.8"/>
    <x v="101"/>
    <n v="680"/>
    <n v="200"/>
    <n v="480"/>
    <m/>
  </r>
  <r>
    <d v="2026-08-18T00:00:00"/>
    <x v="6"/>
    <n v="1"/>
    <s v="A"/>
    <s v="FIBCO"/>
    <s v="FIBCO/PO/2026/0069/JBPL/CIR135"/>
    <s v="C-C"/>
    <s v="84X84X72"/>
    <s v="2605-422"/>
    <n v="200"/>
    <n v="367.4"/>
    <x v="84"/>
    <n v="2490"/>
    <n v="200"/>
    <n v="2290"/>
    <m/>
  </r>
  <r>
    <d v="2026-08-18T00:00:00"/>
    <x v="6"/>
    <n v="1"/>
    <s v="A"/>
    <s v="UNITED"/>
    <s v="PO-23JULY"/>
    <s v="Q-BAG-C-C"/>
    <s v="105X105X125"/>
    <s v="2607-697"/>
    <n v="50"/>
    <n v="140"/>
    <x v="112"/>
    <n v="500"/>
    <n v="50"/>
    <n v="450"/>
    <m/>
  </r>
  <r>
    <d v="2026-08-18T00:00:00"/>
    <x v="6"/>
    <n v="1"/>
    <s v="A"/>
    <s v="SADLEIRS PACKAGING AUSTRALIA"/>
    <s v="PO-070703/KDC 5905"/>
    <s v="C-C"/>
    <s v="90X90X50"/>
    <s v="2607-102"/>
    <n v="700"/>
    <n v="756.9799999999999"/>
    <x v="105"/>
    <n v="6200"/>
    <n v="700"/>
    <n v="5500"/>
    <m/>
  </r>
  <r>
    <d v="2026-08-18T00:00:00"/>
    <x v="6"/>
    <n v="1"/>
    <s v="A"/>
    <s v="P.NIKIFORAKIS "/>
    <s v="PNHF-18-C2."/>
    <s v="U+2"/>
    <s v="90X90X90"/>
    <s v="2606-544"/>
    <n v="450"/>
    <n v="451.89"/>
    <x v="111"/>
    <n v="450"/>
    <n v="450"/>
    <n v="0"/>
    <m/>
  </r>
  <r>
    <d v="2026-08-18T00:00:00"/>
    <x v="6"/>
    <n v="1"/>
    <s v="A"/>
    <s v="DAJUSA 2002 S.L"/>
    <s v="51510/DAJU091090BAFP070ROMO"/>
    <s v="U+2"/>
    <s v="91X91X90"/>
    <s v="2607-554"/>
    <n v="550"/>
    <n v="445.22500000000002"/>
    <x v="113"/>
    <n v="1500"/>
    <n v="550"/>
    <n v="950"/>
    <m/>
  </r>
  <r>
    <d v="2026-08-18T00:00:00"/>
    <x v="6"/>
    <n v="1"/>
    <s v="A"/>
    <s v="DAJUSA 2002 S.L"/>
    <s v="51537/DAJU085090BAFP070MATD"/>
    <s v="U+2"/>
    <s v="85X85X90"/>
    <s v="2607-217"/>
    <n v="50"/>
    <n v="38.29"/>
    <x v="108"/>
    <n v="50"/>
    <n v="50"/>
    <n v="0"/>
    <m/>
  </r>
  <r>
    <d v="2026-08-18T00:00:00"/>
    <x v="6"/>
    <n v="1"/>
    <s v="A"/>
    <s v="DAJUSA 2002 S.L"/>
    <s v="51590/DAJU091100BAFO070ALLE"/>
    <s v="U+2"/>
    <s v="91X91X100"/>
    <s v="2607-566"/>
    <n v="100"/>
    <n v="87.02"/>
    <x v="83"/>
    <n v="1000"/>
    <n v="100"/>
    <n v="900"/>
    <m/>
  </r>
  <r>
    <d v="2026-08-18T00:00:00"/>
    <x v="6"/>
    <n v="1"/>
    <s v="A"/>
    <s v="P.NIKIFORAKIS "/>
    <s v="PNHF-18-C1."/>
    <s v="U+2"/>
    <s v="80X80X80"/>
    <s v="2606-543"/>
    <n v="950"/>
    <n v="740.52499999999998"/>
    <x v="110"/>
    <n v="1000"/>
    <n v="950"/>
    <n v="50"/>
    <m/>
  </r>
  <r>
    <d v="2026-08-18T00:00:00"/>
    <x v="6"/>
    <n v="1"/>
    <s v="A"/>
    <s v="DAJUSA 2002 S.L"/>
    <s v="51510/DAJU091090BAFP070ROMO"/>
    <s v="U+2"/>
    <s v="91X91X90"/>
    <s v="2607-554"/>
    <n v="900"/>
    <n v="728.55"/>
    <x v="113"/>
    <n v="950"/>
    <n v="900"/>
    <n v="50"/>
    <m/>
  </r>
  <r>
    <d v="2026-08-18T00:00:00"/>
    <x v="6"/>
    <n v="1"/>
    <s v="A"/>
    <s v="DAJUSA 2002 S.L"/>
    <s v="51582/DAJU085090BAFP070BERNIER"/>
    <s v="U+2"/>
    <s v="85X85X90"/>
    <s v="2607-553"/>
    <n v="450"/>
    <n v="358.10999999999996"/>
    <x v="95"/>
    <n v="1000"/>
    <n v="450"/>
    <n v="550"/>
    <m/>
  </r>
  <r>
    <d v="2026-08-18T00:00:00"/>
    <x v="6"/>
    <n v="1"/>
    <s v="A"/>
    <s v="P.NIKIFORAKIS "/>
    <s v="PNHF-18-K I."/>
    <s v="U+2"/>
    <s v="99X99X204"/>
    <s v="2607-135"/>
    <n v="190"/>
    <n v="419.71000000000004"/>
    <x v="101"/>
    <n v="480"/>
    <n v="190"/>
    <n v="290"/>
    <m/>
  </r>
  <r>
    <d v="2026-08-19T00:00:00"/>
    <x v="6"/>
    <n v="1"/>
    <s v="A"/>
    <s v="FIBCO"/>
    <s v="FIBCO/PO/2026/0069/JBPL/CIR135"/>
    <s v="C-C"/>
    <s v="84X84X72"/>
    <s v="2605-422"/>
    <n v="550"/>
    <n v="1010.35"/>
    <x v="84"/>
    <n v="2290"/>
    <n v="550"/>
    <n v="1740"/>
    <m/>
  </r>
  <r>
    <d v="2026-08-19T00:00:00"/>
    <x v="6"/>
    <n v="1"/>
    <s v="A"/>
    <s v="FIBCO"/>
    <s v="FIBCO/PO/2026/0069/JBPL/CIR135"/>
    <s v="C-C"/>
    <s v="84X84X72"/>
    <s v="2605-422"/>
    <n v="300"/>
    <n v="551.1"/>
    <x v="84"/>
    <n v="1740"/>
    <n v="300"/>
    <n v="1440"/>
    <m/>
  </r>
  <r>
    <d v="2026-08-19T00:00:00"/>
    <x v="6"/>
    <n v="1"/>
    <s v="A"/>
    <s v="FIBCO"/>
    <s v="FIBCO/PO/2026/0069/JBPL/CIR135"/>
    <s v="C-C"/>
    <s v="84X84X72"/>
    <s v="2605-422"/>
    <n v="700"/>
    <n v="1285.8999999999999"/>
    <x v="84"/>
    <n v="1440"/>
    <n v="700"/>
    <n v="740"/>
    <m/>
  </r>
  <r>
    <d v="2026-08-19T00:00:00"/>
    <x v="6"/>
    <n v="1"/>
    <s v="A"/>
    <s v="DAJUSA 2002 S.L"/>
    <s v="51590/DAJU091100BAFO070ALLE"/>
    <s v="U+2"/>
    <s v="91X91X100"/>
    <s v="2607-566"/>
    <n v="850"/>
    <n v="739.67"/>
    <x v="83"/>
    <n v="900"/>
    <n v="850"/>
    <n v="50"/>
    <m/>
  </r>
  <r>
    <d v="2026-08-19T00:00:00"/>
    <x v="6"/>
    <n v="1"/>
    <s v="A"/>
    <s v="SACOS DURCAL S.A"/>
    <s v="KPW/2026/CONT-176/06"/>
    <s v="U+2"/>
    <s v="85X85X90"/>
    <s v="2606-495"/>
    <n v="150"/>
    <n v="120.75000000000001"/>
    <x v="64"/>
    <n v="150"/>
    <n v="150"/>
    <n v="0"/>
    <m/>
  </r>
  <r>
    <d v="2026-08-19T00:00:00"/>
    <x v="6"/>
    <n v="1"/>
    <s v="A"/>
    <s v="DAJUSA 2002 S.L"/>
    <s v="51540/DAJU080085BAFP070CUAD"/>
    <s v="U+2"/>
    <s v="80X80X85"/>
    <s v="2602-221"/>
    <n v="450"/>
    <n v="333.09"/>
    <x v="114"/>
    <n v="1800"/>
    <n v="450"/>
    <n v="1350"/>
    <m/>
  </r>
  <r>
    <d v="2026-08-19T00:00:00"/>
    <x v="6"/>
    <n v="1"/>
    <s v="A"/>
    <s v="DAJUSA 2002 S.L"/>
    <s v="51582/DAJU085090BAFP070BERNIER"/>
    <s v="U+2"/>
    <s v="85X85X90"/>
    <s v="2607-553"/>
    <n v="550"/>
    <n v="437.69"/>
    <x v="95"/>
    <n v="550"/>
    <n v="550"/>
    <n v="0"/>
    <m/>
  </r>
  <r>
    <d v="2026-08-19T00:00:00"/>
    <x v="6"/>
    <n v="1"/>
    <s v="A"/>
    <s v="P.KINIFORAKIS "/>
    <s v="PNHF-18-K I."/>
    <s v="U+2"/>
    <s v="99X99X204"/>
    <s v="2607-135"/>
    <n v="290"/>
    <n v="640.61"/>
    <x v="101"/>
    <n v="290"/>
    <n v="290"/>
    <n v="0"/>
    <m/>
  </r>
  <r>
    <d v="2026-08-20T00:00:00"/>
    <x v="6"/>
    <n v="1"/>
    <s v="A"/>
    <s v="FIBCO"/>
    <s v="FIBCO/PO/2026/0069/JBPL/CIR135"/>
    <s v="C-C"/>
    <s v="84X84X72"/>
    <s v="2605-422"/>
    <n v="350"/>
    <n v="642.94999999999993"/>
    <x v="84"/>
    <n v="740"/>
    <n v="350"/>
    <n v="390"/>
    <m/>
  </r>
  <r>
    <d v="2026-08-20T00:00:00"/>
    <x v="6"/>
    <n v="1"/>
    <s v="A"/>
    <s v="SADLEIRS PACKAGING AUSTRALIA"/>
    <s v="PO-070703/KDC 5905"/>
    <s v="C-C"/>
    <s v="90X90X50"/>
    <s v="2607-102"/>
    <n v="100"/>
    <n v="108.13999999999999"/>
    <x v="105"/>
    <n v="5500"/>
    <n v="100"/>
    <n v="5400"/>
    <m/>
  </r>
  <r>
    <d v="2026-08-20T00:00:00"/>
    <x v="6"/>
    <n v="1"/>
    <s v="A"/>
    <s v="UNITED"/>
    <s v="PO-23JULY"/>
    <s v="Q-BAG-C-C"/>
    <s v="105X105X125"/>
    <s v="2607-697"/>
    <n v="25"/>
    <n v="70"/>
    <x v="112"/>
    <n v="450"/>
    <n v="25"/>
    <n v="425"/>
    <m/>
  </r>
  <r>
    <d v="2026-08-20T00:00:00"/>
    <x v="6"/>
    <n v="1"/>
    <s v="A"/>
    <s v="DAJUSA 2002 S.L"/>
    <s v="51540/DAJU080085BAFP070CUAD"/>
    <s v="U+2"/>
    <s v="80X80X85"/>
    <s v="2602-221"/>
    <n v="1200"/>
    <n v="888.24"/>
    <x v="114"/>
    <n v="1350"/>
    <n v="1200"/>
    <n v="150"/>
    <m/>
  </r>
  <r>
    <d v="2026-08-20T00:00:00"/>
    <x v="6"/>
    <n v="1"/>
    <s v="A"/>
    <s v="FIBCO"/>
    <s v="FIBCO/PO/2026/0069/JBPL/CIR135"/>
    <s v="C-C"/>
    <s v="84X84X72"/>
    <s v="2605-422"/>
    <n v="330"/>
    <n v="606.21"/>
    <x v="84"/>
    <n v="390"/>
    <n v="330"/>
    <n v="60"/>
    <m/>
  </r>
  <r>
    <d v="2026-08-20T00:00:00"/>
    <x v="6"/>
    <n v="1"/>
    <s v="A"/>
    <s v="DAJUSA 2002 S.L"/>
    <s v="51596/DAJU091090BAFP080GELA"/>
    <s v="U+2"/>
    <s v="91X91X90"/>
    <s v="2607-570"/>
    <n v="280"/>
    <n v="273.50400000000002"/>
    <x v="115"/>
    <n v="400"/>
    <n v="280"/>
    <n v="120"/>
    <m/>
  </r>
  <r>
    <d v="2026-08-20T00:00:00"/>
    <x v="6"/>
    <n v="1"/>
    <s v="A"/>
    <s v="DAJUSA 2002 S.L"/>
    <s v="51699/DAJU091090BAFP070LOOP"/>
    <s v="U+2"/>
    <s v="91X91X90"/>
    <s v="2608-138"/>
    <n v="100"/>
    <n v="83.95"/>
    <x v="116"/>
    <n v="1000"/>
    <n v="100"/>
    <n v="900"/>
    <m/>
  </r>
  <r>
    <d v="2026-08-20T00:00:00"/>
    <x v="6"/>
    <n v="1"/>
    <s v="A"/>
    <s v="SACOS DURCAL S.A"/>
    <s v="KPW/2026/CONT-177/10"/>
    <s v="U+2"/>
    <s v="85X85X90"/>
    <s v="2608-032"/>
    <n v="650"/>
    <n v="523.77"/>
    <x v="117"/>
    <n v="3000"/>
    <n v="650"/>
    <n v="2350"/>
    <m/>
  </r>
  <r>
    <d v="2026-08-20T00:00:00"/>
    <x v="6"/>
    <n v="1"/>
    <s v="A"/>
    <s v="DAJUSA 2002 S.L"/>
    <s v="51530/DAJU110220CABD090SAAC"/>
    <s v="Q-BAG"/>
    <s v="110X110X220"/>
    <s v="2607-219"/>
    <n v="50"/>
    <n v="206.52499999999998"/>
    <x v="118"/>
    <n v="200"/>
    <n v="50"/>
    <n v="150"/>
    <m/>
  </r>
  <r>
    <d v="2026-08-20T00:00:00"/>
    <x v="6"/>
    <n v="1"/>
    <s v="A"/>
    <s v="FPS FLEXIBLES UK LTD"/>
    <s v="POR-260711/NS902-004-O015"/>
    <s v="U+2"/>
    <s v="80X80X80"/>
    <s v="2607-057"/>
    <n v="800"/>
    <n v="588.64"/>
    <x v="119"/>
    <n v="6600"/>
    <n v="800"/>
    <n v="5800"/>
    <m/>
  </r>
  <r>
    <d v="2026-08-21T00:00:00"/>
    <x v="6"/>
    <n v="1"/>
    <s v="A"/>
    <s v="FLEXOCHEM"/>
    <s v="FVPL/PO/2026-00144"/>
    <s v="C-C"/>
    <s v="90X90X70"/>
    <s v="2606-094"/>
    <n v="200"/>
    <n v="345.02000000000004"/>
    <x v="58"/>
    <n v="200"/>
    <n v="200"/>
    <n v="0"/>
    <m/>
  </r>
  <r>
    <d v="2026-08-21T00:00:00"/>
    <x v="6"/>
    <n v="1"/>
    <s v="A"/>
    <s v="SADLEIRS PACKAGING AUSTRALIA"/>
    <s v="PO-070703/KDC 5905"/>
    <s v="C-C"/>
    <s v="90X90X50"/>
    <s v="2607-102"/>
    <n v="200"/>
    <n v="216.27999999999997"/>
    <x v="105"/>
    <n v="5400"/>
    <n v="200"/>
    <n v="5200"/>
    <m/>
  </r>
  <r>
    <d v="2026-08-21T00:00:00"/>
    <x v="6"/>
    <n v="1"/>
    <s v="A"/>
    <s v="UNITED"/>
    <s v="PO-23JULY"/>
    <s v="Q-BAG-C-C"/>
    <s v="105X105X125"/>
    <s v="2607-697"/>
    <n v="170"/>
    <n v="475.99999999999994"/>
    <x v="112"/>
    <n v="425"/>
    <n v="170"/>
    <n v="255"/>
    <m/>
  </r>
  <r>
    <d v="2026-08-21T00:00:00"/>
    <x v="6"/>
    <n v="1"/>
    <s v="A"/>
    <s v="FPS FLEXIBLES UK LTD"/>
    <s v="POR-260711/NS902-004-O015"/>
    <s v="U+2"/>
    <s v="80X80X80"/>
    <s v="2607-057"/>
    <n v="1250"/>
    <n v="919.75"/>
    <x v="119"/>
    <n v="5800"/>
    <n v="1250"/>
    <n v="4550"/>
    <m/>
  </r>
  <r>
    <d v="2026-08-21T00:00:00"/>
    <x v="6"/>
    <n v="1"/>
    <s v="A"/>
    <s v="DAJUSA 2002 S.L"/>
    <s v="51530/DAJU110220CABD090SAAC"/>
    <s v="Q-BAG"/>
    <s v="110X110X220"/>
    <s v="2607-219"/>
    <n v="150"/>
    <n v="619.57499999999993"/>
    <x v="118"/>
    <n v="150"/>
    <n v="150"/>
    <n v="0"/>
    <m/>
  </r>
  <r>
    <d v="2026-08-21T00:00:00"/>
    <x v="6"/>
    <n v="1"/>
    <s v="A"/>
    <s v="DAJUSA 2002 S.L"/>
    <s v="51712/DAJU080090BAFP070LOOPS40"/>
    <s v="U+2"/>
    <s v="80x80x90"/>
    <s v="2608-139"/>
    <n v="100"/>
    <n v="75.86"/>
    <x v="120"/>
    <n v="1200"/>
    <n v="100"/>
    <n v="1100"/>
    <m/>
  </r>
  <r>
    <d v="2026-08-21T00:00:00"/>
    <x v="6"/>
    <n v="1"/>
    <s v="A"/>
    <s v="DAJUSA 2002 S.L"/>
    <s v="51699/DAJU091090BAFP070LOOP"/>
    <s v="U+2"/>
    <s v="91X91X90"/>
    <s v="2608-138"/>
    <n v="900"/>
    <n v="755.55000000000007"/>
    <x v="116"/>
    <n v="900"/>
    <n v="90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x v="0"/>
    <x v="0"/>
    <n v="1"/>
    <s v="A"/>
    <x v="0"/>
    <s v="OBV 1250047-1 ID/SP1779"/>
    <s v="U+2 panel top and bottom spout "/>
    <s v="95x95x200"/>
    <x v="0"/>
    <n v="280"/>
    <n v="624.4"/>
    <n v="2.23"/>
    <n v="5040"/>
    <n v="280"/>
    <n v="4760"/>
    <s v="stock"/>
  </r>
  <r>
    <x v="0"/>
    <x v="0"/>
    <n v="2"/>
    <s v="A"/>
    <x v="0"/>
    <s v="OBV 1250047-1 ID/SP1779"/>
    <s v="U+2 panel top and bottom spout "/>
    <s v="95x95x200"/>
    <x v="0"/>
    <n v="400"/>
    <n v="892"/>
    <n v="2.23"/>
    <n v="4760"/>
    <n v="400"/>
    <n v="4360"/>
    <s v="stock"/>
  </r>
  <r>
    <x v="0"/>
    <x v="0"/>
    <n v="3"/>
    <s v="A"/>
    <x v="1"/>
    <s v="WERBA -04 / 90x90x120 cm "/>
    <s v="circular cross corner Top open flat bottom "/>
    <s v="90x90x120"/>
    <x v="1"/>
    <n v="150"/>
    <n v="173.39999999999998"/>
    <n v="1.1559999999999999"/>
    <n v="16800"/>
    <n v="150"/>
    <n v="16650"/>
    <s v="stock "/>
  </r>
  <r>
    <x v="1"/>
    <x v="0"/>
    <n v="1"/>
    <s v="A"/>
    <x v="0"/>
    <s v="OBV 1250047-1 ID/SP1779"/>
    <s v="U+2 panel top and bottom spout "/>
    <s v="95x95x200"/>
    <x v="0"/>
    <n v="390"/>
    <n v="861.9"/>
    <n v="2.21"/>
    <n v="4360"/>
    <n v="390"/>
    <n v="3970"/>
    <s v="stock"/>
  </r>
  <r>
    <x v="1"/>
    <x v="0"/>
    <n v="2"/>
    <s v="A"/>
    <x v="0"/>
    <s v="OBV 1250047-1 ID/SP1779"/>
    <s v="U+2 panel top and bottom spout "/>
    <s v="95x95x200"/>
    <x v="0"/>
    <n v="550"/>
    <n v="1215.5"/>
    <n v="2.21"/>
    <n v="3970"/>
    <n v="550"/>
    <n v="3420"/>
    <s v="stock"/>
  </r>
  <r>
    <x v="1"/>
    <x v="0"/>
    <n v="3"/>
    <s v="A"/>
    <x v="1"/>
    <s v="WERBA -04 / 90x90x120 cm "/>
    <s v="circular cross corner Top open flat bottom "/>
    <s v="90x90x120"/>
    <x v="1"/>
    <n v="350"/>
    <n v="404.59999999999997"/>
    <n v="1.1559999999999999"/>
    <n v="16650"/>
    <n v="350"/>
    <n v="16300"/>
    <s v="stock "/>
  </r>
  <r>
    <x v="2"/>
    <x v="0"/>
    <n v="1"/>
    <s v="A"/>
    <x v="0"/>
    <s v="OBV 1250047-1 ID/SP1779"/>
    <s v="U+2 panel top and bottom spout "/>
    <s v="95x95x200"/>
    <x v="0"/>
    <n v="445"/>
    <n v="983.44999999999993"/>
    <n v="2.21"/>
    <n v="3420"/>
    <n v="445"/>
    <n v="2975"/>
    <s v="stock"/>
  </r>
  <r>
    <x v="2"/>
    <x v="0"/>
    <n v="2"/>
    <s v="A"/>
    <x v="0"/>
    <s v="OBV 1250047-1 ID/SP1779"/>
    <s v="U+2 panel top and bottom spout "/>
    <s v="95x95x200"/>
    <x v="0"/>
    <n v="585"/>
    <n v="1292.8499999999999"/>
    <n v="2.21"/>
    <n v="2975"/>
    <n v="585"/>
    <n v="2390"/>
    <s v="stock"/>
  </r>
  <r>
    <x v="2"/>
    <x v="0"/>
    <n v="3"/>
    <s v="A"/>
    <x v="1"/>
    <s v="WERBA -04 / 90x90x120 cm "/>
    <s v="circular cross corner Top open flat bottom "/>
    <s v="90x90x120"/>
    <x v="1"/>
    <n v="475"/>
    <n v="549.09999999999991"/>
    <n v="1.1559999999999999"/>
    <n v="16300"/>
    <n v="475"/>
    <n v="15825"/>
    <s v="stock "/>
  </r>
  <r>
    <x v="3"/>
    <x v="0"/>
    <n v="1"/>
    <s v="A"/>
    <x v="0"/>
    <s v="OBV 1250047-1 ID/SP1779"/>
    <s v="U+2 panel top and bottom spout "/>
    <s v="95x95x200"/>
    <x v="0"/>
    <n v="500"/>
    <n v="1105"/>
    <n v="2.21"/>
    <n v="2390"/>
    <n v="500"/>
    <n v="1890"/>
    <s v="stock"/>
  </r>
  <r>
    <x v="3"/>
    <x v="0"/>
    <n v="2"/>
    <s v="A"/>
    <x v="0"/>
    <s v="OBV 1250047-1 ID/SP1779"/>
    <s v="U+2 panel top and bottom spout "/>
    <s v="95x95x200"/>
    <x v="0"/>
    <n v="660"/>
    <n v="1458.6"/>
    <n v="2.21"/>
    <n v="1890"/>
    <n v="660"/>
    <n v="1230"/>
    <s v="stock"/>
  </r>
  <r>
    <x v="3"/>
    <x v="0"/>
    <n v="3"/>
    <s v="A"/>
    <x v="1"/>
    <s v="WERBA -04 / 90x90x120 cm "/>
    <s v="circular cross corner Top open flat bottom "/>
    <s v="90x90x120"/>
    <x v="1"/>
    <n v="500"/>
    <n v="578"/>
    <n v="1.1559999999999999"/>
    <n v="15825"/>
    <n v="500"/>
    <n v="15325"/>
    <s v="stock "/>
  </r>
  <r>
    <x v="4"/>
    <x v="0"/>
    <n v="1"/>
    <s v="A"/>
    <x v="0"/>
    <s v="OBV 1250047-1 ID/SP1779"/>
    <s v="U+2 panel top and bottom spout "/>
    <s v="95x95x200"/>
    <x v="0"/>
    <n v="500"/>
    <n v="1105"/>
    <n v="2.21"/>
    <n v="1230"/>
    <n v="500"/>
    <n v="730"/>
    <s v="stock"/>
  </r>
  <r>
    <x v="4"/>
    <x v="0"/>
    <n v="2"/>
    <s v="A"/>
    <x v="0"/>
    <s v="OBV 1250047-1 ID/SP1779"/>
    <s v="U+2 panel top and bottom spout "/>
    <s v="95x95x200"/>
    <x v="0"/>
    <n v="250"/>
    <n v="552.5"/>
    <n v="2.21"/>
    <n v="730"/>
    <n v="250"/>
    <n v="480"/>
    <s v="stock"/>
  </r>
  <r>
    <x v="4"/>
    <x v="0"/>
    <n v="3"/>
    <s v="A"/>
    <x v="1"/>
    <s v="WERBA -04 / 90x90x120 cm "/>
    <s v="circular cross corner Top open flat bottom "/>
    <s v="90x90x120"/>
    <x v="1"/>
    <n v="525"/>
    <n v="606.9"/>
    <n v="1.1559999999999999"/>
    <n v="15325"/>
    <n v="525"/>
    <n v="14800"/>
    <s v="stock "/>
  </r>
  <r>
    <x v="4"/>
    <x v="0"/>
    <n v="1"/>
    <s v="A"/>
    <x v="0"/>
    <s v="OBV 1250047-1 ID/SP1777"/>
    <s v="U+2 panel top and bottom spout "/>
    <s v="95x95x170"/>
    <x v="2"/>
    <n v="370"/>
    <n v="688.2"/>
    <n v="1.86"/>
    <n v="5760"/>
    <n v="370"/>
    <n v="5390"/>
    <s v="dispatched "/>
  </r>
  <r>
    <x v="5"/>
    <x v="0"/>
    <n v="1"/>
    <s v="A"/>
    <x v="0"/>
    <s v="OBV 1250047-1 ID/SP1779"/>
    <s v="U+2 panel top and bottom spout "/>
    <s v="95x95x200"/>
    <x v="0"/>
    <n v="480"/>
    <n v="1060.8"/>
    <n v="2.21"/>
    <n v="480"/>
    <n v="480"/>
    <n v="0"/>
    <s v="stock"/>
  </r>
  <r>
    <x v="5"/>
    <x v="0"/>
    <n v="3"/>
    <s v="A"/>
    <x v="1"/>
    <s v="WERBA -04 / 90x90x120 cm "/>
    <s v="circular cross corner Top open flat bottom "/>
    <s v="90x90x120"/>
    <x v="1"/>
    <n v="500"/>
    <n v="578"/>
    <n v="1.1559999999999999"/>
    <n v="14800"/>
    <n v="500"/>
    <n v="14300"/>
    <s v="stock "/>
  </r>
  <r>
    <x v="5"/>
    <x v="0"/>
    <n v="1"/>
    <s v="A"/>
    <x v="0"/>
    <s v="OBV 1250047-1 ID/SP1777"/>
    <s v="U+2 panel top and bottom spout "/>
    <s v="95x95x170"/>
    <x v="2"/>
    <n v="1010"/>
    <n v="1878.6000000000001"/>
    <n v="1.86"/>
    <n v="5390"/>
    <n v="1010"/>
    <n v="4380"/>
    <s v="dispatched "/>
  </r>
  <r>
    <x v="6"/>
    <x v="0"/>
    <n v="1"/>
    <s v="A"/>
    <x v="0"/>
    <s v="OBV 1250047-1 ID/SP1777"/>
    <s v="U+2 panel top and bottom spout "/>
    <s v="95x95x170"/>
    <x v="2"/>
    <n v="1205"/>
    <n v="2241.3000000000002"/>
    <n v="1.86"/>
    <n v="4380"/>
    <n v="1205"/>
    <n v="3175"/>
    <s v="dispatched "/>
  </r>
  <r>
    <x v="6"/>
    <x v="0"/>
    <n v="2"/>
    <s v="A"/>
    <x v="1"/>
    <s v="WERBA -04 / 90x90x120 cm "/>
    <s v="circular cross corner Top open flat bottom "/>
    <s v="90x90x120"/>
    <x v="1"/>
    <n v="500"/>
    <n v="578"/>
    <n v="1.1559999999999999"/>
    <n v="14300"/>
    <n v="500"/>
    <n v="13800"/>
    <s v="stock "/>
  </r>
  <r>
    <x v="7"/>
    <x v="0"/>
    <n v="1"/>
    <s v="A"/>
    <x v="0"/>
    <s v="OBV 1250047-1 ID/SP1777"/>
    <s v="U+2 panel top and bottom spout "/>
    <s v="95x95x170"/>
    <x v="2"/>
    <n v="1400"/>
    <n v="2604"/>
    <n v="1.86"/>
    <n v="3175"/>
    <n v="1400"/>
    <n v="1775"/>
    <s v="dispatched "/>
  </r>
  <r>
    <x v="7"/>
    <x v="0"/>
    <n v="2"/>
    <s v="A"/>
    <x v="1"/>
    <s v="WERBA -04 / 90x90x120 cm "/>
    <s v="circular cross corner Top open flat bottom "/>
    <s v="90x90x120"/>
    <x v="1"/>
    <n v="550"/>
    <n v="635.79999999999995"/>
    <n v="1.1559999999999999"/>
    <n v="13800"/>
    <n v="550"/>
    <n v="13250"/>
    <s v="stock "/>
  </r>
  <r>
    <x v="8"/>
    <x v="0"/>
    <n v="1"/>
    <s v="A"/>
    <x v="0"/>
    <s v="OBV 1250047-1 ID/SP1777"/>
    <s v="U+2 panel top and bottom spout "/>
    <s v="95x95x170"/>
    <x v="2"/>
    <n v="300"/>
    <n v="558"/>
    <n v="1.86"/>
    <n v="1775"/>
    <n v="300"/>
    <n v="1475"/>
    <s v="dispatched "/>
  </r>
  <r>
    <x v="8"/>
    <x v="0"/>
    <n v="2"/>
    <s v="A"/>
    <x v="1"/>
    <s v="WERBA -04 / 90x90x120 cm "/>
    <s v="circular cross corner Top open flat bottom "/>
    <s v="90x90x120"/>
    <x v="1"/>
    <n v="375"/>
    <n v="433.49999999999994"/>
    <n v="1.1559999999999999"/>
    <n v="13250"/>
    <n v="375"/>
    <n v="12875"/>
    <s v="stock "/>
  </r>
  <r>
    <x v="9"/>
    <x v="0"/>
    <n v="1"/>
    <s v="A"/>
    <x v="0"/>
    <s v="OBV 1250047-1 ID/SP1777"/>
    <s v="U+2 panel top and bottom spout "/>
    <s v="95x95x170"/>
    <x v="2"/>
    <n v="725"/>
    <n v="1348.5"/>
    <n v="1.86"/>
    <n v="1475"/>
    <n v="725"/>
    <n v="750"/>
    <s v="dispatched "/>
  </r>
  <r>
    <x v="9"/>
    <x v="0"/>
    <n v="2"/>
    <s v="A"/>
    <x v="1"/>
    <s v="WERBA -04 / 90x90x120 cm "/>
    <s v="circular cross corner Top open flat bottom "/>
    <s v="90x90x120"/>
    <x v="1"/>
    <n v="650"/>
    <n v="751.4"/>
    <n v="1.1559999999999999"/>
    <n v="12875"/>
    <n v="650"/>
    <n v="12225"/>
    <s v="stock "/>
  </r>
  <r>
    <x v="10"/>
    <x v="0"/>
    <n v="1"/>
    <s v="A"/>
    <x v="1"/>
    <s v="WERBA -04 / 90x90x120 cm "/>
    <s v="circular cross corner Top open flat bottom "/>
    <s v="90x90x120"/>
    <x v="1"/>
    <n v="600"/>
    <n v="693.59999999999991"/>
    <n v="1.1559999999999999"/>
    <n v="12225"/>
    <n v="600"/>
    <n v="11625"/>
    <s v="stock "/>
  </r>
  <r>
    <x v="11"/>
    <x v="0"/>
    <n v="1"/>
    <s v="A"/>
    <x v="0"/>
    <s v="OBV 1250047-1 ID/SP1777"/>
    <s v="U+2 panel top and bottom spout "/>
    <s v="95x95x170"/>
    <x v="2"/>
    <n v="750"/>
    <n v="1395"/>
    <n v="1.86"/>
    <n v="750"/>
    <n v="750"/>
    <n v="0"/>
    <s v="dispatched "/>
  </r>
  <r>
    <x v="11"/>
    <x v="0"/>
    <n v="2"/>
    <s v="A"/>
    <x v="1"/>
    <s v="WERBA -04 / 90x90x120 cm "/>
    <s v="circular cross corner Top open flat bottom "/>
    <s v="90x90x120"/>
    <x v="1"/>
    <n v="625"/>
    <n v="722.5"/>
    <n v="1.1559999999999999"/>
    <n v="11625"/>
    <n v="625"/>
    <n v="11000"/>
    <s v="stock "/>
  </r>
  <r>
    <x v="11"/>
    <x v="0"/>
    <n v="2"/>
    <s v="A"/>
    <x v="2"/>
    <s v="1012601POH0587/BBSTAP001240"/>
    <s v="U panel open top "/>
    <s v="85x85x90 "/>
    <x v="3"/>
    <n v="1600"/>
    <n v="1248"/>
    <n v="0.78"/>
    <n v="26400"/>
    <n v="1600"/>
    <n v="24800"/>
    <s v="stock"/>
  </r>
  <r>
    <x v="12"/>
    <x v="0"/>
    <n v="1"/>
    <s v="A"/>
    <x v="1"/>
    <s v="WERBA -04 / 90x90x120 cm "/>
    <s v="circular cross corner Top open flat bottom "/>
    <s v="90x90x120"/>
    <x v="1"/>
    <n v="550"/>
    <n v="635.79999999999995"/>
    <n v="1.1559999999999999"/>
    <n v="11000"/>
    <n v="550"/>
    <n v="10450"/>
    <s v="stock "/>
  </r>
  <r>
    <x v="12"/>
    <x v="0"/>
    <n v="2"/>
    <s v="A"/>
    <x v="2"/>
    <s v="1012601POH0587/BBSTAP001240"/>
    <s v="U panel open top "/>
    <s v="85x85x90 "/>
    <x v="3"/>
    <n v="1320"/>
    <n v="1029.6000000000001"/>
    <n v="0.78"/>
    <n v="24800"/>
    <n v="1320"/>
    <n v="23480"/>
    <s v="stock"/>
  </r>
  <r>
    <x v="13"/>
    <x v="0"/>
    <n v="1"/>
    <s v="A"/>
    <x v="1"/>
    <s v="WERBA -04 / 90x90x120 cm "/>
    <s v="circular cross corner Top open flat bottom "/>
    <s v="90x90x120"/>
    <x v="1"/>
    <n v="950"/>
    <n v="1098.1999999999998"/>
    <n v="1.1559999999999999"/>
    <n v="10450"/>
    <n v="950"/>
    <n v="9500"/>
    <s v="stock "/>
  </r>
  <r>
    <x v="13"/>
    <x v="0"/>
    <n v="2"/>
    <s v="A"/>
    <x v="2"/>
    <s v="1012601POH0587/BBSTAP001240"/>
    <s v="U panel open top "/>
    <s v="85x85x90 "/>
    <x v="3"/>
    <n v="1500"/>
    <n v="1170"/>
    <n v="0.78"/>
    <n v="23480"/>
    <n v="1500"/>
    <n v="21980"/>
    <s v="stock"/>
  </r>
  <r>
    <x v="14"/>
    <x v="0"/>
    <n v="1"/>
    <s v="A"/>
    <x v="1"/>
    <s v="WERBA -04 / 90x90x120 cm "/>
    <s v="circular cross corner Top open flat bottom "/>
    <s v="90x90x120"/>
    <x v="1"/>
    <n v="700"/>
    <n v="809.19999999999993"/>
    <n v="1.1559999999999999"/>
    <n v="9500"/>
    <n v="700"/>
    <n v="8800"/>
    <s v="stock "/>
  </r>
  <r>
    <x v="14"/>
    <x v="0"/>
    <n v="2"/>
    <s v="A"/>
    <x v="2"/>
    <s v="1012601POH0587/BBSTAP001240"/>
    <s v="U panel open top "/>
    <s v="85x85x90 "/>
    <x v="3"/>
    <n v="2050"/>
    <n v="1599"/>
    <n v="0.78"/>
    <n v="21980"/>
    <n v="2050"/>
    <n v="19930"/>
    <s v="stock"/>
  </r>
  <r>
    <x v="15"/>
    <x v="0"/>
    <n v="1"/>
    <s v="A"/>
    <x v="1"/>
    <s v="WERBA -04 / 90x90x120 cm "/>
    <s v="circular cross corner Top open flat bottom "/>
    <s v="90x90x120"/>
    <x v="1"/>
    <n v="750"/>
    <n v="866.99999999999989"/>
    <n v="1.1559999999999999"/>
    <n v="8800"/>
    <n v="750"/>
    <n v="8050"/>
    <s v="stock "/>
  </r>
  <r>
    <x v="15"/>
    <x v="0"/>
    <n v="2"/>
    <s v="A"/>
    <x v="2"/>
    <s v="1012601POH0587/BBSTAP001240"/>
    <s v="U panel open top "/>
    <s v="85x85x90 "/>
    <x v="3"/>
    <n v="2920"/>
    <n v="2277.6"/>
    <n v="0.78"/>
    <n v="19930"/>
    <n v="2920"/>
    <n v="17010"/>
    <s v="stock"/>
  </r>
  <r>
    <x v="16"/>
    <x v="0"/>
    <n v="1"/>
    <s v="A"/>
    <x v="1"/>
    <s v="WERBA -04 / 90x90x120 cm "/>
    <s v="circular cross corner Top open flat bottom "/>
    <s v="90x90x120"/>
    <x v="1"/>
    <n v="750"/>
    <n v="866.99999999999989"/>
    <n v="1.1559999999999999"/>
    <n v="8050"/>
    <n v="750"/>
    <n v="7300"/>
    <s v="stock "/>
  </r>
  <r>
    <x v="16"/>
    <x v="0"/>
    <n v="2"/>
    <s v="A"/>
    <x v="2"/>
    <s v="1012601POH0587/BBSTAP001240"/>
    <s v="U panel open top "/>
    <s v="85x85x90 "/>
    <x v="3"/>
    <n v="1900"/>
    <n v="1482"/>
    <n v="0.78"/>
    <n v="17010"/>
    <n v="1900"/>
    <n v="15110"/>
    <s v="stock"/>
  </r>
  <r>
    <x v="17"/>
    <x v="0"/>
    <n v="1"/>
    <s v="A"/>
    <x v="1"/>
    <s v="WERBA -04 / 90x90x120 cm "/>
    <s v="circular cross corner Top open flat bottom "/>
    <s v="90x90x120"/>
    <x v="1"/>
    <n v="600"/>
    <n v="693.59999999999991"/>
    <n v="1.1559999999999999"/>
    <n v="7300"/>
    <n v="600"/>
    <n v="6700"/>
    <s v="stock "/>
  </r>
  <r>
    <x v="17"/>
    <x v="0"/>
    <n v="2"/>
    <s v="A"/>
    <x v="0"/>
    <s v="OBV1250047-2/1779"/>
    <s v="U+2 panel top and bottom spout "/>
    <s v="95x95x200"/>
    <x v="4"/>
    <n v="325"/>
    <n v="718.25"/>
    <n v="2.21"/>
    <n v="5040"/>
    <n v="325"/>
    <n v="4715"/>
    <s v="stock "/>
  </r>
  <r>
    <x v="18"/>
    <x v="0"/>
    <n v="1"/>
    <s v="A"/>
    <x v="1"/>
    <s v="WERBA -04 / 90x90x120 cm "/>
    <s v="circular cross corner Top open flat bottom "/>
    <s v="90x90x120"/>
    <x v="1"/>
    <n v="675"/>
    <n v="780.3"/>
    <n v="1.1559999999999999"/>
    <n v="6700"/>
    <n v="675"/>
    <n v="6025"/>
    <s v="stock "/>
  </r>
  <r>
    <x v="18"/>
    <x v="0"/>
    <n v="2"/>
    <s v="A"/>
    <x v="2"/>
    <s v="1012601POH0587/BBSTAP001240"/>
    <s v="U panel open top "/>
    <s v="85x85x90 "/>
    <x v="3"/>
    <n v="2250"/>
    <n v="1755"/>
    <n v="0.78"/>
    <n v="15110"/>
    <n v="2250"/>
    <n v="12860"/>
    <s v="stock"/>
  </r>
  <r>
    <x v="19"/>
    <x v="0"/>
    <n v="1"/>
    <s v="A"/>
    <x v="1"/>
    <s v="WERBA -04 / 90x90x120 cm "/>
    <s v="circular cross corner Top open flat bottom "/>
    <s v="90x90x120"/>
    <x v="1"/>
    <n v="650"/>
    <n v="751.4"/>
    <n v="1.1559999999999999"/>
    <n v="6025"/>
    <n v="650"/>
    <n v="5375"/>
    <s v="stock "/>
  </r>
  <r>
    <x v="19"/>
    <x v="0"/>
    <n v="2"/>
    <s v="A"/>
    <x v="2"/>
    <s v="1012601POH0587/BBSTAP001240"/>
    <s v="U panel open top "/>
    <s v="85x85x90 "/>
    <x v="3"/>
    <n v="640"/>
    <n v="499.20000000000005"/>
    <n v="0.78"/>
    <n v="4715"/>
    <n v="640"/>
    <n v="4075"/>
    <s v="stock"/>
  </r>
  <r>
    <x v="19"/>
    <x v="0"/>
    <n v="2"/>
    <s v="A"/>
    <x v="0"/>
    <s v="OBV1250047-2/1779"/>
    <s v="U+2 panel top and bottom spout "/>
    <s v="95x95x200"/>
    <x v="4"/>
    <n v="50"/>
    <n v="110.5"/>
    <n v="2.21"/>
    <n v="4715"/>
    <n v="50"/>
    <n v="4665"/>
    <s v="stock "/>
  </r>
  <r>
    <x v="20"/>
    <x v="0"/>
    <n v="1"/>
    <s v="A"/>
    <x v="1"/>
    <s v="WERBA -04 / 90x90x120 cm "/>
    <s v="circular cross corner Top open flat bottom "/>
    <s v="90x90x120"/>
    <x v="1"/>
    <n v="675"/>
    <n v="780.3"/>
    <n v="1.1559999999999999"/>
    <n v="5375"/>
    <n v="675"/>
    <n v="4700"/>
    <s v="stock "/>
  </r>
  <r>
    <x v="20"/>
    <x v="0"/>
    <n v="2"/>
    <s v="A"/>
    <x v="2"/>
    <s v="1012601POH0587/BBSTAP001240"/>
    <s v="U panel open top "/>
    <s v="85x85x90 "/>
    <x v="3"/>
    <n v="1900"/>
    <n v="1482"/>
    <n v="0.78"/>
    <n v="12860"/>
    <n v="1900"/>
    <n v="10960"/>
    <s v="stock"/>
  </r>
  <r>
    <x v="21"/>
    <x v="0"/>
    <n v="1"/>
    <s v="A"/>
    <x v="1"/>
    <s v="WERBA -04 / 90x90x120 cm "/>
    <s v="circular cross corner Top open flat bottom "/>
    <s v="90x90x120"/>
    <x v="1"/>
    <n v="600"/>
    <n v="693.59999999999991"/>
    <n v="1.1559999999999999"/>
    <n v="4700"/>
    <n v="600"/>
    <n v="4100"/>
    <s v="stock"/>
  </r>
  <r>
    <x v="21"/>
    <x v="0"/>
    <n v="2"/>
    <s v="A"/>
    <x v="2"/>
    <s v="1012601POH0587/BBSTAP001240"/>
    <s v="U panel open top "/>
    <s v="85x85x90 "/>
    <x v="3"/>
    <n v="400"/>
    <n v="312"/>
    <n v="0.78"/>
    <n v="10960"/>
    <n v="400"/>
    <n v="10560"/>
    <s v="stock"/>
  </r>
  <r>
    <x v="21"/>
    <x v="0"/>
    <n v="3"/>
    <s v="A"/>
    <x v="3"/>
    <s v="SC-20/2026"/>
    <s v="4 panel CD bags with liner "/>
    <s v="90x90x130 "/>
    <x v="5"/>
    <n v="75"/>
    <n v="208.49999999999997"/>
    <n v="2.78"/>
    <n v="150"/>
    <n v="75"/>
    <n v="75"/>
    <s v="stock"/>
  </r>
  <r>
    <x v="22"/>
    <x v="0"/>
    <n v="1"/>
    <s v="A"/>
    <x v="1"/>
    <s v="WERBA -04 / 90x90x120 cm "/>
    <s v="circular cross corner Top open flat bottom "/>
    <s v="90x90x120"/>
    <x v="1"/>
    <n v="850"/>
    <n v="985.99999999999989"/>
    <n v="1.1599999999999999"/>
    <n v="4100"/>
    <n v="850"/>
    <n v="3250"/>
    <s v="stock"/>
  </r>
  <r>
    <x v="22"/>
    <x v="0"/>
    <n v="2"/>
    <s v="A"/>
    <x v="2"/>
    <s v="1012601POH0587/BBSTAP001240"/>
    <s v="U panel open top "/>
    <s v="85x85x90 "/>
    <x v="3"/>
    <n v="1950"/>
    <n v="1521"/>
    <n v="0.78"/>
    <n v="9920"/>
    <n v="1950"/>
    <n v="7970"/>
    <s v="stock"/>
  </r>
  <r>
    <x v="22"/>
    <x v="0"/>
    <n v="3"/>
    <s v="A"/>
    <x v="4"/>
    <s v="SC-20/2025 / 90x90x130.CM"/>
    <s v="U panel TYPE C  LINER TABBING 8.POINT"/>
    <s v="90x90x130"/>
    <x v="5"/>
    <n v="75"/>
    <n v="209.25"/>
    <n v="2.79"/>
    <n v="75"/>
    <n v="75"/>
    <n v="0"/>
    <s v="stock"/>
  </r>
  <r>
    <x v="23"/>
    <x v="0"/>
    <n v="1"/>
    <s v="A"/>
    <x v="1"/>
    <s v="WERBA -04 / 90x90x120 cm "/>
    <s v="circular cross corner Top open flat bottom "/>
    <s v="90x90x120"/>
    <x v="1"/>
    <n v="950"/>
    <n v="1102"/>
    <n v="1.1599999999999999"/>
    <n v="3250"/>
    <n v="950"/>
    <n v="2300"/>
    <s v="stock"/>
  </r>
  <r>
    <x v="23"/>
    <x v="0"/>
    <n v="2"/>
    <s v="A"/>
    <x v="2"/>
    <s v="1012601POH0587/BBSTAP001240"/>
    <s v="U panel open top "/>
    <s v="85x85x90 "/>
    <x v="3"/>
    <n v="1600"/>
    <n v="1248"/>
    <n v="0.78"/>
    <n v="7970"/>
    <n v="1600"/>
    <n v="6370"/>
    <s v="stock"/>
  </r>
  <r>
    <x v="24"/>
    <x v="1"/>
    <n v="1"/>
    <s v="A"/>
    <x v="1"/>
    <s v="WERBA -04 / 90x90x120 cm "/>
    <s v="circular cross corner Top open flat bottom "/>
    <s v="90x90x120"/>
    <x v="1"/>
    <n v="2300"/>
    <n v="2668"/>
    <n v="1.1599999999999999"/>
    <n v="2300"/>
    <n v="2300"/>
    <n v="0"/>
    <s v="stock"/>
  </r>
  <r>
    <x v="24"/>
    <x v="1"/>
    <n v="2"/>
    <s v="A"/>
    <x v="2"/>
    <s v="1012601POH0587/BBSTAP001240"/>
    <s v="U panel open top "/>
    <s v="85x85x90 "/>
    <x v="3"/>
    <n v="600"/>
    <n v="468"/>
    <n v="0.78"/>
    <n v="6370"/>
    <n v="600"/>
    <n v="5770"/>
    <s v="stock"/>
  </r>
  <r>
    <x v="25"/>
    <x v="1"/>
    <n v="1"/>
    <s v="A"/>
    <x v="5"/>
    <s v="FVPL/PO/2026-00021"/>
    <s v="circular cross corner Type C"/>
    <s v="90x90x170"/>
    <x v="6"/>
    <n v="125"/>
    <n v="221.25"/>
    <n v="1.77"/>
    <n v="2000"/>
    <n v="125"/>
    <n v="1875"/>
    <s v="stock"/>
  </r>
  <r>
    <x v="25"/>
    <x v="1"/>
    <n v="2"/>
    <s v="A"/>
    <x v="2"/>
    <s v="1012601POH0587/BBSTAP001240"/>
    <s v="U panel open top "/>
    <s v="85x85x90 "/>
    <x v="3"/>
    <n v="1200"/>
    <n v="936"/>
    <n v="0.78"/>
    <n v="5770"/>
    <n v="1200"/>
    <n v="4570"/>
    <s v="stock"/>
  </r>
  <r>
    <x v="26"/>
    <x v="1"/>
    <n v="1"/>
    <s v="A"/>
    <x v="5"/>
    <s v="FVPL/PO/2026-00021"/>
    <s v="circular cross corner Type C"/>
    <s v="90x90x170"/>
    <x v="6"/>
    <n v="200"/>
    <n v="354"/>
    <n v="1.77"/>
    <n v="1875"/>
    <n v="200"/>
    <n v="1675"/>
    <s v="stock"/>
  </r>
  <r>
    <x v="26"/>
    <x v="1"/>
    <n v="2"/>
    <s v="A"/>
    <x v="2"/>
    <s v="1012601POH0587/BBSTAP001240"/>
    <s v="U panel open top "/>
    <s v="85x85x90 "/>
    <x v="3"/>
    <n v="700"/>
    <n v="546"/>
    <n v="0.78"/>
    <n v="4570"/>
    <n v="700"/>
    <n v="3870"/>
    <s v="stock"/>
  </r>
  <r>
    <x v="27"/>
    <x v="1"/>
    <n v="1"/>
    <s v="A"/>
    <x v="5"/>
    <s v="FVPL/PO/2026-00021"/>
    <s v="circular cross corner Type C"/>
    <s v="90x90x170"/>
    <x v="6"/>
    <n v="325"/>
    <n v="575.25"/>
    <n v="1.77"/>
    <n v="1675"/>
    <n v="325"/>
    <n v="1350"/>
    <s v="stock"/>
  </r>
  <r>
    <x v="27"/>
    <x v="1"/>
    <n v="2"/>
    <s v="A"/>
    <x v="2"/>
    <s v="1012601POH0587/BBSTAP001240"/>
    <s v="U panel open top "/>
    <s v="85x85x90 "/>
    <x v="3"/>
    <n v="1550"/>
    <n v="1209"/>
    <n v="0.78"/>
    <n v="3870"/>
    <n v="1550"/>
    <n v="2320"/>
    <s v="stock"/>
  </r>
  <r>
    <x v="27"/>
    <x v="1"/>
    <n v="2"/>
    <s v="A"/>
    <x v="0"/>
    <s v="OBV1250047-2/1779"/>
    <s v="U+2 panel top and bottom spout "/>
    <s v="95x95x200"/>
    <x v="4"/>
    <n v="600"/>
    <n v="1326"/>
    <n v="2.21"/>
    <n v="4665"/>
    <n v="600"/>
    <n v="4065"/>
    <s v="stock "/>
  </r>
  <r>
    <x v="28"/>
    <x v="1"/>
    <n v="1"/>
    <s v="A"/>
    <x v="5"/>
    <s v="FVPL/PO/2026-00021"/>
    <s v="circular cross corner Type C"/>
    <s v="90x90x170"/>
    <x v="6"/>
    <n v="300"/>
    <n v="531"/>
    <n v="1.77"/>
    <n v="1350"/>
    <n v="300"/>
    <n v="1050"/>
    <s v="stock"/>
  </r>
  <r>
    <x v="28"/>
    <x v="1"/>
    <n v="2"/>
    <s v="A"/>
    <x v="2"/>
    <s v="1012601POH0587/BBSTAP001240"/>
    <s v="U panel open top "/>
    <s v="85x85x90 "/>
    <x v="3"/>
    <n v="1350"/>
    <n v="1053"/>
    <n v="0.78"/>
    <n v="2320"/>
    <n v="1350"/>
    <n v="970"/>
    <s v="stock"/>
  </r>
  <r>
    <x v="28"/>
    <x v="1"/>
    <n v="2"/>
    <s v="A"/>
    <x v="0"/>
    <s v="OBV1250047-2/1779"/>
    <s v="U+2 panel top and bottom spout "/>
    <s v="95x95x200"/>
    <x v="4"/>
    <n v="250"/>
    <n v="552.5"/>
    <n v="2.21"/>
    <n v="4065"/>
    <n v="250"/>
    <n v="3815"/>
    <s v="stock "/>
  </r>
  <r>
    <x v="29"/>
    <x v="1"/>
    <n v="1"/>
    <s v="A"/>
    <x v="5"/>
    <s v="FVPL/PO/2026-00021"/>
    <s v="circular cross corner Type C"/>
    <s v="90x90x170"/>
    <x v="6"/>
    <n v="325"/>
    <n v="575.25"/>
    <n v="1.77"/>
    <n v="1050"/>
    <n v="325"/>
    <n v="725"/>
    <s v="stock"/>
  </r>
  <r>
    <x v="29"/>
    <x v="1"/>
    <n v="2"/>
    <s v="A"/>
    <x v="2"/>
    <s v="1012601POH0587/BBSTAP001240"/>
    <s v="U panel open top "/>
    <s v="85x85x90 "/>
    <x v="3"/>
    <n v="500"/>
    <n v="390"/>
    <n v="0.78"/>
    <n v="970"/>
    <n v="500"/>
    <n v="470"/>
    <s v="stock"/>
  </r>
  <r>
    <x v="29"/>
    <x v="1"/>
    <n v="2"/>
    <s v="A"/>
    <x v="0"/>
    <s v="OBV1250047-2/1779"/>
    <s v="U+2 panel top and bottom spout "/>
    <s v="95x95x200"/>
    <x v="4"/>
    <n v="670"/>
    <n v="1480.7"/>
    <n v="2.21"/>
    <n v="3815"/>
    <n v="670"/>
    <n v="3145"/>
    <s v="stock "/>
  </r>
  <r>
    <x v="30"/>
    <x v="1"/>
    <n v="1"/>
    <s v="A"/>
    <x v="5"/>
    <s v="FVPL/PO/2026-00021"/>
    <s v="circular cross corner Type C"/>
    <s v="90x90x170"/>
    <x v="6"/>
    <n v="275"/>
    <n v="486.75"/>
    <n v="1.77"/>
    <n v="725"/>
    <n v="275"/>
    <n v="450"/>
    <s v="stock"/>
  </r>
  <r>
    <x v="30"/>
    <x v="1"/>
    <n v="2"/>
    <s v="A"/>
    <x v="2"/>
    <s v="1012601POH0587/BBSTAP001240"/>
    <s v="U panel open top "/>
    <s v="85x85x90 "/>
    <x v="3"/>
    <n v="470"/>
    <n v="366.6"/>
    <n v="0.78"/>
    <n v="470"/>
    <n v="470"/>
    <n v="0"/>
    <s v="stock"/>
  </r>
  <r>
    <x v="30"/>
    <x v="1"/>
    <n v="2"/>
    <s v="A"/>
    <x v="0"/>
    <s v="OBV1250047-2/1779"/>
    <s v="U+2 panel top and bottom spout "/>
    <s v="95x95x200"/>
    <x v="4"/>
    <n v="475"/>
    <n v="1049.75"/>
    <n v="2.21"/>
    <n v="3145"/>
    <n v="475"/>
    <n v="2670"/>
    <s v="stock "/>
  </r>
  <r>
    <x v="31"/>
    <x v="1"/>
    <n v="1"/>
    <s v="A"/>
    <x v="5"/>
    <s v="FVPL/PO/2026-00021"/>
    <s v="circular cross corner Type C"/>
    <s v="90x90x170"/>
    <x v="6"/>
    <n v="350"/>
    <n v="619.5"/>
    <n v="1.77"/>
    <n v="450"/>
    <n v="350"/>
    <n v="100"/>
    <s v="stock"/>
  </r>
  <r>
    <x v="31"/>
    <x v="1"/>
    <n v="2"/>
    <s v="A"/>
    <x v="6"/>
    <s v="FIBCO/PO/2026/0035/JBPL/CIR/113H (TM479A)"/>
    <s v="circular cross corner "/>
    <s v="100X100X120"/>
    <x v="7"/>
    <n v="300"/>
    <n v="583.5"/>
    <n v="1.9450000000000001"/>
    <n v="2000"/>
    <n v="300"/>
    <n v="1700"/>
    <s v="stock"/>
  </r>
  <r>
    <x v="31"/>
    <x v="1"/>
    <n v="2"/>
    <s v="A"/>
    <x v="0"/>
    <s v="OBV1250047-2/1779"/>
    <s v="U+2 panel top and bottom spout "/>
    <s v="95x95x200"/>
    <x v="4"/>
    <n v="750"/>
    <n v="1657.5"/>
    <n v="2.21"/>
    <n v="2670"/>
    <n v="750"/>
    <n v="1920"/>
    <s v="stock "/>
  </r>
  <r>
    <x v="32"/>
    <x v="1"/>
    <n v="1"/>
    <s v="A"/>
    <x v="7"/>
    <s v="29437/1112"/>
    <s v="U panel with inner liner "/>
    <s v="80x80x90"/>
    <x v="8"/>
    <n v="400"/>
    <n v="612"/>
    <n v="1.53"/>
    <n v="5060"/>
    <n v="400"/>
    <n v="4660"/>
    <s v="stock"/>
  </r>
  <r>
    <x v="32"/>
    <x v="1"/>
    <n v="2"/>
    <s v="A"/>
    <x v="6"/>
    <s v="FIBCO/PO/2026/0035/JBPL/CIR/113H (TM479A)"/>
    <s v="circular cross corner "/>
    <s v="100X100X120"/>
    <x v="7"/>
    <n v="650"/>
    <n v="1264.25"/>
    <n v="1.9450000000000001"/>
    <n v="1700"/>
    <n v="650"/>
    <n v="1050"/>
    <s v="stock"/>
  </r>
  <r>
    <x v="32"/>
    <x v="1"/>
    <n v="2"/>
    <s v="A"/>
    <x v="0"/>
    <s v="OBV1250047-2/1779"/>
    <s v="U+2 panel top and bottom spout "/>
    <s v="95x95x200"/>
    <x v="4"/>
    <n v="425"/>
    <n v="939.25"/>
    <n v="2.21"/>
    <n v="1920"/>
    <n v="425"/>
    <n v="1495"/>
    <s v="stock "/>
  </r>
  <r>
    <x v="33"/>
    <x v="1"/>
    <n v="1"/>
    <s v="A"/>
    <x v="7"/>
    <s v="29437/1112"/>
    <s v="U panel with inner liner "/>
    <s v="80x80x90"/>
    <x v="8"/>
    <n v="1050"/>
    <n v="1606.5"/>
    <n v="1.53"/>
    <n v="4660"/>
    <n v="1050"/>
    <n v="3610"/>
    <s v="stock"/>
  </r>
  <r>
    <x v="33"/>
    <x v="1"/>
    <n v="2"/>
    <s v="A"/>
    <x v="6"/>
    <s v="FIBCO/PO/2026/0035/JBPL/CIR/113H (TM479A)"/>
    <s v="circular cross corner "/>
    <s v="100X100X120"/>
    <x v="7"/>
    <n v="750"/>
    <n v="1458.75"/>
    <n v="1.9450000000000001"/>
    <n v="1050"/>
    <n v="750"/>
    <n v="300"/>
    <s v="stock"/>
  </r>
  <r>
    <x v="33"/>
    <x v="1"/>
    <n v="2"/>
    <s v="A"/>
    <x v="0"/>
    <s v="OBV1250047-2/1779"/>
    <s v="U+2 panel top and bottom spout "/>
    <s v="95x95x200"/>
    <x v="4"/>
    <n v="125"/>
    <n v="276.25"/>
    <n v="2.21"/>
    <n v="1495"/>
    <n v="125"/>
    <n v="1370"/>
    <s v="stock "/>
  </r>
  <r>
    <x v="34"/>
    <x v="1"/>
    <n v="1"/>
    <s v="A"/>
    <x v="7"/>
    <s v="29437/1112"/>
    <s v="U panel with inner liner "/>
    <s v="80x80x90"/>
    <x v="8"/>
    <n v="1200"/>
    <n v="1836"/>
    <n v="1.53"/>
    <n v="3610"/>
    <n v="1200"/>
    <n v="2410"/>
    <s v="stock"/>
  </r>
  <r>
    <x v="34"/>
    <x v="1"/>
    <n v="2"/>
    <s v="A"/>
    <x v="6"/>
    <s v="FIBCO/PO/2026/0035/JBPL/CIR/113H (TM479A)"/>
    <s v="circular cross corner "/>
    <s v="100X100X120"/>
    <x v="7"/>
    <n v="300"/>
    <n v="583.5"/>
    <n v="1.9450000000000001"/>
    <n v="300"/>
    <n v="300"/>
    <n v="0"/>
    <s v="stock"/>
  </r>
  <r>
    <x v="34"/>
    <x v="1"/>
    <n v="2"/>
    <s v="A"/>
    <x v="6"/>
    <s v="FIBCO/PO/2026/0035/JBPL/CIR/113H (TM 580)"/>
    <s v="circular cross corner "/>
    <s v="100X100X120"/>
    <x v="9"/>
    <n v="500"/>
    <n v="972.5"/>
    <n v="1.9450000000000001"/>
    <n v="2000"/>
    <n v="500"/>
    <n v="1500"/>
    <s v="stock"/>
  </r>
  <r>
    <x v="35"/>
    <x v="1"/>
    <n v="1"/>
    <s v="A"/>
    <x v="7"/>
    <s v="29437/1112"/>
    <s v="U panel with inner liner "/>
    <s v="80x80x90"/>
    <x v="8"/>
    <n v="850"/>
    <n v="1300.5"/>
    <n v="1.53"/>
    <n v="2410"/>
    <n v="850"/>
    <n v="1560"/>
    <m/>
  </r>
  <r>
    <x v="35"/>
    <x v="1"/>
    <n v="2"/>
    <s v="A"/>
    <x v="6"/>
    <s v="FIBCO/PO/2026/0035/JBPL/CIR/113H (TM 580)"/>
    <s v="circular cross corner "/>
    <s v="100X100X120"/>
    <x v="9"/>
    <n v="700"/>
    <n v="1361.5"/>
    <n v="1.9450000000000001"/>
    <n v="1500"/>
    <n v="700"/>
    <n v="800"/>
    <m/>
  </r>
  <r>
    <x v="36"/>
    <x v="1"/>
    <n v="1"/>
    <s v="A"/>
    <x v="6"/>
    <s v="FIBCO/PO/2026/0035/JBPL/CIR/113H (TM 580)"/>
    <s v="circular cross corner "/>
    <s v="100X100X120"/>
    <x v="9"/>
    <n v="400"/>
    <n v="778"/>
    <n v="1.9450000000000001"/>
    <n v="800"/>
    <n v="400"/>
    <n v="400"/>
    <m/>
  </r>
  <r>
    <x v="36"/>
    <x v="1"/>
    <n v="2"/>
    <s v="A"/>
    <x v="0"/>
    <s v="OBV1260005/3705"/>
    <s v="U+2 panel top and bottom spout "/>
    <s v="90x90x100"/>
    <x v="10"/>
    <n v="850"/>
    <n v="1037"/>
    <n v="1.22"/>
    <n v="4200"/>
    <n v="850"/>
    <n v="3350"/>
    <m/>
  </r>
  <r>
    <x v="37"/>
    <x v="1"/>
    <n v="1"/>
    <s v="A"/>
    <x v="0"/>
    <s v="OBV1260005/3705"/>
    <s v="U+2 panel top and bottom spout "/>
    <s v="90x90x100"/>
    <x v="10"/>
    <n v="1450"/>
    <n v="1769"/>
    <n v="1.22"/>
    <n v="3350"/>
    <n v="1450"/>
    <n v="1900"/>
    <m/>
  </r>
  <r>
    <x v="37"/>
    <x v="1"/>
    <n v="1"/>
    <s v="A"/>
    <x v="0"/>
    <s v="OBV1260005/3705"/>
    <s v="U+2 panel top and bottom spout "/>
    <s v="90x90x100"/>
    <x v="10"/>
    <n v="1425"/>
    <n v="1738.5"/>
    <n v="1.22"/>
    <n v="1900"/>
    <n v="1425"/>
    <n v="475"/>
    <m/>
  </r>
  <r>
    <x v="38"/>
    <x v="1"/>
    <n v="1"/>
    <s v="A"/>
    <x v="0"/>
    <s v="OBV1260005/3705"/>
    <s v="U+2 panel top and bottom spout "/>
    <s v="90x90x100"/>
    <x v="10"/>
    <n v="350"/>
    <n v="427"/>
    <n v="1.22"/>
    <n v="475"/>
    <n v="350"/>
    <n v="125"/>
    <m/>
  </r>
  <r>
    <x v="38"/>
    <x v="1"/>
    <n v="1"/>
    <s v="A"/>
    <x v="6"/>
    <s v="FIBCO/PO/2026/0035/JBPL/CIR/113H (TM 580)"/>
    <s v="circular cross corner "/>
    <s v="100X100X120"/>
    <x v="9"/>
    <n v="300"/>
    <n v="583.5"/>
    <n v="1.9450000000000001"/>
    <n v="400"/>
    <n v="300"/>
    <n v="100"/>
    <m/>
  </r>
  <r>
    <x v="38"/>
    <x v="1"/>
    <n v="1"/>
    <s v="A"/>
    <x v="7"/>
    <s v="29437/1112"/>
    <s v="U panel with inner liner "/>
    <s v="80x80x90"/>
    <x v="8"/>
    <n v="950"/>
    <n v="1453.5"/>
    <n v="1.53"/>
    <n v="1560"/>
    <n v="950"/>
    <n v="610"/>
    <m/>
  </r>
  <r>
    <x v="39"/>
    <x v="1"/>
    <n v="1"/>
    <s v="A"/>
    <x v="0"/>
    <s v="OBV1260005/3705"/>
    <s v="U+2 panel top and bottom spout "/>
    <s v="90x90x100"/>
    <x v="10"/>
    <n v="125"/>
    <n v="152.5"/>
    <n v="1.22"/>
    <n v="125"/>
    <n v="125"/>
    <n v="0"/>
    <m/>
  </r>
  <r>
    <x v="39"/>
    <x v="1"/>
    <n v="1"/>
    <s v="A"/>
    <x v="6"/>
    <s v="FIBCO/PO/2026/0035/JBPL/CIR/113H (TM 580)"/>
    <s v="circular cross corner "/>
    <s v="100X100X120"/>
    <x v="9"/>
    <n v="100"/>
    <n v="194.5"/>
    <n v="1.9450000000000001"/>
    <n v="100"/>
    <n v="100"/>
    <n v="0"/>
    <m/>
  </r>
  <r>
    <x v="39"/>
    <x v="1"/>
    <n v="1"/>
    <s v="A"/>
    <x v="7"/>
    <s v="29437/1112"/>
    <s v="U panel with inner liner "/>
    <s v="80x80x90"/>
    <x v="8"/>
    <n v="475"/>
    <n v="726.75"/>
    <n v="1.53"/>
    <n v="610"/>
    <n v="475"/>
    <n v="135"/>
    <m/>
  </r>
  <r>
    <x v="39"/>
    <x v="1"/>
    <n v="2"/>
    <s v="A"/>
    <x v="0"/>
    <s v="OBV1250047-2/1779"/>
    <s v="U+2 panel top and bottom spout "/>
    <s v="95x95x200"/>
    <x v="4"/>
    <n v="700"/>
    <n v="1547"/>
    <n v="2.21"/>
    <n v="1370"/>
    <n v="700"/>
    <n v="670"/>
    <m/>
  </r>
  <r>
    <x v="40"/>
    <x v="1"/>
    <n v="2"/>
    <s v="A"/>
    <x v="0"/>
    <s v="OBV1250047-2/1779"/>
    <s v="U+2 panel top and bottom spout "/>
    <s v="95x95x200"/>
    <x v="4"/>
    <n v="670"/>
    <n v="1480.7"/>
    <n v="2.21"/>
    <n v="670"/>
    <n v="670"/>
    <n v="0"/>
    <m/>
  </r>
  <r>
    <x v="41"/>
    <x v="1"/>
    <n v="2"/>
    <s v="A"/>
    <x v="0"/>
    <s v="OBV1250047-2/1777"/>
    <s v="U+2 panel top and bottom spout "/>
    <s v="95x95x170"/>
    <x v="11"/>
    <n v="375"/>
    <n v="701.25"/>
    <n v="1.87"/>
    <n v="5760"/>
    <n v="375"/>
    <n v="5385"/>
    <m/>
  </r>
  <r>
    <x v="42"/>
    <x v="1"/>
    <n v="2"/>
    <s v="A"/>
    <x v="8"/>
    <s v="PST-26002/SN21U40P-01"/>
    <s v="U+2 panel"/>
    <s v="95x95x110"/>
    <x v="12"/>
    <n v="2750"/>
    <n v="3698.75"/>
    <n v="1.345"/>
    <n v="14400"/>
    <n v="2750"/>
    <n v="11650"/>
    <m/>
  </r>
  <r>
    <x v="43"/>
    <x v="1"/>
    <n v="2"/>
    <s v="A"/>
    <x v="8"/>
    <s v="PST-26002/SN21U40P-01"/>
    <s v="U+2 panel"/>
    <s v="95x95x110"/>
    <x v="12"/>
    <n v="2760"/>
    <n v="3712.2"/>
    <n v="1.345"/>
    <n v="11650"/>
    <n v="2760"/>
    <n v="8890"/>
    <m/>
  </r>
  <r>
    <x v="44"/>
    <x v="1"/>
    <n v="2"/>
    <s v="A"/>
    <x v="8"/>
    <s v="PST-26002/SN21U40P-01"/>
    <s v="U+2 panel"/>
    <s v="95x95x110"/>
    <x v="12"/>
    <n v="1550"/>
    <n v="2084.75"/>
    <n v="1.345"/>
    <n v="8890"/>
    <n v="1550"/>
    <n v="7340"/>
    <m/>
  </r>
  <r>
    <x v="45"/>
    <x v="1"/>
    <n v="1"/>
    <s v="A"/>
    <x v="8"/>
    <s v="PST-26002/SN21U40P-01"/>
    <s v="U+2 panel"/>
    <s v="95x95x110"/>
    <x v="12"/>
    <n v="75"/>
    <n v="100.875"/>
    <n v="1.345"/>
    <n v="7340"/>
    <n v="75"/>
    <n v="7265"/>
    <m/>
  </r>
  <r>
    <x v="45"/>
    <x v="1"/>
    <n v="1"/>
    <s v="A"/>
    <x v="0"/>
    <s v="OBV1250047-2/1777"/>
    <s v="U+2 panel top and bottom spout "/>
    <s v="95x95x170"/>
    <x v="11"/>
    <n v="650"/>
    <n v="1215.5"/>
    <n v="1.87"/>
    <n v="5385"/>
    <n v="650"/>
    <n v="4735"/>
    <m/>
  </r>
  <r>
    <x v="45"/>
    <x v="1"/>
    <n v="1"/>
    <s v="A"/>
    <x v="7"/>
    <s v="29437/AG937R2"/>
    <s v="U+2 panel"/>
    <s v="95x95x110"/>
    <x v="13"/>
    <n v="600"/>
    <n v="1032"/>
    <n v="1.72"/>
    <n v="2000"/>
    <n v="600"/>
    <n v="1400"/>
    <m/>
  </r>
  <r>
    <x v="45"/>
    <x v="1"/>
    <n v="2"/>
    <s v="A"/>
    <x v="9"/>
    <s v="162600119/16005411"/>
    <s v="Drum waste bag "/>
    <s v="93X93X274"/>
    <x v="14"/>
    <n v="25"/>
    <n v="125.25"/>
    <n v="5.01"/>
    <n v="350"/>
    <n v="25"/>
    <n v="325"/>
    <m/>
  </r>
  <r>
    <x v="46"/>
    <x v="2"/>
    <n v="1"/>
    <s v="A"/>
    <x v="0"/>
    <s v="OBV1250047-2/1777"/>
    <s v="U+2 panel top and bottom spout "/>
    <s v="95x95x170"/>
    <x v="11"/>
    <n v="600"/>
    <n v="1122"/>
    <n v="1.87"/>
    <n v="4735"/>
    <n v="600"/>
    <n v="4135"/>
    <m/>
  </r>
  <r>
    <x v="46"/>
    <x v="2"/>
    <n v="1"/>
    <s v="A"/>
    <x v="7"/>
    <s v="29437/AG937R2"/>
    <s v="U+2 panel"/>
    <s v="95x95x110"/>
    <x v="13"/>
    <n v="550"/>
    <n v="946"/>
    <n v="1.72"/>
    <n v="1400"/>
    <n v="550"/>
    <n v="850"/>
    <m/>
  </r>
  <r>
    <x v="46"/>
    <x v="2"/>
    <n v="2"/>
    <s v="A"/>
    <x v="9"/>
    <s v="162600119/16005411"/>
    <s v="Drum waste bag "/>
    <s v="93X93X274"/>
    <x v="14"/>
    <n v="70"/>
    <n v="350.7"/>
    <n v="5.01"/>
    <n v="325"/>
    <n v="70"/>
    <n v="255"/>
    <m/>
  </r>
  <r>
    <x v="46"/>
    <x v="2"/>
    <n v="1"/>
    <s v="A"/>
    <x v="8"/>
    <s v="PST-26002/SN21U40P-01"/>
    <s v="U+2 panel"/>
    <s v="95x95x110"/>
    <x v="12"/>
    <n v="370"/>
    <n v="497.65"/>
    <n v="1.345"/>
    <n v="7265"/>
    <n v="370"/>
    <n v="6895"/>
    <m/>
  </r>
  <r>
    <x v="47"/>
    <x v="2"/>
    <n v="1"/>
    <s v="A"/>
    <x v="9"/>
    <s v="162600119/16005411"/>
    <s v="Drum waste bag "/>
    <s v="93X93X274"/>
    <x v="14"/>
    <n v="80"/>
    <n v="400.79999999999995"/>
    <n v="5.01"/>
    <n v="255"/>
    <n v="80"/>
    <n v="175"/>
    <m/>
  </r>
  <r>
    <x v="47"/>
    <x v="2"/>
    <n v="2"/>
    <s v="A"/>
    <x v="8"/>
    <s v="PST-26002/SN21U40P-01"/>
    <s v="U+2 panel"/>
    <s v="95x95x110"/>
    <x v="12"/>
    <n v="1975"/>
    <n v="2656.375"/>
    <n v="1.345"/>
    <n v="6895"/>
    <n v="1975"/>
    <n v="4920"/>
    <m/>
  </r>
  <r>
    <x v="48"/>
    <x v="2"/>
    <n v="1"/>
    <s v="A"/>
    <x v="9"/>
    <s v="162600119/16005411"/>
    <s v="Drum waste bag "/>
    <s v="93X93X274"/>
    <x v="14"/>
    <n v="100"/>
    <n v="501"/>
    <n v="5.01"/>
    <n v="175"/>
    <n v="100"/>
    <n v="75"/>
    <m/>
  </r>
  <r>
    <x v="48"/>
    <x v="2"/>
    <n v="2"/>
    <s v="A"/>
    <x v="8"/>
    <s v="PST-26002/SN21U40P-01"/>
    <s v="U+2 panel"/>
    <s v="95x95x110"/>
    <x v="12"/>
    <n v="1150"/>
    <n v="1546.75"/>
    <n v="1.345"/>
    <n v="4920"/>
    <n v="1150"/>
    <n v="3770"/>
    <m/>
  </r>
  <r>
    <x v="48"/>
    <x v="2"/>
    <n v="1"/>
    <s v="A"/>
    <x v="0"/>
    <s v="OBV1250047-2/1777"/>
    <s v="U+2 panel top and bottom spout "/>
    <s v="95x95x170"/>
    <x v="11"/>
    <n v="300"/>
    <n v="561"/>
    <n v="1.87"/>
    <n v="4135"/>
    <n v="300"/>
    <n v="3835"/>
    <m/>
  </r>
  <r>
    <x v="48"/>
    <x v="2"/>
    <n v="1"/>
    <s v="A"/>
    <x v="7"/>
    <s v="29437/AG937R2"/>
    <s v="U+2 panel"/>
    <s v="95x95x110"/>
    <x v="13"/>
    <n v="300"/>
    <n v="516"/>
    <n v="1.72"/>
    <n v="850"/>
    <n v="300"/>
    <n v="550"/>
    <m/>
  </r>
  <r>
    <x v="49"/>
    <x v="2"/>
    <n v="1"/>
    <s v="A"/>
    <x v="9"/>
    <s v="162600119/16005411"/>
    <s v="Drum waste bag "/>
    <s v="93X93X274"/>
    <x v="14"/>
    <n v="75"/>
    <n v="375.75"/>
    <n v="5.01"/>
    <n v="75"/>
    <n v="75"/>
    <n v="0"/>
    <m/>
  </r>
  <r>
    <x v="49"/>
    <x v="2"/>
    <n v="1"/>
    <s v="A"/>
    <x v="9"/>
    <s v="162600119/16005541"/>
    <s v="Drum waste bag "/>
    <s v="79X131X294"/>
    <x v="15"/>
    <n v="30"/>
    <n v="183.6"/>
    <n v="6.12"/>
    <n v="1020"/>
    <n v="30"/>
    <n v="990"/>
    <m/>
  </r>
  <r>
    <x v="49"/>
    <x v="2"/>
    <n v="2"/>
    <s v="A"/>
    <x v="8"/>
    <s v="PST-26002/SN21U40P-01"/>
    <s v="U+2 panel"/>
    <s v="95x95x110"/>
    <x v="12"/>
    <n v="1200"/>
    <n v="1614"/>
    <n v="1.345"/>
    <n v="3770"/>
    <n v="1200"/>
    <n v="2570"/>
    <m/>
  </r>
  <r>
    <x v="49"/>
    <x v="2"/>
    <n v="1"/>
    <s v="A"/>
    <x v="0"/>
    <s v="OBV1250047-2/1777"/>
    <s v="U+2 panel top and bottom spout "/>
    <s v="95x95x170"/>
    <x v="11"/>
    <n v="775"/>
    <n v="1449.25"/>
    <n v="1.87"/>
    <n v="3835"/>
    <n v="775"/>
    <n v="3060"/>
    <m/>
  </r>
  <r>
    <x v="50"/>
    <x v="2"/>
    <n v="1"/>
    <s v="A"/>
    <x v="9"/>
    <s v="162600119/16005541"/>
    <s v="Drum waste bag "/>
    <s v="79X131X294"/>
    <x v="15"/>
    <n v="100"/>
    <n v="612"/>
    <n v="6.12"/>
    <n v="990"/>
    <n v="100"/>
    <n v="890"/>
    <m/>
  </r>
  <r>
    <x v="50"/>
    <x v="2"/>
    <n v="2"/>
    <s v="A"/>
    <x v="8"/>
    <s v="PST-26002/SN21U40P-01"/>
    <s v="U+2 panel"/>
    <s v="95x95x110"/>
    <x v="12"/>
    <n v="1000"/>
    <n v="1345"/>
    <n v="1.345"/>
    <n v="2570"/>
    <n v="1000"/>
    <n v="1570"/>
    <m/>
  </r>
  <r>
    <x v="50"/>
    <x v="2"/>
    <n v="1"/>
    <s v="A"/>
    <x v="0"/>
    <s v="OBV1250047-2/1777"/>
    <s v="U+2 panel top and bottom spout "/>
    <s v="95x95x170"/>
    <x v="11"/>
    <n v="725"/>
    <n v="1355.75"/>
    <n v="1.87"/>
    <n v="3060"/>
    <n v="725"/>
    <n v="2335"/>
    <m/>
  </r>
  <r>
    <x v="51"/>
    <x v="2"/>
    <n v="1"/>
    <s v="A"/>
    <x v="9"/>
    <s v="162600119/16005541"/>
    <s v="Drum waste bag "/>
    <s v="79X131X294"/>
    <x v="15"/>
    <n v="110"/>
    <n v="673.2"/>
    <n v="6.12"/>
    <n v="890"/>
    <n v="110"/>
    <n v="780"/>
    <m/>
  </r>
  <r>
    <x v="51"/>
    <x v="2"/>
    <n v="2"/>
    <s v="A"/>
    <x v="0"/>
    <s v="OBV1250047-2/1777"/>
    <s v="U+2 panel top and bottom spout "/>
    <s v="95x95x170"/>
    <x v="11"/>
    <n v="900"/>
    <n v="1683"/>
    <n v="1.87"/>
    <n v="2335"/>
    <n v="900"/>
    <n v="1435"/>
    <m/>
  </r>
  <r>
    <x v="51"/>
    <x v="2"/>
    <n v="1"/>
    <s v="A"/>
    <x v="7"/>
    <s v="29437/AG937R2"/>
    <s v="U+2 panel"/>
    <s v="95x95x110"/>
    <x v="13"/>
    <n v="450"/>
    <n v="774"/>
    <n v="1.72"/>
    <n v="550"/>
    <n v="450"/>
    <n v="100"/>
    <m/>
  </r>
  <r>
    <x v="52"/>
    <x v="2"/>
    <n v="1"/>
    <s v="A"/>
    <x v="9"/>
    <s v="162600119/16005541"/>
    <s v="Drum waste bag "/>
    <s v="79X131X294"/>
    <x v="15"/>
    <n v="120"/>
    <n v="734.4"/>
    <n v="6.12"/>
    <n v="780"/>
    <n v="120"/>
    <n v="660"/>
    <m/>
  </r>
  <r>
    <x v="52"/>
    <x v="2"/>
    <n v="2"/>
    <s v="A"/>
    <x v="0"/>
    <s v="OBV1250047-2/1777"/>
    <s v="U+2 panel top and bottom spout "/>
    <s v="95x95x170"/>
    <x v="11"/>
    <n v="1125"/>
    <n v="2103.75"/>
    <n v="1.87"/>
    <n v="1435"/>
    <n v="1125"/>
    <n v="310"/>
    <m/>
  </r>
  <r>
    <x v="52"/>
    <x v="2"/>
    <n v="1"/>
    <s v="A"/>
    <x v="7"/>
    <s v="29437/1112"/>
    <s v="U panel with inner liner "/>
    <s v="80x80x90"/>
    <x v="8"/>
    <n v="135"/>
    <n v="206.55"/>
    <n v="1.53"/>
    <n v="135"/>
    <n v="135"/>
    <n v="0"/>
    <m/>
  </r>
  <r>
    <x v="53"/>
    <x v="2"/>
    <n v="1"/>
    <s v="A"/>
    <x v="9"/>
    <s v="162600119/16005541"/>
    <s v="Drum waste bag "/>
    <s v="79X131X294"/>
    <x v="15"/>
    <n v="120"/>
    <n v="734.4"/>
    <n v="6.12"/>
    <n v="660"/>
    <n v="120"/>
    <n v="540"/>
    <m/>
  </r>
  <r>
    <x v="53"/>
    <x v="2"/>
    <n v="2"/>
    <s v="A"/>
    <x v="0"/>
    <s v="OBV1250047-2/1777"/>
    <s v="U+2 panel top and bottom spout "/>
    <s v="95x95x170"/>
    <x v="11"/>
    <n v="310"/>
    <n v="579.70000000000005"/>
    <n v="1.87"/>
    <n v="310"/>
    <n v="310"/>
    <n v="0"/>
    <m/>
  </r>
  <r>
    <x v="53"/>
    <x v="2"/>
    <n v="2"/>
    <s v="A"/>
    <x v="0"/>
    <s v="OBV1250047-3/1777"/>
    <s v="U+2 panel top and bottom spout "/>
    <s v="95x95x170"/>
    <x v="16"/>
    <n v="775"/>
    <n v="1449.25"/>
    <n v="1.87"/>
    <n v="5760"/>
    <n v="775"/>
    <n v="4985"/>
    <m/>
  </r>
  <r>
    <x v="54"/>
    <x v="2"/>
    <n v="1"/>
    <s v="A"/>
    <x v="9"/>
    <s v="162600119/16005541"/>
    <s v="Drum waste bag "/>
    <s v="79X131X294"/>
    <x v="15"/>
    <n v="120"/>
    <n v="734.4"/>
    <n v="6.12"/>
    <n v="540"/>
    <n v="120"/>
    <n v="420"/>
    <m/>
  </r>
  <r>
    <x v="54"/>
    <x v="2"/>
    <n v="2"/>
    <s v="A"/>
    <x v="0"/>
    <s v="OBV1250047-3/1777"/>
    <s v="U+2 panel top and bottom spout "/>
    <s v="95x95x170"/>
    <x v="16"/>
    <n v="200"/>
    <n v="374"/>
    <n v="1.87"/>
    <n v="4985"/>
    <n v="200"/>
    <n v="4785"/>
    <m/>
  </r>
  <r>
    <x v="54"/>
    <x v="2"/>
    <n v="2"/>
    <s v="A"/>
    <x v="8"/>
    <s v="PST-26002/SN21U40P-01"/>
    <s v="U+2 panel"/>
    <s v="95x95x110"/>
    <x v="12"/>
    <n v="1570"/>
    <n v="2111.65"/>
    <n v="1.345"/>
    <n v="1570"/>
    <n v="1570"/>
    <n v="0"/>
    <m/>
  </r>
  <r>
    <x v="55"/>
    <x v="2"/>
    <n v="2"/>
    <s v="A"/>
    <x v="8"/>
    <s v="PST-26002/SN21U40P-01"/>
    <s v="U+2 panel"/>
    <s v="95x95x110"/>
    <x v="12"/>
    <n v="2400"/>
    <n v="3228"/>
    <n v="1.345"/>
    <n v="2400"/>
    <n v="2400"/>
    <n v="0"/>
    <m/>
  </r>
  <r>
    <x v="55"/>
    <x v="2"/>
    <n v="2"/>
    <s v="A"/>
    <x v="0"/>
    <s v="OBV1250047-3/1777"/>
    <s v="U+2 panel top and bottom spout "/>
    <s v="95x95x170"/>
    <x v="16"/>
    <n v="50"/>
    <n v="93.5"/>
    <n v="1.87"/>
    <n v="4785"/>
    <n v="50"/>
    <n v="4735"/>
    <m/>
  </r>
  <r>
    <x v="56"/>
    <x v="2"/>
    <n v="2"/>
    <s v="A"/>
    <x v="0"/>
    <s v="OBV1250047-3/1777"/>
    <s v="U+2 panel top and bottom spout "/>
    <s v="95x95x170"/>
    <x v="16"/>
    <n v="625"/>
    <n v="1168.75"/>
    <n v="1.87"/>
    <n v="4735"/>
    <n v="625"/>
    <n v="4110"/>
    <m/>
  </r>
  <r>
    <x v="56"/>
    <x v="2"/>
    <n v="2"/>
    <s v="A"/>
    <x v="0"/>
    <s v="OBV1250047-3/1779"/>
    <s v="U+2 panel top and bottom spout "/>
    <s v="95x95x170"/>
    <x v="17"/>
    <n v="260"/>
    <n v="577.20000000000005"/>
    <n v="2.2200000000000002"/>
    <n v="5040"/>
    <n v="260"/>
    <n v="4780"/>
    <m/>
  </r>
  <r>
    <x v="56"/>
    <x v="2"/>
    <n v="1"/>
    <s v="A"/>
    <x v="9"/>
    <s v="162600119/16005541"/>
    <s v="Drum waste bag "/>
    <s v="79X131X294"/>
    <x v="15"/>
    <n v="100"/>
    <n v="612"/>
    <n v="6.12"/>
    <n v="420"/>
    <n v="100"/>
    <n v="320"/>
    <m/>
  </r>
  <r>
    <x v="56"/>
    <x v="2"/>
    <n v="1"/>
    <s v="A"/>
    <x v="10"/>
    <s v="50263/DAJU091110CABD070TUBULARLOOPS45"/>
    <s v="U+2 panel"/>
    <s v="91X91X110"/>
    <x v="18"/>
    <n v="100"/>
    <n v="146"/>
    <n v="1.46"/>
    <n v="3000"/>
    <n v="100"/>
    <n v="2900"/>
    <m/>
  </r>
  <r>
    <x v="57"/>
    <x v="2"/>
    <n v="2"/>
    <s v="A"/>
    <x v="0"/>
    <s v="OBV1250047-3/1779"/>
    <s v="U+2 panel top and bottom spout "/>
    <s v="95x95x170"/>
    <x v="17"/>
    <n v="845"/>
    <n v="1875.9"/>
    <n v="2.2200000000000002"/>
    <n v="4780"/>
    <n v="845"/>
    <n v="3935"/>
    <m/>
  </r>
  <r>
    <x v="57"/>
    <x v="2"/>
    <n v="1"/>
    <s v="A"/>
    <x v="9"/>
    <s v="162600119/16005541"/>
    <s v="Drum waste bag "/>
    <s v="79X131X294"/>
    <x v="15"/>
    <n v="105"/>
    <n v="642.6"/>
    <n v="6.12"/>
    <n v="320"/>
    <n v="105"/>
    <n v="215"/>
    <m/>
  </r>
  <r>
    <x v="57"/>
    <x v="2"/>
    <n v="1"/>
    <s v="A"/>
    <x v="10"/>
    <s v="50263/DAJU091110CABD070TUBULARLOOPS45"/>
    <s v="U+2 panel"/>
    <s v="91X91X110"/>
    <x v="18"/>
    <n v="350"/>
    <n v="511"/>
    <n v="1.46"/>
    <n v="2900"/>
    <n v="350"/>
    <n v="2550"/>
    <m/>
  </r>
  <r>
    <x v="58"/>
    <x v="2"/>
    <n v="2"/>
    <s v="A"/>
    <x v="0"/>
    <s v="OBV1250047-3/1779"/>
    <s v="U+2 panel top and bottom spout "/>
    <s v="95x95x170"/>
    <x v="17"/>
    <n v="400"/>
    <n v="888.00000000000011"/>
    <n v="2.2200000000000002"/>
    <n v="3935"/>
    <n v="400"/>
    <n v="3535"/>
    <m/>
  </r>
  <r>
    <x v="58"/>
    <x v="2"/>
    <n v="1"/>
    <s v="A"/>
    <x v="9"/>
    <s v="162600119/16005541"/>
    <s v="Drum waste bag "/>
    <s v="79X131X294"/>
    <x v="15"/>
    <n v="135"/>
    <n v="826.2"/>
    <n v="6.12"/>
    <n v="215"/>
    <n v="135"/>
    <n v="80"/>
    <m/>
  </r>
  <r>
    <x v="58"/>
    <x v="2"/>
    <n v="1"/>
    <s v="A"/>
    <x v="10"/>
    <s v="50263/DAJU091110CABD070TUBULARLOOPS45"/>
    <s v="U+2 panel"/>
    <s v="91X91X110"/>
    <x v="18"/>
    <n v="250"/>
    <n v="365"/>
    <n v="1.46"/>
    <n v="2550"/>
    <n v="250"/>
    <n v="2300"/>
    <m/>
  </r>
  <r>
    <x v="58"/>
    <x v="2"/>
    <n v="1"/>
    <s v="A"/>
    <x v="7"/>
    <s v="29437/AG936"/>
    <s v="U+2 panel"/>
    <s v="60X60X70"/>
    <x v="19"/>
    <n v="650"/>
    <n v="442.00000000000006"/>
    <n v="0.68"/>
    <n v="4800"/>
    <n v="650"/>
    <n v="4150"/>
    <m/>
  </r>
  <r>
    <x v="59"/>
    <x v="2"/>
    <n v="1"/>
    <s v="A"/>
    <x v="9"/>
    <s v="162600119/16005541"/>
    <s v="Drum waste bag "/>
    <s v="79X131X294"/>
    <x v="15"/>
    <n v="80"/>
    <n v="489.6"/>
    <n v="6.12"/>
    <n v="80"/>
    <n v="80"/>
    <n v="0"/>
    <m/>
  </r>
  <r>
    <x v="59"/>
    <x v="2"/>
    <n v="1"/>
    <s v="A"/>
    <x v="10"/>
    <s v="50263/DAJU091110CABD070TUBULARLOOPS45"/>
    <s v="U+2 panel"/>
    <s v="91X91X110"/>
    <x v="18"/>
    <n v="200"/>
    <n v="292"/>
    <n v="1.46"/>
    <n v="2300"/>
    <n v="200"/>
    <n v="2100"/>
    <m/>
  </r>
  <r>
    <x v="59"/>
    <x v="2"/>
    <n v="1"/>
    <s v="A"/>
    <x v="7"/>
    <s v="29437/AG936"/>
    <s v="U+2 panel"/>
    <s v="60X60X70"/>
    <x v="19"/>
    <n v="700"/>
    <n v="476.00000000000006"/>
    <n v="0.68"/>
    <n v="4150"/>
    <n v="700"/>
    <n v="3450"/>
    <m/>
  </r>
  <r>
    <x v="59"/>
    <x v="2"/>
    <n v="1"/>
    <s v="A"/>
    <x v="11"/>
    <s v="22646/HIPPO MIDI BAG"/>
    <s v="U+2 panel"/>
    <s v="90X90X90"/>
    <x v="20"/>
    <n v="475"/>
    <n v="373.35"/>
    <n v="0.78600000000000003"/>
    <n v="10000"/>
    <n v="475"/>
    <n v="9525"/>
    <m/>
  </r>
  <r>
    <x v="59"/>
    <x v="2"/>
    <n v="1"/>
    <s v="A"/>
    <x v="9"/>
    <s v="162600119/16005549"/>
    <s v="Drum waste bag "/>
    <s v="59X131X279"/>
    <x v="21"/>
    <n v="60"/>
    <n v="319.20000000000005"/>
    <n v="5.32"/>
    <n v="770"/>
    <n v="60"/>
    <n v="710"/>
    <m/>
  </r>
  <r>
    <x v="59"/>
    <x v="2"/>
    <n v="1"/>
    <s v="A"/>
    <x v="10"/>
    <s v="50253/DAJU091180CABD070LOOPS30"/>
    <s v="U+2 panel"/>
    <s v="91X91X180"/>
    <x v="22"/>
    <n v="325"/>
    <n v="559"/>
    <n v="1.72"/>
    <n v="500"/>
    <n v="325"/>
    <n v="175"/>
    <m/>
  </r>
  <r>
    <x v="60"/>
    <x v="2"/>
    <n v="1"/>
    <s v="A"/>
    <x v="7"/>
    <s v="29437/AG936"/>
    <s v="U+2 panel"/>
    <s v="60X60X70"/>
    <x v="19"/>
    <n v="1250"/>
    <n v="850.00000000000011"/>
    <n v="0.68"/>
    <n v="3450"/>
    <n v="1250"/>
    <n v="2200"/>
    <m/>
  </r>
  <r>
    <x v="60"/>
    <x v="2"/>
    <n v="1"/>
    <s v="A"/>
    <x v="11"/>
    <s v="22646/HIPPO MIDI BAG"/>
    <s v="U+2 panel"/>
    <s v="90X90X90"/>
    <x v="20"/>
    <n v="550"/>
    <n v="432.3"/>
    <n v="0.78600000000000003"/>
    <n v="9525"/>
    <n v="550"/>
    <n v="8975"/>
    <m/>
  </r>
  <r>
    <x v="60"/>
    <x v="2"/>
    <n v="1"/>
    <s v="A"/>
    <x v="9"/>
    <s v="162600119/16005549"/>
    <s v="Drum waste bag "/>
    <s v="59X131X279"/>
    <x v="21"/>
    <n v="160"/>
    <n v="851.2"/>
    <n v="5.32"/>
    <n v="710"/>
    <n v="160"/>
    <n v="550"/>
    <m/>
  </r>
  <r>
    <x v="60"/>
    <x v="2"/>
    <n v="1"/>
    <s v="A"/>
    <x v="10"/>
    <s v="50253/DAJU091180CABD070LOOPS30"/>
    <s v="U+2 panel"/>
    <s v="91X91X180"/>
    <x v="22"/>
    <n v="200"/>
    <n v="344"/>
    <n v="1.72"/>
    <n v="175"/>
    <n v="200"/>
    <n v="-25"/>
    <m/>
  </r>
  <r>
    <x v="61"/>
    <x v="2"/>
    <n v="1"/>
    <s v="A"/>
    <x v="7"/>
    <s v="29437/AG936"/>
    <s v="U+2 panel"/>
    <s v="60X60X70"/>
    <x v="19"/>
    <n v="2200"/>
    <n v="1496"/>
    <n v="0.68"/>
    <n v="2200"/>
    <n v="2200"/>
    <n v="0"/>
    <m/>
  </r>
  <r>
    <x v="61"/>
    <x v="2"/>
    <n v="1"/>
    <s v="A"/>
    <x v="7"/>
    <s v="29437/AG937R2"/>
    <s v="U+2 panel"/>
    <s v="95x95x110"/>
    <x v="13"/>
    <n v="100"/>
    <n v="172"/>
    <n v="1.72"/>
    <n v="100"/>
    <n v="100"/>
    <n v="0"/>
    <m/>
  </r>
  <r>
    <x v="61"/>
    <x v="2"/>
    <n v="1"/>
    <s v="A"/>
    <x v="9"/>
    <s v="162600119/16005549"/>
    <s v="Drum waste bag "/>
    <s v="59X131X279"/>
    <x v="21"/>
    <n v="70"/>
    <n v="372.40000000000003"/>
    <n v="5.32"/>
    <n v="550"/>
    <n v="70"/>
    <n v="480"/>
    <m/>
  </r>
  <r>
    <x v="62"/>
    <x v="2"/>
    <n v="1"/>
    <s v="A"/>
    <x v="11"/>
    <s v="22646/HIPPO MIDI BAG"/>
    <s v="U+2 panel"/>
    <s v="90X90X90"/>
    <x v="20"/>
    <n v="450"/>
    <n v="353.7"/>
    <n v="0.78600000000000003"/>
    <n v="8975"/>
    <n v="450"/>
    <n v="8525"/>
    <m/>
  </r>
  <r>
    <x v="62"/>
    <x v="2"/>
    <n v="1"/>
    <s v="A"/>
    <x v="9"/>
    <s v="162600119/16005549"/>
    <s v="Drum waste bag "/>
    <s v="59X131X279"/>
    <x v="21"/>
    <n v="100"/>
    <n v="532"/>
    <n v="5.32"/>
    <n v="480"/>
    <n v="100"/>
    <n v="380"/>
    <m/>
  </r>
  <r>
    <x v="62"/>
    <x v="2"/>
    <n v="1"/>
    <s v="A"/>
    <x v="10"/>
    <s v="50253/DAJU091180CABD070LOOPS30"/>
    <s v="U+2 panel"/>
    <s v="91X91X180"/>
    <x v="22"/>
    <n v="75"/>
    <n v="129"/>
    <n v="1.72"/>
    <n v="-25"/>
    <n v="75"/>
    <n v="-100"/>
    <m/>
  </r>
  <r>
    <x v="62"/>
    <x v="2"/>
    <n v="2"/>
    <s v="A"/>
    <x v="0"/>
    <s v="OBV1250047-3/1779"/>
    <s v="U+2 panel top and bottom spout "/>
    <s v="95x95x170"/>
    <x v="17"/>
    <n v="400"/>
    <n v="888.00000000000011"/>
    <n v="2.2200000000000002"/>
    <n v="3535"/>
    <n v="400"/>
    <n v="3135"/>
    <m/>
  </r>
  <r>
    <x v="63"/>
    <x v="2"/>
    <n v="1"/>
    <s v="A"/>
    <x v="11"/>
    <s v="22646/HIPPO MIDI BAG"/>
    <s v="U+2 panel"/>
    <s v="90X90X90"/>
    <x v="20"/>
    <n v="550"/>
    <n v="432.3"/>
    <n v="0.78600000000000003"/>
    <n v="8525"/>
    <n v="550"/>
    <n v="7975"/>
    <m/>
  </r>
  <r>
    <x v="63"/>
    <x v="2"/>
    <n v="1"/>
    <s v="A"/>
    <x v="10"/>
    <s v="50263/DAJU091110CABD070TUBULARLOOPS45"/>
    <s v="cross corner "/>
    <s v="91X91X110"/>
    <x v="18"/>
    <n v="900"/>
    <n v="1314"/>
    <n v="1.46"/>
    <n v="2100"/>
    <n v="900"/>
    <n v="1200"/>
    <m/>
  </r>
  <r>
    <x v="63"/>
    <x v="2"/>
    <n v="2"/>
    <s v="A"/>
    <x v="0"/>
    <s v="OBV1250047-3/1779"/>
    <s v="U+2 panel top and bottom spout "/>
    <s v="95x95x170"/>
    <x v="17"/>
    <n v="700"/>
    <n v="1554.0000000000002"/>
    <n v="2.2200000000000002"/>
    <n v="3135"/>
    <n v="700"/>
    <n v="2435"/>
    <m/>
  </r>
  <r>
    <x v="64"/>
    <x v="2"/>
    <n v="1"/>
    <s v="A"/>
    <x v="10"/>
    <s v="50263/DAJU091110CABD070TUBULARLOOPS45"/>
    <s v="cross corner "/>
    <s v="91X91X110"/>
    <x v="18"/>
    <n v="700"/>
    <n v="1022"/>
    <n v="1.46"/>
    <n v="1200"/>
    <n v="700"/>
    <n v="500"/>
    <m/>
  </r>
  <r>
    <x v="64"/>
    <x v="2"/>
    <n v="2"/>
    <s v="A"/>
    <x v="0"/>
    <s v="OBV1250047-3/1779"/>
    <s v="U+2 panel top and bottom spout "/>
    <s v="95x95x170"/>
    <x v="17"/>
    <n v="600"/>
    <n v="1332.0000000000002"/>
    <n v="2.2200000000000002"/>
    <n v="2435"/>
    <n v="600"/>
    <n v="1835"/>
    <m/>
  </r>
  <r>
    <x v="64"/>
    <x v="2"/>
    <n v="2"/>
    <s v="A"/>
    <x v="0"/>
    <s v="OBV1250047-3/1777"/>
    <s v="U+2 panel top and bottom spout "/>
    <s v="95x95x170"/>
    <x v="16"/>
    <n v="575"/>
    <n v="1075.25"/>
    <n v="1.87"/>
    <n v="4110"/>
    <n v="575"/>
    <n v="3535"/>
    <m/>
  </r>
  <r>
    <x v="65"/>
    <x v="2"/>
    <n v="1"/>
    <s v="A"/>
    <x v="10"/>
    <s v="50263/DAJU091110CABD070TUBULARLOOPS45"/>
    <s v="cross corner "/>
    <s v="91X91X110"/>
    <x v="18"/>
    <n v="500"/>
    <n v="730"/>
    <n v="1.46"/>
    <n v="500"/>
    <n v="500"/>
    <n v="0"/>
    <m/>
  </r>
  <r>
    <x v="65"/>
    <x v="2"/>
    <n v="2"/>
    <s v="A"/>
    <x v="0"/>
    <s v="OBV1250047-3/1779"/>
    <s v="U+2 panel top and bottom spout "/>
    <s v="95x95x170"/>
    <x v="17"/>
    <n v="200"/>
    <n v="444.00000000000006"/>
    <n v="2.2200000000000002"/>
    <n v="1835"/>
    <n v="200"/>
    <n v="1635"/>
    <m/>
  </r>
  <r>
    <x v="65"/>
    <x v="2"/>
    <n v="2"/>
    <s v="A"/>
    <x v="0"/>
    <s v="OBV1250047-3/1777"/>
    <s v="U+2 panel top and bottom spout "/>
    <s v="95x95x170"/>
    <x v="16"/>
    <n v="600"/>
    <n v="1122"/>
    <n v="1.87"/>
    <n v="3535"/>
    <n v="600"/>
    <n v="2935"/>
    <m/>
  </r>
  <r>
    <x v="65"/>
    <x v="2"/>
    <n v="2"/>
    <s v="A"/>
    <x v="0"/>
    <s v="OBV1250048-1/4590"/>
    <s v="U+2 panel top and bottom spout "/>
    <s v="95x95x210"/>
    <x v="23"/>
    <n v="595"/>
    <n v="1362.55"/>
    <n v="2.29"/>
    <n v="7600"/>
    <n v="595"/>
    <n v="7005"/>
    <m/>
  </r>
  <r>
    <x v="66"/>
    <x v="2"/>
    <n v="2"/>
    <s v="A"/>
    <x v="0"/>
    <s v="OBV1250048-1/4590"/>
    <s v="U+2 panel top and bottom spout "/>
    <s v="95x95x210"/>
    <x v="23"/>
    <n v="1375"/>
    <n v="3148.75"/>
    <n v="2.29"/>
    <n v="7005"/>
    <n v="1375"/>
    <n v="5630"/>
    <m/>
  </r>
  <r>
    <x v="66"/>
    <x v="2"/>
    <n v="1"/>
    <s v="A"/>
    <x v="11"/>
    <s v="22646/HIPPO MIDI BAG"/>
    <s v="U+2 panel"/>
    <s v="90X90X90"/>
    <x v="20"/>
    <n v="150"/>
    <n v="117.9"/>
    <n v="0.78600000000000003"/>
    <n v="7975"/>
    <n v="150"/>
    <n v="7825"/>
    <m/>
  </r>
  <r>
    <x v="67"/>
    <x v="2"/>
    <n v="2"/>
    <s v="A"/>
    <x v="0"/>
    <s v="OBV1250047-3/1777"/>
    <s v="U+2 panel top and bottom spout "/>
    <s v="95x95x170"/>
    <x v="16"/>
    <n v="450"/>
    <n v="841.5"/>
    <n v="1.87"/>
    <n v="2935"/>
    <n v="450"/>
    <n v="2485"/>
    <m/>
  </r>
  <r>
    <x v="67"/>
    <x v="2"/>
    <n v="2"/>
    <s v="A"/>
    <x v="0"/>
    <s v="OBV1250048-1/4590"/>
    <s v="U+2 panel top and bottom spout "/>
    <s v="95x95x210"/>
    <x v="23"/>
    <n v="250"/>
    <n v="572.5"/>
    <n v="2.29"/>
    <n v="5630"/>
    <n v="250"/>
    <n v="5380"/>
    <m/>
  </r>
  <r>
    <x v="67"/>
    <x v="2"/>
    <n v="2"/>
    <s v="A"/>
    <x v="0"/>
    <s v="OBV1250048-1/4589"/>
    <s v="U+2 panel top and bottom spout "/>
    <s v="90X90X185"/>
    <x v="24"/>
    <n v="725"/>
    <n v="1450"/>
    <n v="2"/>
    <e v="#REF!"/>
    <n v="725"/>
    <e v="#REF!"/>
    <m/>
  </r>
  <r>
    <x v="67"/>
    <x v="2"/>
    <n v="1"/>
    <s v="A"/>
    <x v="11"/>
    <s v="22646/HIPPO MIDI BAG"/>
    <s v="U+2 panel"/>
    <s v="90X90X90"/>
    <x v="20"/>
    <n v="400"/>
    <n v="314.40000000000003"/>
    <n v="0.78600000000000003"/>
    <n v="7825"/>
    <n v="400"/>
    <n v="7425"/>
    <m/>
  </r>
  <r>
    <x v="68"/>
    <x v="2"/>
    <n v="2"/>
    <s v="A"/>
    <x v="0"/>
    <s v="OBV1250047-3/1777"/>
    <s v="U+2 panel top and bottom spout "/>
    <s v="95x95x170"/>
    <x v="16"/>
    <n v="300"/>
    <n v="561"/>
    <n v="1.87"/>
    <n v="2485"/>
    <n v="300"/>
    <n v="2185"/>
    <m/>
  </r>
  <r>
    <x v="68"/>
    <x v="2"/>
    <n v="2"/>
    <s v="A"/>
    <x v="0"/>
    <s v="OBV1250048-1/4590"/>
    <s v="U+2 panel top and bottom spout "/>
    <s v="95x95x210"/>
    <x v="23"/>
    <n v="250"/>
    <n v="572.5"/>
    <n v="2.29"/>
    <n v="5380"/>
    <n v="250"/>
    <n v="5130"/>
    <m/>
  </r>
  <r>
    <x v="68"/>
    <x v="2"/>
    <n v="2"/>
    <s v="A"/>
    <x v="0"/>
    <s v="OBV1250048-1/4589"/>
    <s v="U+2 panel top and bottom spout "/>
    <s v="90X90X185"/>
    <x v="24"/>
    <n v="370"/>
    <n v="740"/>
    <n v="2"/>
    <e v="#REF!"/>
    <n v="370"/>
    <e v="#REF!"/>
    <m/>
  </r>
  <r>
    <x v="68"/>
    <x v="2"/>
    <n v="1"/>
    <s v="A"/>
    <x v="9"/>
    <s v="162600119/16005549"/>
    <s v="Drum waste bag "/>
    <s v="59X131X279"/>
    <x v="21"/>
    <n v="120"/>
    <n v="638.40000000000009"/>
    <n v="5.32"/>
    <n v="380"/>
    <n v="120"/>
    <n v="260"/>
    <m/>
  </r>
  <r>
    <x v="69"/>
    <x v="2"/>
    <n v="2"/>
    <s v="A"/>
    <x v="0"/>
    <s v="OBV1250047-3/1777"/>
    <s v="U+2 panel top and bottom spout "/>
    <s v="95x95x170"/>
    <x v="16"/>
    <n v="400"/>
    <n v="748"/>
    <n v="1.87"/>
    <n v="2185"/>
    <n v="400"/>
    <n v="1785"/>
    <m/>
  </r>
  <r>
    <x v="69"/>
    <x v="2"/>
    <n v="2"/>
    <s v="A"/>
    <x v="0"/>
    <s v="OBV1250048-1/4589"/>
    <s v="U+2 panel top and bottom spout "/>
    <s v="90X90X185"/>
    <x v="24"/>
    <n v="310"/>
    <n v="620"/>
    <n v="2"/>
    <e v="#REF!"/>
    <n v="310"/>
    <e v="#REF!"/>
    <m/>
  </r>
  <r>
    <x v="69"/>
    <x v="2"/>
    <n v="1"/>
    <s v="A"/>
    <x v="9"/>
    <s v="162600119/16005549"/>
    <s v="Drum waste bag "/>
    <s v="59X131X279"/>
    <x v="21"/>
    <n v="140"/>
    <n v="744.80000000000007"/>
    <n v="5.32"/>
    <n v="260"/>
    <n v="140"/>
    <n v="120"/>
    <m/>
  </r>
  <r>
    <x v="70"/>
    <x v="2"/>
    <n v="2"/>
    <s v="A"/>
    <x v="0"/>
    <s v="OBV1250047-3/1777"/>
    <s v="U+2 panel top and bottom spout "/>
    <s v="95x95x170"/>
    <x v="16"/>
    <n v="1200"/>
    <n v="2244"/>
    <n v="1.87"/>
    <n v="1785"/>
    <n v="1200"/>
    <n v="585"/>
    <m/>
  </r>
  <r>
    <x v="70"/>
    <x v="2"/>
    <n v="1"/>
    <s v="A"/>
    <x v="9"/>
    <s v="162600119/16005549"/>
    <s v="Drum waste bag "/>
    <s v="59X131X279"/>
    <x v="21"/>
    <n v="120"/>
    <n v="638.40000000000009"/>
    <n v="5.32"/>
    <n v="120"/>
    <n v="120"/>
    <n v="0"/>
    <m/>
  </r>
  <r>
    <x v="70"/>
    <x v="2"/>
    <n v="1"/>
    <s v="A"/>
    <x v="11"/>
    <s v="22646/HIPPO MIDI BAG"/>
    <s v="U+2 panel"/>
    <s v="90X90X90"/>
    <x v="20"/>
    <n v="150"/>
    <n v="117.9"/>
    <n v="0.78600000000000003"/>
    <n v="7425"/>
    <n v="150"/>
    <n v="7275"/>
    <m/>
  </r>
  <r>
    <x v="71"/>
    <x v="2"/>
    <n v="2"/>
    <s v="A"/>
    <x v="0"/>
    <s v="OBV1250047-3/1779"/>
    <s v="U+2 panel top and bottom spout "/>
    <s v="95x95x170"/>
    <x v="17"/>
    <n v="1275"/>
    <n v="2830.5000000000005"/>
    <n v="2.2200000000000002"/>
    <n v="1635"/>
    <n v="1275"/>
    <n v="360"/>
    <m/>
  </r>
  <r>
    <x v="72"/>
    <x v="3"/>
    <n v="2"/>
    <s v="A"/>
    <x v="0"/>
    <s v="OBV1250047-3/1777"/>
    <s v="U+2 panel top and bottom spout "/>
    <s v="95x95x170"/>
    <x v="16"/>
    <n v="410"/>
    <n v="766.7"/>
    <n v="1.87"/>
    <n v="585"/>
    <n v="410"/>
    <n v="175"/>
    <m/>
  </r>
  <r>
    <x v="72"/>
    <x v="3"/>
    <n v="1"/>
    <s v="A"/>
    <x v="9"/>
    <s v="162600119/16005548"/>
    <s v="Drum waste bag "/>
    <s v="33X131X269"/>
    <x v="25"/>
    <n v="75"/>
    <n v="346.5"/>
    <n v="4.62"/>
    <n v="1200"/>
    <n v="75"/>
    <n v="1125"/>
    <m/>
  </r>
  <r>
    <x v="72"/>
    <x v="3"/>
    <n v="1"/>
    <s v="A"/>
    <x v="11"/>
    <s v="22646/HIPPO MIDI BAG"/>
    <s v="U+2 panel"/>
    <s v="90X90X90"/>
    <x v="20"/>
    <n v="150"/>
    <n v="117.9"/>
    <n v="0.78600000000000003"/>
    <n v="7275"/>
    <n v="150"/>
    <n v="7125"/>
    <m/>
  </r>
  <r>
    <x v="72"/>
    <x v="3"/>
    <n v="2"/>
    <s v="A"/>
    <x v="0"/>
    <s v="OBV1250047-3/1779"/>
    <s v="U+2 panel top and bottom spout "/>
    <s v="95x95x170"/>
    <x v="17"/>
    <n v="360"/>
    <n v="799.2"/>
    <n v="2.2200000000000002"/>
    <n v="360"/>
    <n v="360"/>
    <n v="0"/>
    <m/>
  </r>
  <r>
    <x v="73"/>
    <x v="3"/>
    <n v="2"/>
    <s v="A"/>
    <x v="0"/>
    <s v="OBV1250047-3/1777"/>
    <s v="U+2 panel top and bottom spout "/>
    <s v="95x95x170"/>
    <x v="16"/>
    <n v="175"/>
    <n v="327.25"/>
    <n v="1.87"/>
    <n v="175"/>
    <n v="175"/>
    <n v="0"/>
    <m/>
  </r>
  <r>
    <x v="73"/>
    <x v="3"/>
    <n v="1"/>
    <s v="A"/>
    <x v="9"/>
    <s v="162600119/16005548"/>
    <s v="Drum waste bag "/>
    <s v="33X131X269"/>
    <x v="25"/>
    <n v="100"/>
    <n v="462"/>
    <n v="4.62"/>
    <n v="1125"/>
    <n v="100"/>
    <n v="1025"/>
    <m/>
  </r>
  <r>
    <x v="73"/>
    <x v="3"/>
    <n v="1"/>
    <s v="A"/>
    <x v="11"/>
    <s v="22646/HIPPO MIDI BAG"/>
    <s v="U+2 panel"/>
    <s v="90X90X90"/>
    <x v="20"/>
    <n v="150"/>
    <n v="117.9"/>
    <n v="0.78600000000000003"/>
    <n v="7125"/>
    <n v="150"/>
    <n v="6975"/>
    <m/>
  </r>
  <r>
    <x v="73"/>
    <x v="3"/>
    <n v="2"/>
    <s v="A"/>
    <x v="0"/>
    <s v="OBV1250048-1/4590"/>
    <s v="U+2 panel top and bottom spout "/>
    <s v="95x95x210"/>
    <x v="23"/>
    <n v="300"/>
    <n v="687"/>
    <n v="2.29"/>
    <n v="5130"/>
    <n v="300"/>
    <n v="4830"/>
    <m/>
  </r>
  <r>
    <x v="73"/>
    <x v="3"/>
    <n v="2"/>
    <s v="A"/>
    <x v="0"/>
    <s v="OBV1250048-1/4589"/>
    <s v="U+2 panel top and bottom spout "/>
    <s v="90X90X185"/>
    <x v="24"/>
    <n v="315"/>
    <n v="630"/>
    <n v="2"/>
    <e v="#REF!"/>
    <n v="315"/>
    <e v="#REF!"/>
    <m/>
  </r>
  <r>
    <x v="74"/>
    <x v="3"/>
    <n v="1"/>
    <s v="A"/>
    <x v="9"/>
    <s v="162600119/16005548"/>
    <s v="Drum waste bag "/>
    <s v="33X131X269"/>
    <x v="25"/>
    <n v="50"/>
    <n v="231"/>
    <n v="4.62"/>
    <n v="1025"/>
    <n v="50"/>
    <n v="975"/>
    <m/>
  </r>
  <r>
    <x v="74"/>
    <x v="3"/>
    <n v="1"/>
    <s v="A"/>
    <x v="11"/>
    <s v="22646/HIPPO MIDI BAG"/>
    <s v="U+2 panel"/>
    <s v="90X90X90"/>
    <x v="20"/>
    <n v="570"/>
    <n v="448.02000000000004"/>
    <n v="0.78600000000000003"/>
    <n v="6975"/>
    <n v="570"/>
    <n v="6405"/>
    <m/>
  </r>
  <r>
    <x v="74"/>
    <x v="3"/>
    <n v="2"/>
    <s v="A"/>
    <x v="0"/>
    <s v="OBV1250048-1/4590"/>
    <s v="U+2 panel top and bottom spout "/>
    <s v="95x95x210"/>
    <x v="23"/>
    <n v="650"/>
    <n v="1488.5"/>
    <n v="2.29"/>
    <n v="4830"/>
    <n v="650"/>
    <n v="4180"/>
    <m/>
  </r>
  <r>
    <x v="74"/>
    <x v="3"/>
    <n v="2"/>
    <s v="A"/>
    <x v="12"/>
    <s v=" _x0009_111065000/50048687"/>
    <s v="U+2 panel top and bottom spout "/>
    <s v="91.5X91.5X118"/>
    <x v="26"/>
    <n v="250"/>
    <n v="570"/>
    <n v="2.2799999999999998"/>
    <n v="250"/>
    <n v="250"/>
    <n v="0"/>
    <m/>
  </r>
  <r>
    <x v="74"/>
    <x v="3"/>
    <n v="2"/>
    <s v="A"/>
    <x v="10"/>
    <s v="50201/DAJU100120CAFP070CANO"/>
    <s v="U+2 panel"/>
    <s v="100X100X120"/>
    <x v="27"/>
    <n v="100"/>
    <n v="136"/>
    <n v="1.36"/>
    <n v="300"/>
    <n v="100"/>
    <n v="200"/>
    <m/>
  </r>
  <r>
    <x v="74"/>
    <x v="3"/>
    <n v="2"/>
    <s v="A"/>
    <x v="13"/>
    <s v="HPC-PO003844-9090160-3"/>
    <s v="circular cross corner "/>
    <s v="90x90x160"/>
    <x v="28"/>
    <n v="200"/>
    <n v="376"/>
    <n v="1.88"/>
    <n v="1200"/>
    <n v="200"/>
    <n v="1000"/>
    <m/>
  </r>
  <r>
    <x v="75"/>
    <x v="3"/>
    <n v="1"/>
    <s v="A"/>
    <x v="11"/>
    <s v="22646/HIPPO MIDI BAG"/>
    <s v="U+2 panel"/>
    <s v="90X90X90"/>
    <x v="20"/>
    <n v="475"/>
    <n v="373.35"/>
    <n v="0.78600000000000003"/>
    <n v="6405"/>
    <n v="475"/>
    <n v="5930"/>
    <m/>
  </r>
  <r>
    <x v="75"/>
    <x v="3"/>
    <n v="2"/>
    <s v="A"/>
    <x v="0"/>
    <s v="OBV1250048-1/4590"/>
    <s v="U+2 panel top and bottom spout "/>
    <s v="95x95x210"/>
    <x v="23"/>
    <n v="1100"/>
    <n v="2519"/>
    <n v="2.29"/>
    <n v="4180"/>
    <n v="1100"/>
    <n v="3080"/>
    <m/>
  </r>
  <r>
    <x v="75"/>
    <x v="3"/>
    <n v="2"/>
    <s v="A"/>
    <x v="10"/>
    <s v="50201/DAJU100120CAFP070CANO"/>
    <s v="U+2 panel"/>
    <s v="100X100X120"/>
    <x v="27"/>
    <n v="200"/>
    <n v="272"/>
    <n v="1.36"/>
    <n v="200"/>
    <n v="200"/>
    <n v="0"/>
    <m/>
  </r>
  <r>
    <x v="75"/>
    <x v="3"/>
    <n v="2"/>
    <s v="A"/>
    <x v="13"/>
    <s v="HPC-PO003844-9090160-3"/>
    <s v="circular cross corner "/>
    <s v="90x90x160"/>
    <x v="28"/>
    <n v="725"/>
    <n v="1363"/>
    <n v="1.88"/>
    <n v="1000"/>
    <n v="725"/>
    <n v="275"/>
    <m/>
  </r>
  <r>
    <x v="76"/>
    <x v="3"/>
    <n v="1"/>
    <s v="A"/>
    <x v="11"/>
    <s v="22646/HIPPO MIDI BAG"/>
    <s v="U+2 panel"/>
    <s v="90X90X90"/>
    <x v="20"/>
    <n v="500"/>
    <n v="393"/>
    <n v="0.78600000000000003"/>
    <n v="5930"/>
    <n v="500"/>
    <n v="5430"/>
    <m/>
  </r>
  <r>
    <x v="76"/>
    <x v="3"/>
    <n v="2"/>
    <s v="A"/>
    <x v="0"/>
    <s v="OBV1250048-1/4590"/>
    <s v="U+2 panel top and bottom spout "/>
    <s v="95x95x210"/>
    <x v="23"/>
    <n v="450"/>
    <n v="1030.5"/>
    <n v="2.29"/>
    <n v="3080"/>
    <n v="450"/>
    <n v="2630"/>
    <m/>
  </r>
  <r>
    <x v="76"/>
    <x v="3"/>
    <n v="2"/>
    <s v="A"/>
    <x v="13"/>
    <s v="HPC-PO003844-9090160-3"/>
    <s v="circular cross corner "/>
    <s v="90x90x160"/>
    <x v="28"/>
    <n v="275"/>
    <n v="517"/>
    <n v="1.88"/>
    <n v="275"/>
    <n v="275"/>
    <n v="0"/>
    <m/>
  </r>
  <r>
    <x v="76"/>
    <x v="3"/>
    <n v="2"/>
    <s v="A"/>
    <x v="13"/>
    <s v="HPC-PO003844-9090120-1"/>
    <s v="CIRCULER/COMPLI/X-CORNER"/>
    <s v="90x90x120"/>
    <x v="29"/>
    <n v="225"/>
    <n v="353.25"/>
    <n v="1.57"/>
    <n v="1440"/>
    <n v="225"/>
    <n v="1215"/>
    <m/>
  </r>
  <r>
    <x v="76"/>
    <x v="3"/>
    <n v="2"/>
    <s v="A"/>
    <x v="13"/>
    <s v="HPC-PO003844-9595180-5"/>
    <s v="CIRCULER/COMPLI/X-CORNER"/>
    <s v="95X95X180"/>
    <x v="30"/>
    <n v="370"/>
    <n v="777"/>
    <n v="2.1"/>
    <n v="370"/>
    <n v="370"/>
    <n v="0"/>
    <m/>
  </r>
  <r>
    <x v="77"/>
    <x v="3"/>
    <n v="1"/>
    <s v="A"/>
    <x v="11"/>
    <s v="22646/HIPPO MIDI BAG"/>
    <s v="U+2 panel"/>
    <s v="90X90X90"/>
    <x v="20"/>
    <n v="875"/>
    <n v="687.75"/>
    <n v="0.78600000000000003"/>
    <n v="5430"/>
    <n v="875"/>
    <n v="4555"/>
    <m/>
  </r>
  <r>
    <x v="77"/>
    <x v="3"/>
    <n v="2"/>
    <s v="A"/>
    <x v="0"/>
    <s v="OBV1250048-1/4590"/>
    <s v="U+2 panel top and bottom spout "/>
    <s v="95x95x210"/>
    <x v="23"/>
    <n v="450"/>
    <n v="1030.5"/>
    <n v="2.29"/>
    <n v="2630"/>
    <n v="450"/>
    <n v="2180"/>
    <m/>
  </r>
  <r>
    <x v="77"/>
    <x v="3"/>
    <n v="2"/>
    <s v="A"/>
    <x v="13"/>
    <s v="HPC-PO003844-9090120-1"/>
    <s v="CIRCULER/COMPLI/X-CORNER"/>
    <s v="90x90x120"/>
    <x v="29"/>
    <n v="650"/>
    <n v="1020.5"/>
    <n v="1.57"/>
    <n v="1215"/>
    <n v="650"/>
    <n v="565"/>
    <m/>
  </r>
  <r>
    <x v="78"/>
    <x v="3"/>
    <n v="1"/>
    <s v="A"/>
    <x v="11"/>
    <s v="22646/HIPPO MIDI BAG"/>
    <s v="U+2 panel"/>
    <s v="90X90X90"/>
    <x v="20"/>
    <n v="1000"/>
    <n v="786"/>
    <n v="0.78600000000000003"/>
    <n v="4555"/>
    <n v="1000"/>
    <n v="3555"/>
    <m/>
  </r>
  <r>
    <x v="78"/>
    <x v="3"/>
    <n v="2"/>
    <s v="A"/>
    <x v="0"/>
    <s v="OBV1250048-1/4590"/>
    <s v="U+2 panel top and bottom spout "/>
    <s v="95x95x210"/>
    <x v="23"/>
    <n v="850"/>
    <n v="1946.5"/>
    <n v="2.29"/>
    <n v="2180"/>
    <n v="850"/>
    <n v="1330"/>
    <m/>
  </r>
  <r>
    <x v="78"/>
    <x v="3"/>
    <n v="2"/>
    <s v="A"/>
    <x v="13"/>
    <s v="HPC-PO003844-9090120-1"/>
    <s v="CIRCULER/COMPLI/X-CORNER"/>
    <s v="90x90x120"/>
    <x v="29"/>
    <n v="565"/>
    <n v="887.05000000000007"/>
    <n v="1.57"/>
    <n v="565"/>
    <n v="565"/>
    <n v="0"/>
    <m/>
  </r>
  <r>
    <x v="79"/>
    <x v="3"/>
    <n v="1"/>
    <s v="A"/>
    <x v="11"/>
    <s v="22646/HIPPO MIDI BAG"/>
    <s v="U+2 panel"/>
    <s v="90X90X90"/>
    <x v="20"/>
    <n v="1400"/>
    <n v="1100.4000000000001"/>
    <n v="0.78600000000000003"/>
    <n v="3555"/>
    <n v="1400"/>
    <n v="2155"/>
    <m/>
  </r>
  <r>
    <x v="79"/>
    <x v="3"/>
    <n v="2"/>
    <s v="A"/>
    <x v="0"/>
    <s v="OBV1250048-1/4590"/>
    <s v="U+2 panel top and bottom spout "/>
    <s v="95x95x210"/>
    <x v="23"/>
    <n v="375"/>
    <n v="858.75"/>
    <n v="2.29"/>
    <n v="1330"/>
    <n v="375"/>
    <n v="955"/>
    <m/>
  </r>
  <r>
    <x v="79"/>
    <x v="3"/>
    <n v="1"/>
    <s v="A"/>
    <x v="9"/>
    <s v="162600119/16005548"/>
    <s v="Drum waste bag "/>
    <s v="33X131X269"/>
    <x v="25"/>
    <n v="170"/>
    <n v="785.4"/>
    <n v="4.62"/>
    <n v="975"/>
    <n v="170"/>
    <n v="805"/>
    <m/>
  </r>
  <r>
    <x v="80"/>
    <x v="3"/>
    <n v="1"/>
    <s v="A"/>
    <x v="11"/>
    <s v="22646/HIPPO MIDI BAG"/>
    <s v="U+2 panel"/>
    <s v="90X90X90"/>
    <x v="20"/>
    <n v="1975"/>
    <n v="1552.3500000000001"/>
    <n v="0.78600000000000003"/>
    <n v="2155"/>
    <n v="1975"/>
    <n v="180"/>
    <m/>
  </r>
  <r>
    <x v="80"/>
    <x v="3"/>
    <n v="2"/>
    <s v="A"/>
    <x v="0"/>
    <s v="OBV1250048-1/4590"/>
    <s v="U+2 panel top and bottom spout "/>
    <s v="95x95x210"/>
    <x v="23"/>
    <n v="475"/>
    <n v="1087.75"/>
    <n v="2.29"/>
    <n v="955"/>
    <n v="475"/>
    <n v="480"/>
    <m/>
  </r>
  <r>
    <x v="80"/>
    <x v="3"/>
    <n v="1"/>
    <s v="A"/>
    <x v="9"/>
    <s v="162600119/16005548"/>
    <s v="Drum waste bag "/>
    <s v="33X131X269"/>
    <x v="25"/>
    <n v="80"/>
    <n v="369.6"/>
    <n v="4.62"/>
    <n v="805"/>
    <n v="80"/>
    <n v="725"/>
    <m/>
  </r>
  <r>
    <x v="80"/>
    <x v="3"/>
    <n v="2"/>
    <s v="A"/>
    <x v="0"/>
    <s v="OBV1250048-1/4590"/>
    <s v="U+2 panel top and bottom spout "/>
    <s v="95x95x210"/>
    <x v="23"/>
    <n v="200"/>
    <n v="458"/>
    <n v="2.29"/>
    <n v="480"/>
    <n v="200"/>
    <n v="280"/>
    <m/>
  </r>
  <r>
    <x v="81"/>
    <x v="3"/>
    <n v="1"/>
    <s v="A"/>
    <x v="9"/>
    <s v="162600119/16005548"/>
    <s v="Drum waste bag "/>
    <s v="33X131X269"/>
    <x v="25"/>
    <n v="175"/>
    <n v="808.5"/>
    <n v="4.62"/>
    <n v="725"/>
    <n v="175"/>
    <n v="550"/>
    <m/>
  </r>
  <r>
    <x v="81"/>
    <x v="3"/>
    <n v="1"/>
    <s v="A"/>
    <x v="10"/>
    <s v="50229/DAJU091090BABD070LOOPS45"/>
    <s v="u panel complicated "/>
    <s v="91X91X90"/>
    <x v="31"/>
    <n v="175"/>
    <n v="169.4"/>
    <n v="0.96799999999999997"/>
    <n v="450"/>
    <n v="175"/>
    <n v="275"/>
    <m/>
  </r>
  <r>
    <x v="81"/>
    <x v="3"/>
    <n v="1"/>
    <s v="A"/>
    <x v="10"/>
    <s v="50146/DAJU100220BCBD080GREENLOOPS30/120"/>
    <s v="u panel complicated "/>
    <s v="100X100X220"/>
    <x v="32"/>
    <n v="425"/>
    <n v="947.75"/>
    <n v="2.23"/>
    <n v="1900"/>
    <n v="425"/>
    <n v="1475"/>
    <m/>
  </r>
  <r>
    <x v="81"/>
    <x v="3"/>
    <n v="1"/>
    <s v="A"/>
    <x v="10"/>
    <s v="50088/DAJU125105130CAFPUN13H4Z/120"/>
    <s v="u panel complicated "/>
    <s v="125X105X130"/>
    <x v="33"/>
    <n v="450"/>
    <n v="1368"/>
    <n v="3.04"/>
    <n v="600"/>
    <n v="450"/>
    <n v="150"/>
    <m/>
  </r>
  <r>
    <x v="81"/>
    <x v="3"/>
    <n v="2"/>
    <s v="A"/>
    <x v="0"/>
    <s v="OBV1250048-1/4590"/>
    <s v="U+2 panel top and bottom spout "/>
    <s v="95x95x210"/>
    <x v="23"/>
    <n v="200"/>
    <n v="458"/>
    <n v="2.29"/>
    <n v="280"/>
    <n v="200"/>
    <n v="80"/>
    <m/>
  </r>
  <r>
    <x v="82"/>
    <x v="3"/>
    <n v="1"/>
    <s v="A"/>
    <x v="11"/>
    <s v="22646/HIPPO MIDI BAG"/>
    <s v="U+2 panel"/>
    <s v="90X90X90"/>
    <x v="20"/>
    <n v="180"/>
    <n v="141.48000000000002"/>
    <n v="0.78600000000000003"/>
    <n v="180"/>
    <n v="180"/>
    <n v="0"/>
    <m/>
  </r>
  <r>
    <x v="82"/>
    <x v="3"/>
    <n v="2"/>
    <s v="A"/>
    <x v="0"/>
    <s v="OBV1250048-1/4590"/>
    <s v="U+2 panel top and bottom spout "/>
    <s v="95x95x210"/>
    <x v="23"/>
    <n v="280"/>
    <n v="641.20000000000005"/>
    <n v="2.29"/>
    <n v="280"/>
    <n v="280"/>
    <n v="0"/>
    <m/>
  </r>
  <r>
    <x v="82"/>
    <x v="3"/>
    <n v="1"/>
    <s v="A"/>
    <x v="9"/>
    <s v="162600119/16005548"/>
    <s v="Drum waste bag "/>
    <s v="33X131X269"/>
    <x v="25"/>
    <n v="175"/>
    <n v="808.5"/>
    <n v="4.62"/>
    <n v="550"/>
    <n v="175"/>
    <n v="375"/>
    <m/>
  </r>
  <r>
    <x v="82"/>
    <x v="3"/>
    <n v="1"/>
    <s v="A"/>
    <x v="10"/>
    <s v="50146/DAJU100220BCBD080GREENLOOPS30/120"/>
    <s v="u panel complicated "/>
    <s v="100X100X220"/>
    <x v="32"/>
    <n v="375"/>
    <n v="836.25"/>
    <n v="2.23"/>
    <n v="1475"/>
    <n v="375"/>
    <n v="1100"/>
    <m/>
  </r>
  <r>
    <x v="82"/>
    <x v="3"/>
    <n v="1"/>
    <s v="A"/>
    <x v="10"/>
    <s v="50088/DAJU125105130CAFPUN13H4Z/120"/>
    <s v="u panel complicated "/>
    <s v="125X105X130"/>
    <x v="33"/>
    <n v="150"/>
    <n v="456"/>
    <n v="3.04"/>
    <n v="150"/>
    <n v="150"/>
    <n v="0"/>
    <m/>
  </r>
  <r>
    <x v="83"/>
    <x v="3"/>
    <n v="1"/>
    <s v="A"/>
    <x v="9"/>
    <s v="162600119/16005548"/>
    <s v="Drum waste bag "/>
    <s v="33X131X269"/>
    <x v="25"/>
    <n v="175"/>
    <n v="808.5"/>
    <n v="4.62"/>
    <n v="375"/>
    <n v="175"/>
    <n v="200"/>
    <m/>
  </r>
  <r>
    <x v="83"/>
    <x v="3"/>
    <n v="1"/>
    <s v="A"/>
    <x v="12"/>
    <s v="111065966/50048688"/>
    <s v="U panel liner "/>
    <s v="91.5X91.5X118"/>
    <x v="34"/>
    <n v="250"/>
    <n v="570"/>
    <n v="2.2799999999999998"/>
    <n v="250"/>
    <n v="250"/>
    <n v="0"/>
    <m/>
  </r>
  <r>
    <x v="83"/>
    <x v="3"/>
    <n v="1"/>
    <s v="A"/>
    <x v="10"/>
    <s v="50146/DAJU100220BCBD080GREENLOOPS30/120"/>
    <s v="UPANEL/COMPLI"/>
    <s v="100X100X220"/>
    <x v="32"/>
    <n v="200"/>
    <n v="446"/>
    <n v="2.23"/>
    <n v="1100"/>
    <n v="200"/>
    <n v="900"/>
    <m/>
  </r>
  <r>
    <x v="83"/>
    <x v="3"/>
    <n v="1"/>
    <s v="A"/>
    <x v="10"/>
    <s v="50222/DAJU091120BAFP090GRANITO"/>
    <s v="UPANEL"/>
    <s v="91X91X120"/>
    <x v="35"/>
    <n v="850"/>
    <n v="1147.5"/>
    <n v="1.35"/>
    <n v="1625"/>
    <n v="850"/>
    <n v="775"/>
    <m/>
  </r>
  <r>
    <x v="83"/>
    <x v="3"/>
    <n v="1"/>
    <s v="A"/>
    <x v="10"/>
    <s v="50074/DAJU091100BAFP090LOOPS30"/>
    <s v="UPANEL"/>
    <s v="91X91X100"/>
    <x v="36"/>
    <n v="350"/>
    <n v="420"/>
    <n v="1.2"/>
    <n v="350"/>
    <n v="350"/>
    <n v="0"/>
    <m/>
  </r>
  <r>
    <x v="83"/>
    <x v="3"/>
    <n v="1"/>
    <s v="A"/>
    <x v="10"/>
    <s v="50229/DAJU091090BABD070LOOPS45"/>
    <s v="UPANEL/COMPLI"/>
    <s v="91X91X90"/>
    <x v="31"/>
    <n v="200"/>
    <n v="192"/>
    <n v="0.96"/>
    <n v="275"/>
    <n v="200"/>
    <n v="75"/>
    <m/>
  </r>
  <r>
    <x v="84"/>
    <x v="3"/>
    <n v="1"/>
    <s v="A"/>
    <x v="9"/>
    <s v="162600119/16005548"/>
    <s v="Drum waste bag "/>
    <s v="33X131X269"/>
    <x v="25"/>
    <n v="175"/>
    <n v="808.5"/>
    <n v="4.62"/>
    <n v="200"/>
    <n v="175"/>
    <n v="25"/>
    <m/>
  </r>
  <r>
    <x v="84"/>
    <x v="3"/>
    <n v="1"/>
    <s v="A"/>
    <x v="12"/>
    <s v="111065000/20001609"/>
    <s v="U panel liner "/>
    <s v="89X104X165"/>
    <x v="26"/>
    <n v="200"/>
    <n v="558"/>
    <n v="2.79"/>
    <n v="250"/>
    <n v="200"/>
    <n v="50"/>
    <m/>
  </r>
  <r>
    <x v="84"/>
    <x v="3"/>
    <n v="1"/>
    <s v="A"/>
    <x v="10"/>
    <s v="50146/DAJU100220BCBD080GREENLOOPS30/120"/>
    <s v="UPANEL/COMPLI"/>
    <s v="100X100X220"/>
    <x v="32"/>
    <n v="50"/>
    <n v="111.5"/>
    <n v="2.23"/>
    <n v="900"/>
    <n v="50"/>
    <n v="850"/>
    <m/>
  </r>
  <r>
    <x v="84"/>
    <x v="3"/>
    <n v="1"/>
    <s v="A"/>
    <x v="10"/>
    <s v="50222/DAJU091120BAFP090GRANITO"/>
    <s v="UPANEL"/>
    <s v="91X91X120"/>
    <x v="35"/>
    <n v="700"/>
    <n v="945.00000000000011"/>
    <n v="1.35"/>
    <n v="775"/>
    <n v="700"/>
    <n v="75"/>
    <m/>
  </r>
  <r>
    <x v="84"/>
    <x v="3"/>
    <n v="1"/>
    <s v="A"/>
    <x v="10"/>
    <s v="50225/DAJU091090BAFP070LABOBILA"/>
    <s v="UPANEL"/>
    <s v="91X94X90"/>
    <x v="37"/>
    <n v="400"/>
    <n v="316"/>
    <n v="0.79"/>
    <n v="1000"/>
    <n v="400"/>
    <n v="600"/>
    <m/>
  </r>
  <r>
    <x v="84"/>
    <x v="3"/>
    <n v="1"/>
    <s v="A"/>
    <x v="10"/>
    <s v="50265/DAJU091110CABD070LOOPS30"/>
    <s v="UPANEL/COMPLI"/>
    <s v="91X91X100"/>
    <x v="38"/>
    <n v="50"/>
    <n v="64.5"/>
    <n v="1.29"/>
    <n v="325"/>
    <n v="50"/>
    <n v="275"/>
    <m/>
  </r>
  <r>
    <x v="85"/>
    <x v="3"/>
    <n v="1"/>
    <s v="A"/>
    <x v="10"/>
    <s v="50146/DAJU100220BCBD080GREENLOOPS30/120"/>
    <s v="UPANEL/COMPLI"/>
    <s v="100X100X220"/>
    <x v="32"/>
    <n v="325"/>
    <n v="724.75"/>
    <n v="2.23"/>
    <n v="850"/>
    <n v="325"/>
    <n v="525"/>
    <m/>
  </r>
  <r>
    <x v="85"/>
    <x v="3"/>
    <n v="1"/>
    <s v="A"/>
    <x v="10"/>
    <s v="50225/DAJU091090BAFP070LABOBILA"/>
    <s v="UPANEL"/>
    <s v="91X94X90"/>
    <x v="37"/>
    <n v="300"/>
    <n v="237"/>
    <n v="0.79"/>
    <n v="600"/>
    <n v="300"/>
    <n v="300"/>
    <m/>
  </r>
  <r>
    <x v="85"/>
    <x v="3"/>
    <n v="1"/>
    <s v="A"/>
    <x v="10"/>
    <s v="50265/DAJU091110CABD070LOOPS30"/>
    <s v="UPANEL/COMPLI"/>
    <s v="91X91X100"/>
    <x v="38"/>
    <n v="275"/>
    <n v="354.75"/>
    <n v="1.29"/>
    <n v="275"/>
    <n v="275"/>
    <n v="0"/>
    <m/>
  </r>
  <r>
    <x v="85"/>
    <x v="3"/>
    <n v="1"/>
    <s v="A"/>
    <x v="6"/>
    <s v="FIBCO/PO/2026/0057/JBPL-01"/>
    <s v="UPANEL"/>
    <s v="90x90x120"/>
    <x v="39"/>
    <n v="300"/>
    <n v="378"/>
    <n v="1.26"/>
    <n v="15500"/>
    <n v="300"/>
    <n v="15200"/>
    <m/>
  </r>
  <r>
    <x v="85"/>
    <x v="3"/>
    <n v="1"/>
    <s v="A"/>
    <x v="13"/>
    <s v="HPC-PO003844-9090140-2"/>
    <s v="cross corner "/>
    <s v="90X90X140"/>
    <x v="40"/>
    <n v="600"/>
    <n v="960"/>
    <n v="1.6"/>
    <n v="1840"/>
    <n v="600"/>
    <n v="1240"/>
    <m/>
  </r>
  <r>
    <x v="86"/>
    <x v="3"/>
    <n v="1"/>
    <s v="A"/>
    <x v="10"/>
    <s v="50146/DAJU100220BCBD080GREENLOOPS30/120"/>
    <s v="UPANEL/COMPLI"/>
    <s v="100X100X220"/>
    <x v="32"/>
    <n v="365"/>
    <n v="813.95"/>
    <n v="2.23"/>
    <n v="525"/>
    <n v="365"/>
    <n v="160"/>
    <m/>
  </r>
  <r>
    <x v="86"/>
    <x v="3"/>
    <n v="1"/>
    <s v="A"/>
    <x v="10"/>
    <s v="50225/DAJU091090BAFP070LABOBILA"/>
    <s v="UPANEL"/>
    <s v="91X94X90"/>
    <x v="37"/>
    <n v="300"/>
    <n v="237"/>
    <n v="0.79"/>
    <n v="15200"/>
    <n v="300"/>
    <n v="14900"/>
    <m/>
  </r>
  <r>
    <x v="86"/>
    <x v="3"/>
    <n v="1"/>
    <s v="A"/>
    <x v="10"/>
    <s v="50174/DAJU091090BAFP070CENTELLES"/>
    <s v="UPANEL/COMPLI"/>
    <s v="91X91X100"/>
    <x v="41"/>
    <n v="120"/>
    <n v="97.440000000000012"/>
    <n v="0.81200000000000006"/>
    <n v="1000"/>
    <n v="120"/>
    <n v="880"/>
    <m/>
  </r>
  <r>
    <x v="86"/>
    <x v="3"/>
    <n v="1"/>
    <s v="A"/>
    <x v="6"/>
    <s v="FIBCO/PO/2026/0057/JBPL-01"/>
    <s v="UPANEL"/>
    <s v="90x90x120"/>
    <x v="39"/>
    <n v="550"/>
    <n v="693"/>
    <n v="1.26"/>
    <n v="15200"/>
    <n v="550"/>
    <n v="14650"/>
    <m/>
  </r>
  <r>
    <x v="86"/>
    <x v="3"/>
    <n v="1"/>
    <s v="A"/>
    <x v="13"/>
    <s v="HPC-PO003844-9090140-2"/>
    <s v="cross corner "/>
    <s v="90X90X140"/>
    <x v="40"/>
    <n v="725"/>
    <n v="1160"/>
    <n v="1.6"/>
    <n v="1240"/>
    <n v="725"/>
    <n v="515"/>
    <m/>
  </r>
  <r>
    <x v="87"/>
    <x v="3"/>
    <n v="1"/>
    <s v="A"/>
    <x v="6"/>
    <s v="FIBCO/PO/2026/0057/JBPL-01"/>
    <s v="UPANEL"/>
    <s v="90x90x120"/>
    <x v="39"/>
    <n v="750"/>
    <n v="945"/>
    <n v="1.26"/>
    <n v="14650"/>
    <n v="750"/>
    <n v="13900"/>
    <m/>
  </r>
  <r>
    <x v="87"/>
    <x v="3"/>
    <n v="1"/>
    <s v="A"/>
    <x v="13"/>
    <s v="HPC-PO003844-9090140-2"/>
    <s v="cross corner "/>
    <s v="90X90X140"/>
    <x v="40"/>
    <n v="475"/>
    <n v="760"/>
    <n v="1.6"/>
    <n v="515"/>
    <n v="475"/>
    <n v="40"/>
    <m/>
  </r>
  <r>
    <x v="87"/>
    <x v="3"/>
    <n v="1"/>
    <s v="A"/>
    <x v="9"/>
    <s v="162600119/16005548"/>
    <s v="Drum waste bag "/>
    <s v="33X131X269"/>
    <x v="25"/>
    <n v="25"/>
    <n v="115.5"/>
    <n v="4.62"/>
    <n v="25"/>
    <n v="25"/>
    <n v="0"/>
    <m/>
  </r>
  <r>
    <x v="87"/>
    <x v="3"/>
    <n v="1"/>
    <s v="A"/>
    <x v="10"/>
    <s v="50146/DAJU100220BCBD080GREENLOOPS30/120"/>
    <s v="UPANEL/COMPLI"/>
    <s v="100X100X220"/>
    <x v="32"/>
    <n v="125"/>
    <n v="278.75"/>
    <n v="2.23"/>
    <n v="160"/>
    <n v="125"/>
    <n v="35"/>
    <m/>
  </r>
  <r>
    <x v="87"/>
    <x v="3"/>
    <n v="1"/>
    <s v="A"/>
    <x v="10"/>
    <s v="50174/DAJU091090BAFP070CENTELLES"/>
    <s v="UPANEL/COMPLI"/>
    <s v="91X91X100"/>
    <x v="41"/>
    <n v="500"/>
    <n v="406"/>
    <n v="0.81200000000000006"/>
    <n v="880"/>
    <n v="500"/>
    <n v="380"/>
    <m/>
  </r>
  <r>
    <x v="88"/>
    <x v="3"/>
    <n v="1"/>
    <s v="A"/>
    <x v="6"/>
    <s v="FIBCO/PO/2026/0057/JBPL-01"/>
    <s v="UPANEL"/>
    <s v="90x90x120"/>
    <x v="39"/>
    <n v="1300"/>
    <n v="1638"/>
    <n v="1.26"/>
    <n v="13900"/>
    <n v="1300"/>
    <n v="12600"/>
    <m/>
  </r>
  <r>
    <x v="88"/>
    <x v="3"/>
    <n v="1"/>
    <s v="A"/>
    <x v="9"/>
    <s v="162600212/16005410"/>
    <s v="Drum waste bag "/>
    <s v="131x131x 294"/>
    <x v="42"/>
    <n v="175"/>
    <n v="1277.5"/>
    <n v="7.3"/>
    <n v="2400"/>
    <n v="175"/>
    <n v="2225"/>
    <m/>
  </r>
  <r>
    <x v="88"/>
    <x v="3"/>
    <n v="1"/>
    <s v="A"/>
    <x v="10"/>
    <s v="50174/DAJU091090BAFP070CENTELLES"/>
    <s v="UPANEL/COMPLI"/>
    <s v="91X91X100"/>
    <x v="41"/>
    <n v="180"/>
    <n v="146.16"/>
    <n v="0.81200000000000006"/>
    <n v="380"/>
    <n v="180"/>
    <n v="200"/>
    <m/>
  </r>
  <r>
    <x v="88"/>
    <x v="3"/>
    <n v="1"/>
    <s v="A"/>
    <x v="10"/>
    <s v="50137/DAJU040090080ISEG8:1"/>
    <s v="UPANEL/COMPLI"/>
    <s v="40X90X80"/>
    <x v="43"/>
    <n v="60"/>
    <n v="108"/>
    <n v="1.8"/>
    <n v="230"/>
    <n v="60"/>
    <n v="170"/>
    <m/>
  </r>
  <r>
    <x v="88"/>
    <x v="3"/>
    <n v="1"/>
    <s v="A"/>
    <x v="10"/>
    <s v="50245/DAJU091100BAFP070BRICODEPOT"/>
    <s v="UPANEL/COMPLI"/>
    <s v="91X91X100"/>
    <x v="44"/>
    <n v="150"/>
    <n v="129"/>
    <n v="0.86"/>
    <n v="750"/>
    <n v="150"/>
    <n v="600"/>
    <m/>
  </r>
  <r>
    <x v="88"/>
    <x v="3"/>
    <n v="1"/>
    <s v="A"/>
    <x v="14"/>
    <s v="MN-42-02032026/NEUTRAL+LOOP"/>
    <s v="U+2Panel/Corner"/>
    <s v="95x95x110"/>
    <x v="45"/>
    <n v="700"/>
    <n v="959.00000000000011"/>
    <n v="1.37"/>
    <n v="5280"/>
    <n v="700"/>
    <n v="4580"/>
    <m/>
  </r>
  <r>
    <x v="89"/>
    <x v="3"/>
    <n v="1"/>
    <s v="A"/>
    <x v="14"/>
    <s v="MN-42-02032026/NEUTRAL+LOOP"/>
    <s v="U+2Panel/Corner"/>
    <s v="95x95x110"/>
    <x v="45"/>
    <n v="350"/>
    <n v="479.50000000000006"/>
    <n v="1.37"/>
    <n v="4580"/>
    <n v="350"/>
    <n v="4230"/>
    <m/>
  </r>
  <r>
    <x v="89"/>
    <x v="3"/>
    <n v="1"/>
    <s v="A"/>
    <x v="9"/>
    <s v="162600212/16005410"/>
    <s v="Drum waste bag "/>
    <s v="131x131x 294"/>
    <x v="42"/>
    <n v="150"/>
    <n v="1095"/>
    <n v="7.3"/>
    <n v="2225"/>
    <n v="150"/>
    <n v="2075"/>
    <m/>
  </r>
  <r>
    <x v="89"/>
    <x v="3"/>
    <n v="1"/>
    <s v="A"/>
    <x v="10"/>
    <s v="50222/DAJU091120BAFP090GRANITO"/>
    <s v="UPANEL"/>
    <s v="91X91X120"/>
    <x v="35"/>
    <n v="75"/>
    <n v="101.25"/>
    <n v="1.35"/>
    <n v="75"/>
    <n v="75"/>
    <n v="0"/>
    <m/>
  </r>
  <r>
    <x v="89"/>
    <x v="3"/>
    <n v="1"/>
    <s v="A"/>
    <x v="10"/>
    <s v="50245/DAJU091100BAFP070BRICODEPOT"/>
    <s v="UPANEL/COMPLI"/>
    <s v="91X91X100"/>
    <x v="44"/>
    <n v="400"/>
    <n v="344"/>
    <n v="0.86"/>
    <n v="600"/>
    <n v="400"/>
    <n v="200"/>
    <m/>
  </r>
  <r>
    <x v="89"/>
    <x v="3"/>
    <n v="1"/>
    <s v="A"/>
    <x v="10"/>
    <s v="50102/DAJU091110CAFP070MEDENASA"/>
    <s v="UPANEL/COMPLI"/>
    <s v="91X91X110"/>
    <x v="46"/>
    <n v="50"/>
    <n v="60.5"/>
    <n v="1.21"/>
    <n v="700"/>
    <n v="50"/>
    <n v="650"/>
    <m/>
  </r>
  <r>
    <x v="90"/>
    <x v="3"/>
    <n v="1"/>
    <s v="A"/>
    <x v="10"/>
    <s v="50245/DAJU091100BAFP070BRICODEPOT"/>
    <s v="UPANEL/COMPLI"/>
    <s v="91X91X100"/>
    <x v="44"/>
    <n v="200"/>
    <n v="172"/>
    <n v="0.86"/>
    <n v="750"/>
    <n v="200"/>
    <n v="550"/>
    <m/>
  </r>
  <r>
    <x v="90"/>
    <x v="3"/>
    <n v="1"/>
    <s v="A"/>
    <x v="10"/>
    <s v="50174/DAJU091090BAFP070CENTELLES"/>
    <s v="UPANEL/COMPLI"/>
    <s v="91X91X100"/>
    <x v="41"/>
    <n v="200"/>
    <n v="162.4"/>
    <n v="0.81200000000000006"/>
    <n v="200"/>
    <n v="200"/>
    <n v="0"/>
    <m/>
  </r>
  <r>
    <x v="90"/>
    <x v="3"/>
    <n v="1"/>
    <s v="A"/>
    <x v="9"/>
    <s v="162600212/16005410"/>
    <s v="Drum waste bag "/>
    <s v="131x131x 294"/>
    <x v="42"/>
    <n v="175"/>
    <n v="1277.5"/>
    <n v="7.3"/>
    <n v="2075"/>
    <n v="175"/>
    <n v="1900"/>
    <m/>
  </r>
  <r>
    <x v="90"/>
    <x v="3"/>
    <n v="1"/>
    <s v="A"/>
    <x v="10"/>
    <s v="50102/DAJU091110CAFP070MEDENASA"/>
    <s v="UPANEL/COMPLI"/>
    <s v="91X91X110"/>
    <x v="46"/>
    <n v="650"/>
    <n v="786.5"/>
    <n v="1.21"/>
    <n v="700"/>
    <n v="50"/>
    <n v="650"/>
    <m/>
  </r>
  <r>
    <x v="91"/>
    <x v="3"/>
    <n v="1"/>
    <s v="A"/>
    <x v="9"/>
    <s v="162600212/16005410"/>
    <s v="Drum waste bag "/>
    <s v="131x131x 294"/>
    <x v="42"/>
    <n v="150"/>
    <n v="1095"/>
    <n v="7.3"/>
    <n v="1900"/>
    <n v="150"/>
    <n v="1750"/>
    <m/>
  </r>
  <r>
    <x v="91"/>
    <x v="3"/>
    <n v="1"/>
    <s v="A"/>
    <x v="15"/>
    <s v="AOLBD2026270034"/>
    <s v="U panel with liner "/>
    <s v="90x90x120"/>
    <x v="47"/>
    <n v="125"/>
    <n v="425"/>
    <n v="3.4"/>
    <n v="200"/>
    <n v="125"/>
    <n v="75"/>
    <m/>
  </r>
  <r>
    <x v="92"/>
    <x v="3"/>
    <n v="1"/>
    <s v="A"/>
    <x v="9"/>
    <s v="162600212/16005410"/>
    <s v="Drum waste bag "/>
    <s v="131x131x 294"/>
    <x v="42"/>
    <n v="75"/>
    <n v="547.5"/>
    <n v="7.3"/>
    <n v="1750"/>
    <n v="75"/>
    <n v="1675"/>
    <m/>
  </r>
  <r>
    <x v="92"/>
    <x v="3"/>
    <n v="1"/>
    <s v="A"/>
    <x v="15"/>
    <s v="AOLBD2026270034"/>
    <s v="U panel with liner "/>
    <s v="90x90x120"/>
    <x v="47"/>
    <n v="75"/>
    <n v="255"/>
    <n v="3.4"/>
    <n v="75"/>
    <n v="75"/>
    <n v="0"/>
    <m/>
  </r>
  <r>
    <x v="92"/>
    <x v="3"/>
    <n v="1"/>
    <s v="A"/>
    <x v="13"/>
    <s v="HPC-PO003844-100100140-4"/>
    <s v="cross corner "/>
    <s v="100x100x140"/>
    <x v="40"/>
    <n v="400"/>
    <n v="756"/>
    <n v="1.89"/>
    <n v="400"/>
    <n v="400"/>
    <n v="0"/>
    <m/>
  </r>
  <r>
    <x v="92"/>
    <x v="3"/>
    <n v="1"/>
    <s v="A"/>
    <x v="6"/>
    <s v="FIBCO/PO/2026/0057/JBPL-01"/>
    <s v="UPANEL"/>
    <s v="90x90x120"/>
    <x v="39"/>
    <n v="400"/>
    <n v="504"/>
    <n v="1.26"/>
    <n v="12600"/>
    <n v="400"/>
    <n v="12200"/>
    <m/>
  </r>
  <r>
    <x v="92"/>
    <x v="3"/>
    <n v="1"/>
    <s v="A"/>
    <x v="10"/>
    <s v="50137/DAJU040090080ISEG8:1"/>
    <s v="UPANEL/COMPLI"/>
    <s v="40X90X80"/>
    <x v="43"/>
    <n v="170"/>
    <n v="306"/>
    <n v="1.8"/>
    <n v="170"/>
    <n v="170"/>
    <n v="0"/>
    <m/>
  </r>
  <r>
    <x v="92"/>
    <x v="3"/>
    <n v="1"/>
    <s v="A"/>
    <x v="10"/>
    <s v="50196/DAJU091100BAFP070BRIPORTU"/>
    <s v="UPANEL/COMPLI"/>
    <s v="91X91X100"/>
    <x v="48"/>
    <n v="250"/>
    <n v="222.5"/>
    <n v="0.89"/>
    <n v="250"/>
    <n v="250"/>
    <n v="0"/>
    <m/>
  </r>
  <r>
    <x v="93"/>
    <x v="3"/>
    <n v="1"/>
    <s v="A"/>
    <x v="13"/>
    <s v="HPC-PO003844-9090140-2"/>
    <s v="cross corner "/>
    <s v="90X90X140"/>
    <x v="40"/>
    <n v="40"/>
    <n v="64"/>
    <n v="1.6"/>
    <n v="40"/>
    <n v="40"/>
    <n v="0"/>
    <m/>
  </r>
  <r>
    <x v="93"/>
    <x v="3"/>
    <n v="1"/>
    <s v="A"/>
    <x v="9"/>
    <s v="162600212/16005410"/>
    <s v="Drum waste bag "/>
    <s v="131x131x 294"/>
    <x v="42"/>
    <n v="155"/>
    <n v="1131.5"/>
    <n v="7.3"/>
    <n v="1675"/>
    <n v="155"/>
    <n v="1520"/>
    <m/>
  </r>
  <r>
    <x v="94"/>
    <x v="3"/>
    <n v="1"/>
    <s v="A"/>
    <x v="9"/>
    <s v="162600212/16005410"/>
    <s v="Drum waste bag "/>
    <s v="131x131x 294"/>
    <x v="42"/>
    <n v="170"/>
    <n v="1241"/>
    <n v="7.3"/>
    <n v="1545"/>
    <n v="170"/>
    <n v="1375"/>
    <m/>
  </r>
  <r>
    <x v="94"/>
    <x v="3"/>
    <n v="1"/>
    <s v="A"/>
    <x v="10"/>
    <s v="50146/DAJU100220BCBD080GREENLOOPS30/120"/>
    <s v="UPANEL/COMPLI"/>
    <s v="100X100X220"/>
    <x v="32"/>
    <n v="35"/>
    <n v="78.05"/>
    <n v="2.23"/>
    <n v="35"/>
    <n v="35"/>
    <n v="0"/>
    <m/>
  </r>
  <r>
    <x v="94"/>
    <x v="3"/>
    <n v="1"/>
    <s v="A"/>
    <x v="11"/>
    <s v="22752/TERRALIS-RC"/>
    <s v="u panel"/>
    <s v="22752/TERRALIS-RC"/>
    <x v="49"/>
    <n v="450"/>
    <n v="301.5"/>
    <n v="0.67"/>
    <n v="15000"/>
    <n v="450"/>
    <n v="14550"/>
    <m/>
  </r>
  <r>
    <x v="94"/>
    <x v="3"/>
    <n v="1"/>
    <s v="A"/>
    <x v="16"/>
    <s v="PO14/100X100X105"/>
    <s v="Q bag "/>
    <s v="PO14/100X100X105"/>
    <x v="50"/>
    <n v="300"/>
    <n v="651"/>
    <n v="2.17"/>
    <n v="10000"/>
    <n v="300"/>
    <n v="9700"/>
    <m/>
  </r>
  <r>
    <x v="95"/>
    <x v="3"/>
    <n v="1"/>
    <s v="A"/>
    <x v="16"/>
    <s v="PO14/100X100X105"/>
    <s v="Q bag "/>
    <s v="PO14/100X100X105"/>
    <x v="50"/>
    <n v="270"/>
    <n v="585.9"/>
    <n v="2.17"/>
    <n v="9700"/>
    <n v="270"/>
    <n v="9430"/>
    <m/>
  </r>
  <r>
    <x v="95"/>
    <x v="3"/>
    <n v="1"/>
    <s v="A"/>
    <x v="9"/>
    <s v="162600212/16005410"/>
    <s v="Drum waste bag "/>
    <s v="131x131x 294"/>
    <x v="42"/>
    <n v="165"/>
    <n v="1204.5"/>
    <n v="7.3"/>
    <n v="1375"/>
    <n v="165"/>
    <n v="1210"/>
    <m/>
  </r>
  <r>
    <x v="95"/>
    <x v="3"/>
    <n v="1"/>
    <s v="A"/>
    <x v="11"/>
    <s v="22752/TERRALIS-RC"/>
    <s v="u panel"/>
    <s v="22752/TERRALIS-RC"/>
    <x v="49"/>
    <n v="800"/>
    <n v="536"/>
    <n v="0.67"/>
    <n v="14550"/>
    <n v="800"/>
    <n v="13750"/>
    <m/>
  </r>
  <r>
    <x v="96"/>
    <x v="3"/>
    <n v="1"/>
    <s v="A"/>
    <x v="16"/>
    <s v="PO14/100X100X105"/>
    <s v="Q bag "/>
    <s v="PO14/100X100X105"/>
    <x v="50"/>
    <n v="100"/>
    <n v="217"/>
    <n v="2.17"/>
    <n v="9430"/>
    <n v="100"/>
    <n v="9330"/>
    <m/>
  </r>
  <r>
    <x v="96"/>
    <x v="3"/>
    <n v="1"/>
    <s v="A"/>
    <x v="9"/>
    <s v="162600212/16005410"/>
    <s v="Drum waste bag "/>
    <s v="131x131x 294"/>
    <x v="42"/>
    <n v="150"/>
    <n v="1095"/>
    <n v="7.3"/>
    <n v="1210"/>
    <n v="150"/>
    <n v="1060"/>
    <m/>
  </r>
  <r>
    <x v="97"/>
    <x v="3"/>
    <n v="1"/>
    <s v="A"/>
    <x v="16"/>
    <s v="PO14/100X100X105"/>
    <s v="Q bag "/>
    <s v="PO14/100X100X105"/>
    <x v="50"/>
    <n v="225"/>
    <n v="488.25"/>
    <n v="2.17"/>
    <n v="9330"/>
    <n v="225"/>
    <n v="9105"/>
    <m/>
  </r>
  <r>
    <x v="97"/>
    <x v="3"/>
    <n v="1"/>
    <s v="A"/>
    <x v="9"/>
    <s v="162600212/16005410"/>
    <s v="Drum waste bag "/>
    <s v="131x131x 294"/>
    <x v="42"/>
    <n v="165"/>
    <n v="1204.5"/>
    <n v="7.3"/>
    <n v="1060"/>
    <n v="165"/>
    <n v="895"/>
    <m/>
  </r>
  <r>
    <x v="98"/>
    <x v="4"/>
    <n v="1"/>
    <s v="A"/>
    <x v="17"/>
    <s v="FIBCO/PO/2026/0057/JBPL-01"/>
    <s v="UPANEL/COMPLI"/>
    <s v="90x90x120"/>
    <x v="39"/>
    <n v="250"/>
    <n v="315"/>
    <n v="1.26"/>
    <n v="12200"/>
    <n v="250"/>
    <n v="11950"/>
    <m/>
  </r>
  <r>
    <x v="98"/>
    <x v="4"/>
    <n v="1"/>
    <s v="A"/>
    <x v="16"/>
    <s v="PO14/100X100X105"/>
    <s v="Q bag "/>
    <s v="PO14/100X100X105"/>
    <x v="50"/>
    <n v="500"/>
    <n v="1085"/>
    <n v="2.17"/>
    <n v="9105"/>
    <n v="500"/>
    <n v="8605"/>
    <m/>
  </r>
  <r>
    <x v="98"/>
    <x v="4"/>
    <n v="1"/>
    <s v="A"/>
    <x v="9"/>
    <s v="162600212/16005410"/>
    <s v="Drum waste bag "/>
    <s v="131x131x 294"/>
    <x v="42"/>
    <n v="125"/>
    <n v="912.5"/>
    <n v="7.3"/>
    <n v="895"/>
    <n v="125"/>
    <n v="770"/>
    <m/>
  </r>
  <r>
    <x v="99"/>
    <x v="4"/>
    <n v="1"/>
    <s v="A"/>
    <x v="9"/>
    <s v="162600212/16005410"/>
    <s v="Drum waste bag "/>
    <s v="131x131x 294"/>
    <x v="42"/>
    <n v="180"/>
    <n v="1314"/>
    <n v="7.3"/>
    <n v="770"/>
    <n v="180"/>
    <n v="590"/>
    <m/>
  </r>
  <r>
    <x v="99"/>
    <x v="4"/>
    <n v="1"/>
    <s v="A"/>
    <x v="16"/>
    <s v="PO14/100X100X105"/>
    <s v="Q bag "/>
    <s v="PO14/100X100X105"/>
    <x v="50"/>
    <n v="550"/>
    <n v="1193.5"/>
    <n v="2.17"/>
    <n v="8605"/>
    <n v="550"/>
    <n v="8055"/>
    <m/>
  </r>
  <r>
    <x v="100"/>
    <x v="4"/>
    <n v="1"/>
    <s v="A"/>
    <x v="9"/>
    <s v="162600212/16005410"/>
    <s v="Drum waste bag "/>
    <s v="131x131x 294"/>
    <x v="42"/>
    <n v="215"/>
    <n v="1569.5"/>
    <n v="7.3"/>
    <n v="590"/>
    <n v="215"/>
    <n v="375"/>
    <m/>
  </r>
  <r>
    <x v="100"/>
    <x v="4"/>
    <n v="1"/>
    <s v="A"/>
    <x v="16"/>
    <s v="PO14/100X100X105"/>
    <s v="Q bag "/>
    <s v="PO14/100X100X105"/>
    <x v="50"/>
    <n v="700"/>
    <n v="1519"/>
    <n v="2.17"/>
    <n v="8055"/>
    <n v="700"/>
    <n v="7355"/>
    <m/>
  </r>
  <r>
    <x v="101"/>
    <x v="4"/>
    <n v="1"/>
    <s v="A"/>
    <x v="9"/>
    <s v="162600212/16005410"/>
    <s v="Drum waste bag "/>
    <s v="131x131x 294"/>
    <x v="42"/>
    <n v="350"/>
    <n v="2555"/>
    <n v="7.3"/>
    <n v="375"/>
    <n v="350"/>
    <n v="25"/>
    <m/>
  </r>
  <r>
    <x v="101"/>
    <x v="4"/>
    <n v="1"/>
    <s v="A"/>
    <x v="16"/>
    <s v="PO14/100X100X105"/>
    <s v="Q bag "/>
    <s v="PO14/100X100X105"/>
    <x v="50"/>
    <n v="550"/>
    <n v="1193.5"/>
    <n v="2.17"/>
    <n v="7355"/>
    <n v="550"/>
    <n v="6805"/>
    <m/>
  </r>
  <r>
    <x v="102"/>
    <x v="4"/>
    <n v="1"/>
    <s v="A"/>
    <x v="16"/>
    <s v="PO14/100X100X105"/>
    <s v="Q bag "/>
    <s v="PO14/100X100X105"/>
    <x v="50"/>
    <n v="400"/>
    <n v="868"/>
    <n v="2.17"/>
    <n v="6805"/>
    <n v="400"/>
    <n v="6405"/>
    <m/>
  </r>
  <r>
    <x v="102"/>
    <x v="4"/>
    <n v="1"/>
    <s v="A"/>
    <x v="17"/>
    <s v="FIBCO/PO/2026/0057/JBPL-01"/>
    <s v="UPANEL/COMPLI"/>
    <s v="90x90x120"/>
    <x v="39"/>
    <n v="640"/>
    <n v="806.4"/>
    <n v="1.26"/>
    <n v="11950"/>
    <n v="640"/>
    <n v="11310"/>
    <m/>
  </r>
  <r>
    <x v="102"/>
    <x v="4"/>
    <n v="1"/>
    <s v="A"/>
    <x v="12"/>
    <s v="111066165-50048689"/>
    <s v="U panel liner "/>
    <n v="0"/>
    <x v="51"/>
    <n v="150"/>
    <n v="341.99999999999994"/>
    <n v="2.2799999999999998"/>
    <n v="250"/>
    <n v="150"/>
    <n v="100"/>
    <m/>
  </r>
  <r>
    <x v="103"/>
    <x v="4"/>
    <n v="1"/>
    <s v="A"/>
    <x v="16"/>
    <s v="PO14/100X100X105"/>
    <s v="Q bag "/>
    <s v="PO14/100X100X105"/>
    <x v="50"/>
    <n v="675"/>
    <n v="1464.75"/>
    <n v="2.17"/>
    <n v="6405"/>
    <n v="675"/>
    <n v="5730"/>
    <m/>
  </r>
  <r>
    <x v="103"/>
    <x v="4"/>
    <n v="1"/>
    <s v="A"/>
    <x v="17"/>
    <s v="FIBCO/PO/2026/0057/JBPL-01"/>
    <s v="UPANEL/COMPLI"/>
    <s v="90x90x120"/>
    <x v="39"/>
    <n v="350"/>
    <n v="441"/>
    <n v="1.26"/>
    <n v="11310"/>
    <n v="350"/>
    <n v="10960"/>
    <m/>
  </r>
  <r>
    <x v="103"/>
    <x v="4"/>
    <n v="1"/>
    <s v="A"/>
    <x v="12"/>
    <s v="111066165-50048689"/>
    <s v="U panel liner "/>
    <n v="0"/>
    <x v="51"/>
    <n v="50"/>
    <n v="113.99999999999999"/>
    <n v="2.2799999999999998"/>
    <n v="100"/>
    <n v="50"/>
    <n v="50"/>
    <m/>
  </r>
  <r>
    <x v="103"/>
    <x v="4"/>
    <n v="1"/>
    <s v="A"/>
    <x v="18"/>
    <s v="MN-43-14052026/NEUTRAL-1000L"/>
    <s v="UPANEL"/>
    <s v="80X80X80"/>
    <x v="52"/>
    <n v="575"/>
    <n v="461.4375"/>
    <n v="0.80249999999999999"/>
    <n v="1140"/>
    <n v="575"/>
    <n v="565"/>
    <m/>
  </r>
  <r>
    <x v="104"/>
    <x v="4"/>
    <n v="1"/>
    <s v="A"/>
    <x v="18"/>
    <s v="MN-43-14052026/NEUTRAL-1000L"/>
    <s v="UPANEL"/>
    <s v="80X80X80"/>
    <x v="52"/>
    <n v="565"/>
    <n v="453.41250000000002"/>
    <n v="0.80249999999999999"/>
    <n v="565"/>
    <n v="565"/>
    <n v="0"/>
    <m/>
  </r>
  <r>
    <x v="104"/>
    <x v="4"/>
    <n v="1"/>
    <s v="A"/>
    <x v="17"/>
    <s v="FIBCO/PO/2026/0057/JBPL-01"/>
    <s v="UPANEL/COMPLI"/>
    <s v="90x90x120"/>
    <x v="39"/>
    <n v="400"/>
    <n v="504"/>
    <n v="1.26"/>
    <n v="10960"/>
    <n v="400"/>
    <n v="10560"/>
    <m/>
  </r>
  <r>
    <x v="104"/>
    <x v="4"/>
    <n v="1"/>
    <s v="A"/>
    <x v="16"/>
    <s v="PO14/100X100X105"/>
    <s v="Q bag "/>
    <s v="PO14/100X100X105"/>
    <x v="50"/>
    <n v="725"/>
    <n v="1573.25"/>
    <n v="2.17"/>
    <n v="5730"/>
    <n v="725"/>
    <n v="5005"/>
    <m/>
  </r>
  <r>
    <x v="105"/>
    <x v="4"/>
    <n v="1"/>
    <s v="A"/>
    <x v="19"/>
    <s v="22752/RO-LANDSCAPE BARK-RC"/>
    <s v="u panel"/>
    <s v="70X90X79"/>
    <x v="53"/>
    <n v="450"/>
    <n v="301.815"/>
    <n v="0.67069999999999996"/>
    <n v="1200"/>
    <n v="450"/>
    <n v="750"/>
    <m/>
  </r>
  <r>
    <x v="105"/>
    <x v="4"/>
    <n v="1"/>
    <s v="A"/>
    <x v="19"/>
    <s v="22752/JEWSON TERRALIS FIBC-RC"/>
    <s v="u panel"/>
    <s v="70X90X79"/>
    <x v="49"/>
    <n v="400"/>
    <n v="268.27999999999997"/>
    <n v="0.67069999999999996"/>
    <n v="13750"/>
    <n v="400"/>
    <n v="13350"/>
    <m/>
  </r>
  <r>
    <x v="105"/>
    <x v="4"/>
    <n v="1"/>
    <s v="A"/>
    <x v="17"/>
    <s v="FIBCO/PO/2026/0057/JBPL-01"/>
    <s v="UPANEL/COMPLI"/>
    <s v="90x90x120"/>
    <x v="39"/>
    <n v="1100"/>
    <n v="1386"/>
    <n v="1.26"/>
    <n v="10560"/>
    <n v="1100"/>
    <n v="9460"/>
    <m/>
  </r>
  <r>
    <x v="105"/>
    <x v="4"/>
    <n v="1"/>
    <s v="A"/>
    <x v="16"/>
    <s v="PO14/100X100X105"/>
    <s v="Q bag "/>
    <s v="PO14/100X100X105"/>
    <x v="50"/>
    <n v="445"/>
    <n v="965.65"/>
    <n v="2.17"/>
    <n v="5005"/>
    <n v="445"/>
    <n v="4560"/>
    <m/>
  </r>
  <r>
    <x v="106"/>
    <x v="4"/>
    <n v="1"/>
    <s v="A"/>
    <x v="19"/>
    <s v="22752/RO-LANDSCAPE BARK-RC"/>
    <s v="u panel"/>
    <s v="70X90X79"/>
    <x v="53"/>
    <n v="325"/>
    <n v="217.97749999999999"/>
    <n v="0.67069999999999996"/>
    <n v="750"/>
    <n v="325"/>
    <n v="425"/>
    <m/>
  </r>
  <r>
    <x v="106"/>
    <x v="4"/>
    <n v="1"/>
    <s v="A"/>
    <x v="19"/>
    <s v="22752/JEWSON TERRALIS FIBC-RC"/>
    <s v="u panel"/>
    <s v="70X90X79"/>
    <x v="49"/>
    <n v="300"/>
    <n v="201.20999999999998"/>
    <n v="0.67069999999999996"/>
    <n v="13350"/>
    <n v="300"/>
    <n v="13050"/>
    <m/>
  </r>
  <r>
    <x v="106"/>
    <x v="4"/>
    <n v="1"/>
    <s v="A"/>
    <x v="17"/>
    <s v="FIBCO/PO/2026/0057/JBPL-01"/>
    <s v="UPANEL/COMPLI"/>
    <s v="90x90x120"/>
    <x v="39"/>
    <n v="650"/>
    <n v="819"/>
    <n v="1.26"/>
    <n v="9460"/>
    <n v="650"/>
    <n v="8810"/>
    <m/>
  </r>
  <r>
    <x v="106"/>
    <x v="4"/>
    <n v="1"/>
    <s v="A"/>
    <x v="16"/>
    <s v="PO14/100X100X105"/>
    <s v="Q bag "/>
    <s v="PO14/100X100X105"/>
    <x v="50"/>
    <n v="440"/>
    <n v="954.8"/>
    <n v="2.17"/>
    <n v="4560"/>
    <n v="440"/>
    <n v="4120"/>
    <m/>
  </r>
  <r>
    <x v="106"/>
    <x v="4"/>
    <n v="1"/>
    <s v="A"/>
    <x v="20"/>
    <s v="FVPL/PO/2026-00145"/>
    <s v="CIRCULER/COMPLI/X-CORNER/TYPE C"/>
    <s v="FVPL/PO/2026-00123"/>
    <x v="54"/>
    <n v="200"/>
    <n v="345.2"/>
    <n v="1.726"/>
    <n v="700"/>
    <n v="200"/>
    <n v="500"/>
    <m/>
  </r>
  <r>
    <x v="107"/>
    <x v="4"/>
    <n v="1"/>
    <s v="A"/>
    <x v="19"/>
    <s v="22752/RO-LANDSCAPE BARK-RC"/>
    <s v="u panel"/>
    <s v="70X90X79"/>
    <x v="53"/>
    <n v="425"/>
    <n v="285.04749999999996"/>
    <n v="0.67069999999999996"/>
    <n v="425"/>
    <n v="425"/>
    <n v="0"/>
    <m/>
  </r>
  <r>
    <x v="107"/>
    <x v="4"/>
    <n v="1"/>
    <s v="A"/>
    <x v="17"/>
    <s v="FIBCO/PO/2026/0057/JBPL-01"/>
    <s v="UPANEL/COMPLI"/>
    <s v="90x90x120"/>
    <x v="39"/>
    <n v="1500"/>
    <n v="1890"/>
    <n v="1.26"/>
    <n v="8810"/>
    <n v="1500"/>
    <n v="7310"/>
    <m/>
  </r>
  <r>
    <x v="107"/>
    <x v="4"/>
    <n v="1"/>
    <s v="A"/>
    <x v="20"/>
    <s v="FVPL/PO/2026-00145"/>
    <s v="CIRCULER/COMPLI/X-CORNER/TYPE C"/>
    <s v="FVPL/PO/2026-00123"/>
    <x v="54"/>
    <n v="50"/>
    <n v="86.3"/>
    <n v="1.726"/>
    <n v="500"/>
    <n v="50"/>
    <n v="450"/>
    <m/>
  </r>
  <r>
    <x v="107"/>
    <x v="4"/>
    <n v="1"/>
    <s v="A"/>
    <x v="16"/>
    <s v="PO14/100X100X105"/>
    <s v="Q bag "/>
    <s v="PO14/100X100X105"/>
    <x v="50"/>
    <n v="505"/>
    <n v="1095.8499999999999"/>
    <n v="2.17"/>
    <n v="4120"/>
    <n v="505"/>
    <n v="3615"/>
    <m/>
  </r>
  <r>
    <x v="108"/>
    <x v="4"/>
    <n v="1"/>
    <s v="A"/>
    <x v="17"/>
    <s v="FIBCO/PO/2026/0057/JBPL-01"/>
    <s v="UPANEL/COMPLI"/>
    <s v="90x90x120"/>
    <x v="39"/>
    <n v="1300"/>
    <n v="1638"/>
    <n v="1.26"/>
    <n v="7310"/>
    <n v="1300"/>
    <n v="6010"/>
    <m/>
  </r>
  <r>
    <x v="108"/>
    <x v="4"/>
    <n v="1"/>
    <s v="A"/>
    <x v="20"/>
    <s v="FVPL/PO/2026-00145"/>
    <s v="CIRCULER/COMPLI/X-CORNER/TYPE C"/>
    <s v="FVPL/PO/2026-00123"/>
    <x v="54"/>
    <n v="300"/>
    <n v="517.79999999999995"/>
    <n v="1.726"/>
    <n v="450"/>
    <n v="300"/>
    <n v="150"/>
    <m/>
  </r>
  <r>
    <x v="108"/>
    <x v="4"/>
    <n v="1"/>
    <s v="A"/>
    <x v="16"/>
    <s v="PO14/100X100X105"/>
    <s v="Q bag "/>
    <s v="PO14/100X100X105"/>
    <x v="50"/>
    <n v="515"/>
    <n v="1085.6200000000001"/>
    <n v="2.1080000000000001"/>
    <n v="3615"/>
    <n v="515"/>
    <n v="3100"/>
    <m/>
  </r>
  <r>
    <x v="109"/>
    <x v="4"/>
    <n v="1"/>
    <s v="A"/>
    <x v="16"/>
    <s v="PO14/100X100X105"/>
    <s v="Q bag "/>
    <s v="PO14/100X100X105"/>
    <x v="50"/>
    <n v="555"/>
    <n v="1169.94"/>
    <n v="2.1080000000000001"/>
    <n v="3100"/>
    <n v="555"/>
    <n v="2545"/>
    <m/>
  </r>
  <r>
    <x v="109"/>
    <x v="4"/>
    <n v="1"/>
    <s v="A"/>
    <x v="18"/>
    <s v="MN-43-14052026/NEUTRAL+LOOP"/>
    <s v="UPANEL"/>
    <s v="95x95x110"/>
    <x v="55"/>
    <n v="175"/>
    <n v="239.75000000000003"/>
    <n v="1.37"/>
    <n v="4230"/>
    <n v="175"/>
    <n v="4055"/>
    <m/>
  </r>
  <r>
    <x v="109"/>
    <x v="4"/>
    <n v="1"/>
    <s v="A"/>
    <x v="12"/>
    <s v="111066165-50048689"/>
    <s v="U panel liner "/>
    <n v="0"/>
    <x v="51"/>
    <n v="50"/>
    <n v="113.99999999999999"/>
    <n v="2.2799999999999998"/>
    <n v="50"/>
    <n v="50"/>
    <n v="0"/>
    <m/>
  </r>
  <r>
    <x v="109"/>
    <x v="4"/>
    <n v="1"/>
    <s v="A"/>
    <x v="17"/>
    <s v="FIBCO/PO/2026/0057/JBPL-01"/>
    <s v="UPANEL/COMPLI"/>
    <s v="90x90x120"/>
    <x v="39"/>
    <n v="900"/>
    <n v="1134"/>
    <n v="1.26"/>
    <n v="6010"/>
    <n v="900"/>
    <n v="5110"/>
    <m/>
  </r>
  <r>
    <x v="109"/>
    <x v="4"/>
    <n v="1"/>
    <s v="A"/>
    <x v="20"/>
    <s v="FVPL/PO/2026-00145"/>
    <s v="CIRCULER/COMPLI/X-CORNER/TYPE C"/>
    <s v="FVPL/PO/2026-00123"/>
    <x v="54"/>
    <n v="85"/>
    <n v="146.71"/>
    <n v="1.726"/>
    <n v="150"/>
    <n v="85"/>
    <n v="65"/>
    <m/>
  </r>
  <r>
    <x v="110"/>
    <x v="4"/>
    <n v="1"/>
    <s v="A"/>
    <x v="18"/>
    <s v="MN-43-14052026/NEUTRAL+LOOP"/>
    <s v="UPANEL"/>
    <s v="95x95x110"/>
    <x v="55"/>
    <n v="300"/>
    <n v="411.00000000000006"/>
    <n v="1.37"/>
    <n v="4055"/>
    <n v="300"/>
    <n v="3755"/>
    <m/>
  </r>
  <r>
    <x v="110"/>
    <x v="4"/>
    <n v="1"/>
    <s v="A"/>
    <x v="17"/>
    <s v="FIBCO/PO/2026/0057/JBPL-01"/>
    <s v="UPANEL/COMPLI"/>
    <s v="90x90x120"/>
    <x v="39"/>
    <n v="900"/>
    <n v="1134"/>
    <n v="1.26"/>
    <n v="5110"/>
    <n v="900"/>
    <n v="4210"/>
    <m/>
  </r>
  <r>
    <x v="110"/>
    <x v="4"/>
    <n v="1"/>
    <s v="A"/>
    <x v="16"/>
    <s v="PO14/100X100X105"/>
    <s v="Q bag "/>
    <s v="PO14/100X100X105"/>
    <x v="50"/>
    <n v="510"/>
    <n v="1075.0800000000002"/>
    <n v="2.1080000000000001"/>
    <n v="2545"/>
    <n v="510"/>
    <n v="2035"/>
    <m/>
  </r>
  <r>
    <x v="111"/>
    <x v="4"/>
    <n v="1"/>
    <s v="A"/>
    <x v="18"/>
    <s v="MN-43-14052026/NEUTRAL+LOOP"/>
    <s v="UPANEL"/>
    <s v="95x95x110"/>
    <x v="55"/>
    <n v="425"/>
    <n v="582.25"/>
    <n v="1.37"/>
    <n v="3755"/>
    <n v="425"/>
    <n v="3330"/>
    <m/>
  </r>
  <r>
    <x v="111"/>
    <x v="4"/>
    <n v="1"/>
    <s v="A"/>
    <x v="17"/>
    <s v="FIBCO/PO/2026/0057/JBPL-01"/>
    <s v="UPANEL/COMPLI"/>
    <s v="90x90x120"/>
    <x v="39"/>
    <n v="1150"/>
    <n v="1449"/>
    <n v="1.26"/>
    <n v="4210"/>
    <n v="1150"/>
    <n v="3060"/>
    <m/>
  </r>
  <r>
    <x v="111"/>
    <x v="4"/>
    <n v="1"/>
    <s v="A"/>
    <x v="16"/>
    <s v="PO14/100X100X105"/>
    <s v="Q bag "/>
    <s v="PO14/100X100X105"/>
    <x v="50"/>
    <n v="475"/>
    <n v="1001.3000000000001"/>
    <n v="2.1080000000000001"/>
    <n v="2035"/>
    <n v="475"/>
    <n v="1560"/>
    <m/>
  </r>
  <r>
    <x v="112"/>
    <x v="4"/>
    <n v="1"/>
    <s v="A"/>
    <x v="18"/>
    <s v="MN-43-14052026/NEUTRAL+LOOP"/>
    <s v="UPANEL"/>
    <s v="95x95x110"/>
    <x v="55"/>
    <n v="1300"/>
    <n v="1781.0000000000002"/>
    <n v="1.37"/>
    <n v="3330"/>
    <n v="1300"/>
    <n v="2030"/>
    <m/>
  </r>
  <r>
    <x v="112"/>
    <x v="4"/>
    <n v="1"/>
    <s v="A"/>
    <x v="17"/>
    <s v="FIBCO/PO/2026/0057/JBPL-01"/>
    <s v="UPANEL/COMPLI"/>
    <s v="90x90x120"/>
    <x v="39"/>
    <n v="600"/>
    <n v="756"/>
    <n v="1.26"/>
    <n v="3060"/>
    <n v="600"/>
    <n v="2460"/>
    <m/>
  </r>
  <r>
    <x v="112"/>
    <x v="4"/>
    <n v="1"/>
    <s v="A"/>
    <x v="16"/>
    <s v="PO14/100X100X105"/>
    <s v="Q bag "/>
    <s v="PO14/100X100X105"/>
    <x v="50"/>
    <n v="580"/>
    <n v="1222.6400000000001"/>
    <n v="2.1080000000000001"/>
    <n v="1560"/>
    <n v="580"/>
    <n v="980"/>
    <m/>
  </r>
  <r>
    <x v="112"/>
    <x v="4"/>
    <n v="1"/>
    <s v="A"/>
    <x v="19"/>
    <s v="22752/RO-TOPSOIL.CO.UK-RC"/>
    <s v="UPANEL"/>
    <s v="70X90X79"/>
    <x v="56"/>
    <n v="500"/>
    <n v="335"/>
    <n v="0.67"/>
    <n v="1800"/>
    <n v="500"/>
    <n v="1300"/>
    <m/>
  </r>
  <r>
    <x v="113"/>
    <x v="4"/>
    <n v="1"/>
    <s v="A"/>
    <x v="18"/>
    <s v="MN-43-14052026/NEUTRAL+LOOP"/>
    <s v="UPANEL"/>
    <s v="95x95x110"/>
    <x v="55"/>
    <n v="1300"/>
    <n v="1781.0000000000002"/>
    <n v="1.37"/>
    <n v="2030"/>
    <n v="1300"/>
    <n v="730"/>
    <m/>
  </r>
  <r>
    <x v="113"/>
    <x v="4"/>
    <n v="1"/>
    <s v="A"/>
    <x v="17"/>
    <s v="FIBCO/PO/2026/0057/JBPL-01"/>
    <s v="UPANEL/COMPLI"/>
    <s v="90x90x120"/>
    <x v="39"/>
    <n v="600"/>
    <n v="756"/>
    <n v="1.26"/>
    <n v="2460"/>
    <n v="600"/>
    <n v="1860"/>
    <m/>
  </r>
  <r>
    <x v="113"/>
    <x v="4"/>
    <n v="1"/>
    <s v="A"/>
    <x v="16"/>
    <s v="PO14/100X100X105"/>
    <s v="Q bag "/>
    <s v="PO14/100X100X105"/>
    <x v="50"/>
    <n v="595"/>
    <n v="1254.26"/>
    <n v="2.1080000000000001"/>
    <n v="980"/>
    <n v="595"/>
    <n v="385"/>
    <m/>
  </r>
  <r>
    <x v="113"/>
    <x v="4"/>
    <n v="1"/>
    <s v="A"/>
    <x v="19"/>
    <s v="22752/RO-TOPSOIL.CO.UK-RC"/>
    <s v="UPANEL"/>
    <s v="70X90X79"/>
    <x v="56"/>
    <n v="450"/>
    <n v="301.5"/>
    <n v="0.67"/>
    <n v="1300"/>
    <n v="450"/>
    <n v="850"/>
    <m/>
  </r>
  <r>
    <x v="114"/>
    <x v="4"/>
    <n v="1"/>
    <s v="A"/>
    <x v="18"/>
    <s v="MN-43-14052026/NEUTRAL+LOOP"/>
    <s v="U+2"/>
    <s v="95x95x110"/>
    <x v="57"/>
    <n v="400"/>
    <n v="546.56000000000006"/>
    <n v="1.3664000000000001"/>
    <n v="730"/>
    <n v="400"/>
    <n v="330"/>
    <m/>
  </r>
  <r>
    <x v="114"/>
    <x v="4"/>
    <n v="1"/>
    <s v="A"/>
    <x v="21"/>
    <s v="202600223/006789"/>
    <s v="U+2"/>
    <s v="100X100X130"/>
    <x v="58"/>
    <n v="575"/>
    <n v="917.7"/>
    <n v="1.5960000000000001"/>
    <n v="3240"/>
    <n v="575"/>
    <n v="2665"/>
    <m/>
  </r>
  <r>
    <x v="114"/>
    <x v="4"/>
    <n v="1"/>
    <s v="A"/>
    <x v="22"/>
    <s v="22752/RO-TOPSOILCO.UK-RC"/>
    <s v="U+2"/>
    <s v="70X90X79"/>
    <x v="56"/>
    <n v="400"/>
    <n v="268.27999999999997"/>
    <n v="0.67069999999999996"/>
    <n v="850"/>
    <n v="400"/>
    <n v="450"/>
    <m/>
  </r>
  <r>
    <x v="114"/>
    <x v="4"/>
    <n v="1"/>
    <s v="A"/>
    <x v="17"/>
    <s v="FIBCO/PO/2026/0057/JBPL-01"/>
    <s v="U+2"/>
    <s v="90x90x120"/>
    <x v="39"/>
    <n v="750"/>
    <n v="950.24999999999989"/>
    <n v="1.2669999999999999"/>
    <n v="1860"/>
    <n v="750"/>
    <n v="1110"/>
    <m/>
  </r>
  <r>
    <x v="114"/>
    <x v="4"/>
    <n v="1"/>
    <s v="A"/>
    <x v="16"/>
    <s v="PO14/100X100X105"/>
    <s v="Q bag "/>
    <s v="PO14/100X100X105"/>
    <x v="50"/>
    <n v="520"/>
    <n v="1096.1600000000001"/>
    <n v="2.1080000000000001"/>
    <n v="905"/>
    <n v="520"/>
    <n v="385"/>
    <m/>
  </r>
  <r>
    <x v="115"/>
    <x v="4"/>
    <n v="1"/>
    <s v="A"/>
    <x v="21"/>
    <s v="202600223/006789"/>
    <s v="U+2"/>
    <s v="100X100X130"/>
    <x v="58"/>
    <n v="1075"/>
    <n v="1715.7"/>
    <n v="1.5960000000000001"/>
    <n v="2665"/>
    <n v="1075"/>
    <n v="1590"/>
    <m/>
  </r>
  <r>
    <x v="115"/>
    <x v="4"/>
    <n v="1"/>
    <s v="A"/>
    <x v="22"/>
    <s v="22752/RO-TOPSOILCO.UK-RC"/>
    <s v="U+2"/>
    <s v="70X90X79"/>
    <x v="56"/>
    <n v="450"/>
    <n v="301.815"/>
    <n v="0.67069999999999996"/>
    <n v="450"/>
    <n v="450"/>
    <n v="0"/>
    <m/>
  </r>
  <r>
    <x v="115"/>
    <x v="4"/>
    <n v="1"/>
    <s v="A"/>
    <x v="17"/>
    <s v="FIBCO/PO/2026/0057/JBPL-01"/>
    <s v="U+2"/>
    <s v="90x90x120"/>
    <x v="39"/>
    <n v="750"/>
    <n v="950.24999999999989"/>
    <n v="1.2669999999999999"/>
    <n v="1110"/>
    <n v="750"/>
    <n v="360"/>
    <m/>
  </r>
  <r>
    <x v="115"/>
    <x v="4"/>
    <n v="1"/>
    <s v="A"/>
    <x v="16"/>
    <s v="PO14/100X100X105"/>
    <s v="Q bag "/>
    <s v="PO14/100X100X105"/>
    <x v="59"/>
    <n v="570"/>
    <n v="1201.56"/>
    <n v="2.1080000000000001"/>
    <n v="9815"/>
    <n v="570"/>
    <n v="9245"/>
    <m/>
  </r>
  <r>
    <x v="116"/>
    <x v="4"/>
    <n v="1"/>
    <s v="A"/>
    <x v="21"/>
    <s v="202600223/006789"/>
    <s v="U+2"/>
    <s v="100X100X130"/>
    <x v="58"/>
    <n v="500"/>
    <n v="798"/>
    <n v="1.5960000000000001"/>
    <n v="2090"/>
    <n v="500"/>
    <n v="1590"/>
    <m/>
  </r>
  <r>
    <x v="116"/>
    <x v="4"/>
    <n v="1"/>
    <s v="A"/>
    <x v="22"/>
    <s v="22752/RO-TOPSOILCO.UK-RC"/>
    <s v="U+2"/>
    <s v="70X90X79"/>
    <x v="60"/>
    <n v="1275"/>
    <n v="855.14249999999993"/>
    <n v="0.67069999999999996"/>
    <n v="9600"/>
    <n v="1275"/>
    <n v="8325"/>
    <m/>
  </r>
  <r>
    <x v="116"/>
    <x v="4"/>
    <n v="1"/>
    <s v="A"/>
    <x v="17"/>
    <s v="FIBCO/PO/2026/0057/JBPL-01"/>
    <s v="U+2"/>
    <s v="90x90x120"/>
    <x v="39"/>
    <n v="360"/>
    <n v="456.11999999999995"/>
    <n v="1.2669999999999999"/>
    <n v="360"/>
    <n v="360"/>
    <n v="0"/>
    <m/>
  </r>
  <r>
    <x v="116"/>
    <x v="4"/>
    <n v="1"/>
    <s v="A"/>
    <x v="16"/>
    <s v="PO14/100X100X105"/>
    <s v="Q bag "/>
    <s v="PO14/100X100X105"/>
    <x v="59"/>
    <n v="570"/>
    <n v="1201.56"/>
    <n v="2.1080000000000001"/>
    <n v="9245"/>
    <n v="570"/>
    <n v="8675"/>
    <m/>
  </r>
  <r>
    <x v="116"/>
    <x v="4"/>
    <n v="1"/>
    <s v="A"/>
    <x v="18"/>
    <s v="MN-43-14052026/NEUTRAL+LOOP"/>
    <s v="U+2"/>
    <s v="95x95x110"/>
    <x v="57"/>
    <n v="330"/>
    <n v="450.91200000000003"/>
    <n v="1.3664000000000001"/>
    <n v="330"/>
    <n v="330"/>
    <n v="0"/>
    <m/>
  </r>
  <r>
    <x v="117"/>
    <x v="4"/>
    <n v="1"/>
    <s v="A"/>
    <x v="21"/>
    <s v="202600223/006789"/>
    <s v="U+2"/>
    <s v="100X100X130"/>
    <x v="58"/>
    <n v="225"/>
    <n v="359.1"/>
    <n v="1.5960000000000001"/>
    <n v="1590"/>
    <n v="225"/>
    <n v="1365"/>
    <m/>
  </r>
  <r>
    <x v="117"/>
    <x v="4"/>
    <n v="1"/>
    <s v="A"/>
    <x v="19"/>
    <s v="22752/RO-BEDS &amp; BORDERS TOPSOIL-RC "/>
    <s v="U+2"/>
    <s v="70X90X79"/>
    <x v="61"/>
    <n v="1100"/>
    <n v="737.77"/>
    <n v="0.67069999999999996"/>
    <n v="1200"/>
    <n v="1100"/>
    <n v="100"/>
    <m/>
  </r>
  <r>
    <x v="117"/>
    <x v="4"/>
    <n v="1"/>
    <s v="A"/>
    <x v="19"/>
    <s v="22752/RO-HALLSTONE-RC"/>
    <s v="U+2"/>
    <s v="70X90X79"/>
    <x v="60"/>
    <n v="1675"/>
    <n v="1123.4224999999999"/>
    <n v="0.67069999999999996"/>
    <n v="8325"/>
    <n v="1675"/>
    <n v="6650"/>
    <m/>
  </r>
  <r>
    <x v="117"/>
    <x v="4"/>
    <n v="1"/>
    <s v="A"/>
    <x v="16"/>
    <s v="PO1001/100X100X105"/>
    <s v="Q-BAG"/>
    <s v="105X105X110"/>
    <x v="59"/>
    <n v="480"/>
    <n v="1219"/>
    <n v="2.1017999999999999"/>
    <n v="8675"/>
    <n v="480"/>
    <n v="8145"/>
    <m/>
  </r>
  <r>
    <x v="118"/>
    <x v="4"/>
    <n v="1"/>
    <s v="A"/>
    <x v="21"/>
    <s v="202600223/006789"/>
    <s v="U+2"/>
    <s v="100X100X130"/>
    <x v="58"/>
    <n v="375"/>
    <n v="598.5"/>
    <n v="1.5960000000000001"/>
    <n v="865"/>
    <n v="375"/>
    <n v="490"/>
    <m/>
  </r>
  <r>
    <x v="118"/>
    <x v="4"/>
    <n v="1"/>
    <s v="A"/>
    <x v="19"/>
    <s v="22752/RO-BEDS &amp; BORDERS TOPSOIL-RC "/>
    <s v="U+2"/>
    <s v="70X90X79"/>
    <x v="61"/>
    <n v="100"/>
    <n v="67.069999999999993"/>
    <n v="0.67069999999999996"/>
    <n v="100"/>
    <n v="100"/>
    <n v="0"/>
    <m/>
  </r>
  <r>
    <x v="118"/>
    <x v="4"/>
    <n v="1"/>
    <s v="A"/>
    <x v="19"/>
    <s v="22752/RO-HALLSTONE-RC"/>
    <s v="U+2"/>
    <s v="70X90X79"/>
    <x v="60"/>
    <n v="500"/>
    <n v="335.34999999999997"/>
    <n v="0.67069999999999996"/>
    <n v="6650"/>
    <n v="500"/>
    <n v="6150"/>
    <m/>
  </r>
  <r>
    <x v="118"/>
    <x v="4"/>
    <n v="1"/>
    <s v="A"/>
    <x v="18"/>
    <s v="MN-43-14052026/GEDIMAT"/>
    <s v="U+2"/>
    <s v="95x95x110"/>
    <x v="62"/>
    <n v="1085"/>
    <n v="1486.45"/>
    <n v="1.37"/>
    <n v="9900"/>
    <n v="1085"/>
    <n v="8815"/>
    <m/>
  </r>
  <r>
    <x v="118"/>
    <x v="4"/>
    <n v="1"/>
    <s v="A"/>
    <x v="16"/>
    <s v="PO1001/100X100X105"/>
    <s v="Q-BAG"/>
    <s v="105X105X110"/>
    <x v="59"/>
    <n v="475"/>
    <n v="1219"/>
    <n v="2.1017999999999999"/>
    <n v="8145"/>
    <n v="475"/>
    <n v="7670"/>
    <m/>
  </r>
  <r>
    <x v="119"/>
    <x v="4"/>
    <n v="1"/>
    <s v="A"/>
    <x v="21"/>
    <s v="202600223/006789"/>
    <s v="U+2"/>
    <s v="100X100X130"/>
    <x v="58"/>
    <n v="400"/>
    <n v="638.40000000000009"/>
    <n v="1.5960000000000001"/>
    <n v="490"/>
    <n v="400"/>
    <n v="90"/>
    <m/>
  </r>
  <r>
    <x v="119"/>
    <x v="4"/>
    <n v="1"/>
    <s v="A"/>
    <x v="19"/>
    <s v="22752/RO-HALLSTONE-RC"/>
    <s v="U+2"/>
    <s v="70X90X79"/>
    <x v="60"/>
    <n v="500"/>
    <n v="335.34999999999997"/>
    <n v="0.67069999999999996"/>
    <n v="6150"/>
    <n v="500"/>
    <n v="5650"/>
    <m/>
  </r>
  <r>
    <x v="119"/>
    <x v="4"/>
    <n v="1"/>
    <s v="A"/>
    <x v="18"/>
    <s v="MN-43-14052026/GEDIMAT"/>
    <s v="U+2"/>
    <s v="95x95x110"/>
    <x v="62"/>
    <n v="700"/>
    <n v="956.48"/>
    <n v="1.3664000000000001"/>
    <n v="8815"/>
    <n v="700"/>
    <n v="8115"/>
    <m/>
  </r>
  <r>
    <x v="119"/>
    <x v="4"/>
    <n v="1"/>
    <s v="A"/>
    <x v="16"/>
    <s v="PO1001/100X100X105"/>
    <s v="Q-BAG"/>
    <s v="105X105X110"/>
    <x v="59"/>
    <n v="525"/>
    <n v="1103.4449999999999"/>
    <n v="2.1017999999999999"/>
    <n v="7670"/>
    <n v="525"/>
    <n v="7145"/>
    <m/>
  </r>
  <r>
    <x v="120"/>
    <x v="4"/>
    <n v="1"/>
    <s v="A"/>
    <x v="21"/>
    <s v="202600223/006789"/>
    <s v="U+2"/>
    <s v="100X100X130"/>
    <x v="58"/>
    <n v="90"/>
    <n v="143.64000000000001"/>
    <n v="1.5960000000000001"/>
    <n v="90"/>
    <n v="90"/>
    <n v="0"/>
    <m/>
  </r>
  <r>
    <x v="120"/>
    <x v="4"/>
    <n v="1"/>
    <s v="A"/>
    <x v="19"/>
    <s v="22752/JEWSON TERRALIS FIBC-RC"/>
    <s v="U+2"/>
    <s v="70X90X79"/>
    <x v="49"/>
    <n v="400"/>
    <n v="268.27999999999997"/>
    <n v="0.67069999999999996"/>
    <n v="13050"/>
    <n v="400"/>
    <n v="12650"/>
    <m/>
  </r>
  <r>
    <x v="120"/>
    <x v="4"/>
    <n v="1"/>
    <s v="A"/>
    <x v="19"/>
    <s v="22752/RO-HALLSTONE-RC"/>
    <s v="U+2"/>
    <s v="70X90X79"/>
    <x v="60"/>
    <n v="1000"/>
    <n v="670.69999999999993"/>
    <n v="0.67069999999999996"/>
    <n v="6150"/>
    <n v="1000"/>
    <n v="5150"/>
    <m/>
  </r>
  <r>
    <x v="120"/>
    <x v="4"/>
    <n v="1"/>
    <s v="A"/>
    <x v="18"/>
    <s v="MN-43-14052026/GEDIMAT"/>
    <s v="U+2"/>
    <s v="95x95x110"/>
    <x v="62"/>
    <n v="1025"/>
    <n v="1400.5600000000002"/>
    <n v="1.3664000000000001"/>
    <n v="8115"/>
    <n v="1025"/>
    <n v="7090"/>
    <m/>
  </r>
  <r>
    <x v="120"/>
    <x v="4"/>
    <n v="1"/>
    <s v="A"/>
    <x v="16"/>
    <s v="PO1001/100X100X105"/>
    <s v="Q-BAG"/>
    <s v="105X105X110"/>
    <x v="59"/>
    <n v="235"/>
    <n v="493.923"/>
    <n v="2.1017999999999999"/>
    <n v="7145"/>
    <n v="235"/>
    <n v="6910"/>
    <m/>
  </r>
  <r>
    <x v="121"/>
    <x v="4"/>
    <n v="1"/>
    <s v="A"/>
    <x v="19"/>
    <s v="22752/JEWSON TERRALIS FIBC-RC"/>
    <s v="U+2"/>
    <s v="70X90X79"/>
    <x v="49"/>
    <n v="675"/>
    <n v="452.72249999999997"/>
    <n v="0.67069999999999996"/>
    <n v="12650"/>
    <n v="675"/>
    <n v="11975"/>
    <m/>
  </r>
  <r>
    <x v="121"/>
    <x v="4"/>
    <n v="1"/>
    <s v="A"/>
    <x v="19"/>
    <s v="22752/RO-HALLSTONE-RC"/>
    <s v="U+2"/>
    <s v="70X90X79"/>
    <x v="60"/>
    <n v="500"/>
    <n v="335.34999999999997"/>
    <n v="0.67069999999999996"/>
    <n v="4650"/>
    <n v="500"/>
    <n v="4150"/>
    <m/>
  </r>
  <r>
    <x v="121"/>
    <x v="4"/>
    <n v="1"/>
    <s v="A"/>
    <x v="18"/>
    <s v="MN-43-14052026/GEDIMAT"/>
    <s v="U+2"/>
    <s v="95x95x110"/>
    <x v="62"/>
    <n v="1825"/>
    <n v="2493.6800000000003"/>
    <n v="1.3664000000000001"/>
    <n v="7090"/>
    <n v="1825"/>
    <n v="5265"/>
    <m/>
  </r>
  <r>
    <x v="121"/>
    <x v="4"/>
    <n v="1"/>
    <s v="A"/>
    <x v="16"/>
    <s v="PO1001/100X100X105"/>
    <s v="Q-BAG"/>
    <s v="105X105X110"/>
    <x v="59"/>
    <n v="200"/>
    <n v="420.35999999999996"/>
    <n v="2.1017999999999999"/>
    <n v="6910"/>
    <n v="200"/>
    <n v="6710"/>
    <m/>
  </r>
  <r>
    <x v="122"/>
    <x v="4"/>
    <n v="1"/>
    <s v="A"/>
    <x v="19"/>
    <s v="22752/JEWSON TERRALIS FIBC-RC"/>
    <s v="U+2"/>
    <s v="70X90X79"/>
    <x v="49"/>
    <n v="675"/>
    <n v="452.72249999999997"/>
    <n v="0.67069999999999996"/>
    <n v="11975"/>
    <n v="675"/>
    <n v="11300"/>
    <m/>
  </r>
  <r>
    <x v="122"/>
    <x v="4"/>
    <n v="1"/>
    <s v="A"/>
    <x v="19"/>
    <s v="22752/RO-HALLSTONE-RC"/>
    <s v="U+2"/>
    <s v="70X90X79"/>
    <x v="60"/>
    <n v="150"/>
    <n v="100.60499999999999"/>
    <n v="0.67069999999999996"/>
    <n v="4150"/>
    <n v="150"/>
    <n v="4000"/>
    <m/>
  </r>
  <r>
    <x v="122"/>
    <x v="4"/>
    <n v="1"/>
    <s v="A"/>
    <x v="18"/>
    <s v="MN-43-14052026/GEDIMAT"/>
    <s v="U+2"/>
    <s v="95x95x110"/>
    <x v="62"/>
    <n v="2200"/>
    <n v="3006.08"/>
    <n v="1.3664000000000001"/>
    <n v="5265"/>
    <n v="2200"/>
    <n v="3065"/>
    <m/>
  </r>
  <r>
    <x v="122"/>
    <x v="4"/>
    <n v="1"/>
    <s v="A"/>
    <x v="16"/>
    <s v="PO1001/100X100X105"/>
    <s v="Q-BAG"/>
    <s v="105X105X110"/>
    <x v="59"/>
    <n v="195"/>
    <n v="409.851"/>
    <n v="2.1017999999999999"/>
    <n v="6710"/>
    <n v="195"/>
    <n v="6515"/>
    <m/>
  </r>
  <r>
    <x v="123"/>
    <x v="5"/>
    <n v="1"/>
    <s v="A"/>
    <x v="19"/>
    <s v="22752/JEWSON TERRALIS FIBC-RC"/>
    <s v="U+2"/>
    <s v="70X90X79"/>
    <x v="49"/>
    <n v="675"/>
    <n v="452.72249999999997"/>
    <n v="0.67069999999999996"/>
    <n v="11300"/>
    <n v="675"/>
    <n v="10625"/>
    <m/>
  </r>
  <r>
    <x v="123"/>
    <x v="5"/>
    <n v="1"/>
    <s v="A"/>
    <x v="19"/>
    <s v="22752/RO-HALLSTONE-RC"/>
    <s v="U+2"/>
    <s v="70X90X79"/>
    <x v="60"/>
    <n v="650"/>
    <n v="435.95499999999998"/>
    <n v="0.67069999999999996"/>
    <n v="4000"/>
    <n v="650"/>
    <n v="3350"/>
    <m/>
  </r>
  <r>
    <x v="123"/>
    <x v="5"/>
    <n v="1"/>
    <s v="A"/>
    <x v="18"/>
    <s v="MN-43-14052026/GEDIMAT"/>
    <s v="U+2"/>
    <s v="95x95x110"/>
    <x v="62"/>
    <n v="1650"/>
    <n v="2254.56"/>
    <n v="1.3664000000000001"/>
    <n v="3065"/>
    <n v="1650"/>
    <n v="1415"/>
    <m/>
  </r>
  <r>
    <x v="123"/>
    <x v="5"/>
    <n v="1"/>
    <s v="A"/>
    <x v="16"/>
    <s v="PO1001/100X100X105"/>
    <s v="Q-BAG"/>
    <s v="105X105X110"/>
    <x v="59"/>
    <n v="200"/>
    <n v="420.35999999999996"/>
    <n v="2.1017999999999999"/>
    <n v="6515"/>
    <n v="200"/>
    <n v="6315"/>
    <m/>
  </r>
  <r>
    <x v="124"/>
    <x v="5"/>
    <n v="1"/>
    <s v="A"/>
    <x v="19"/>
    <s v="22752/JEWSON TERRALIS FIBC-RC"/>
    <s v="U+2"/>
    <s v="70X90X79"/>
    <x v="49"/>
    <n v="600"/>
    <n v="402.41999999999996"/>
    <n v="0.67069999999999996"/>
    <n v="10625"/>
    <n v="600"/>
    <n v="10025"/>
    <m/>
  </r>
  <r>
    <x v="124"/>
    <x v="5"/>
    <n v="1"/>
    <s v="A"/>
    <x v="19"/>
    <s v="22752/RO-HALLSTONE-RC"/>
    <s v="U+2"/>
    <s v="70X90X79"/>
    <x v="60"/>
    <n v="900"/>
    <n v="603.63"/>
    <n v="0.67069999999999996"/>
    <n v="3350"/>
    <n v="900"/>
    <n v="2450"/>
    <m/>
  </r>
  <r>
    <x v="124"/>
    <x v="5"/>
    <n v="1"/>
    <s v="A"/>
    <x v="18"/>
    <s v="MN-43-14052026/GEDIMAT"/>
    <s v="U+2"/>
    <s v="95x95x110"/>
    <x v="62"/>
    <n v="1275"/>
    <n v="1742.16"/>
    <n v="1.3664000000000001"/>
    <n v="1415"/>
    <n v="1275"/>
    <n v="140"/>
    <m/>
  </r>
  <r>
    <x v="124"/>
    <x v="5"/>
    <n v="1"/>
    <s v="A"/>
    <x v="16"/>
    <s v="PO1001/100X100X105"/>
    <s v="Q-BAG"/>
    <s v="105X105X110"/>
    <x v="59"/>
    <n v="200"/>
    <n v="420.35999999999996"/>
    <n v="2.1017999999999999"/>
    <n v="6315"/>
    <n v="200"/>
    <n v="6115"/>
    <m/>
  </r>
  <r>
    <x v="125"/>
    <x v="5"/>
    <n v="1"/>
    <s v="A"/>
    <x v="23"/>
    <s v="FVPL/PO/2026-00144"/>
    <s v="C-C"/>
    <s v="90X90X70"/>
    <x v="63"/>
    <n v="375"/>
    <n v="646.91250000000002"/>
    <n v="1.7251000000000001"/>
    <n v="4000"/>
    <n v="375"/>
    <n v="3625"/>
    <m/>
  </r>
  <r>
    <x v="125"/>
    <x v="5"/>
    <n v="1"/>
    <s v="A"/>
    <x v="19"/>
    <s v="22752/RO-HALLSTONE-RC"/>
    <s v="U+2"/>
    <s v="70X90X79"/>
    <x v="60"/>
    <n v="555"/>
    <n v="372.23849999999999"/>
    <n v="0.67069999999999996"/>
    <n v="2450"/>
    <n v="555"/>
    <n v="1895"/>
    <m/>
  </r>
  <r>
    <x v="125"/>
    <x v="5"/>
    <n v="1"/>
    <s v="A"/>
    <x v="16"/>
    <s v="PO1001/100X100X105"/>
    <s v="Q-BAG"/>
    <s v="105X105X110"/>
    <x v="59"/>
    <n v="385"/>
    <n v="809.19299999999998"/>
    <n v="2.1017999999999999"/>
    <n v="6115"/>
    <n v="385"/>
    <n v="5730"/>
    <m/>
  </r>
  <r>
    <x v="125"/>
    <x v="5"/>
    <n v="1"/>
    <s v="A"/>
    <x v="19"/>
    <s v="22752/JEWSON TERRALIS FIBC-RC"/>
    <s v="U+2"/>
    <s v="70X90X79"/>
    <x v="49"/>
    <n v="1000"/>
    <n v="670.69999999999993"/>
    <n v="0.67069999999999996"/>
    <n v="10025"/>
    <n v="1000"/>
    <n v="9025"/>
    <m/>
  </r>
  <r>
    <x v="126"/>
    <x v="5"/>
    <n v="1"/>
    <s v="A"/>
    <x v="23"/>
    <s v="FVPL/PO/2026-00144"/>
    <s v="C-C"/>
    <s v="90X90X70"/>
    <x v="63"/>
    <n v="625"/>
    <n v="1078.1875"/>
    <n v="1.7251000000000001"/>
    <n v="3625"/>
    <n v="625"/>
    <n v="3000"/>
    <m/>
  </r>
  <r>
    <x v="126"/>
    <x v="5"/>
    <n v="1"/>
    <s v="A"/>
    <x v="19"/>
    <s v="22752/RO-HALLSTONE-RC"/>
    <s v="U+2"/>
    <s v="70X90X79"/>
    <x v="60"/>
    <n v="400"/>
    <n v="268.27999999999997"/>
    <n v="0.67069999999999996"/>
    <n v="1895"/>
    <n v="400"/>
    <n v="1495"/>
    <m/>
  </r>
  <r>
    <x v="126"/>
    <x v="5"/>
    <n v="1"/>
    <s v="A"/>
    <x v="16"/>
    <s v="PO1001/100X100X105"/>
    <s v="Q-BAG"/>
    <s v="105X105X110"/>
    <x v="59"/>
    <n v="350"/>
    <n v="735.63"/>
    <n v="2.1017999999999999"/>
    <n v="5730"/>
    <n v="350"/>
    <n v="5380"/>
    <m/>
  </r>
  <r>
    <x v="126"/>
    <x v="5"/>
    <n v="1"/>
    <s v="A"/>
    <x v="19"/>
    <s v="22752/JEWSON TERRALIS FIBC-RC"/>
    <s v="U+2"/>
    <s v="70X90X79"/>
    <x v="49"/>
    <n v="950"/>
    <n v="637.16499999999996"/>
    <n v="0.67069999999999996"/>
    <n v="9025"/>
    <n v="950"/>
    <n v="8075"/>
    <m/>
  </r>
  <r>
    <x v="126"/>
    <x v="5"/>
    <n v="1"/>
    <s v="A"/>
    <x v="18"/>
    <s v="MN-43-14052026/GEDIMAT"/>
    <s v="U+2"/>
    <s v="95x95x110"/>
    <x v="62"/>
    <n v="140"/>
    <n v="191.29600000000002"/>
    <n v="1.3664000000000001"/>
    <n v="140"/>
    <n v="140"/>
    <n v="0"/>
    <m/>
  </r>
  <r>
    <x v="126"/>
    <x v="5"/>
    <n v="1"/>
    <s v="A"/>
    <x v="24"/>
    <s v="POD/2627/277"/>
    <s v="OMEGA"/>
    <s v="90X90X110"/>
    <x v="64"/>
    <n v="250"/>
    <n v="513.25"/>
    <n v="2.0529999999999999"/>
    <n v="500"/>
    <n v="250"/>
    <n v="250"/>
    <m/>
  </r>
  <r>
    <x v="127"/>
    <x v="5"/>
    <n v="1"/>
    <s v="A"/>
    <x v="23"/>
    <s v="FVPL/PO/2026-00144"/>
    <s v="C-C"/>
    <s v="90X90X70"/>
    <x v="63"/>
    <n v="425"/>
    <n v="733.16750000000002"/>
    <n v="1.7251000000000001"/>
    <n v="3000"/>
    <n v="425"/>
    <n v="2575"/>
    <m/>
  </r>
  <r>
    <x v="127"/>
    <x v="5"/>
    <n v="1"/>
    <s v="A"/>
    <x v="19"/>
    <s v="22752/RO-HALLSTONE-RC"/>
    <s v="U+2"/>
    <s v="70X90X79"/>
    <x v="60"/>
    <n v="300"/>
    <n v="201.20999999999998"/>
    <n v="0.67069999999999996"/>
    <n v="1495"/>
    <n v="300"/>
    <n v="1195"/>
    <m/>
  </r>
  <r>
    <x v="127"/>
    <x v="5"/>
    <n v="1"/>
    <s v="A"/>
    <x v="19"/>
    <s v="22752/JEWSON TERRALIS FIBC-RC"/>
    <s v="U+2"/>
    <s v="70X90X79"/>
    <x v="49"/>
    <n v="720"/>
    <n v="482.904"/>
    <n v="0.67069999999999996"/>
    <n v="8075"/>
    <n v="720"/>
    <n v="7355"/>
    <m/>
  </r>
  <r>
    <x v="127"/>
    <x v="5"/>
    <n v="1"/>
    <s v="A"/>
    <x v="16"/>
    <s v="PO1001/100X100X105"/>
    <s v="Q-BAG"/>
    <s v="105X105X110"/>
    <x v="59"/>
    <n v="380"/>
    <n v="798.68399999999997"/>
    <n v="2.1017999999999999"/>
    <n v="5380"/>
    <n v="380"/>
    <n v="5000"/>
    <m/>
  </r>
  <r>
    <x v="127"/>
    <x v="5"/>
    <n v="1"/>
    <s v="A"/>
    <x v="24"/>
    <s v="POD/2627/277"/>
    <s v="OMEGA"/>
    <s v="90X90X110"/>
    <x v="64"/>
    <n v="250"/>
    <n v="513.25"/>
    <n v="2.0529999999999999"/>
    <n v="250"/>
    <n v="250"/>
    <n v="0"/>
    <m/>
  </r>
  <r>
    <x v="128"/>
    <x v="5"/>
    <n v="1"/>
    <s v="A"/>
    <x v="19"/>
    <s v="22752/JEWSON TERRALIS FIBC-RC"/>
    <s v="U+2"/>
    <s v="70X90X79"/>
    <x v="49"/>
    <n v="1670"/>
    <n v="1120.069"/>
    <n v="0.67069999999999996"/>
    <n v="7355"/>
    <n v="1670"/>
    <n v="5685"/>
    <m/>
  </r>
  <r>
    <x v="128"/>
    <x v="5"/>
    <n v="1"/>
    <s v="A"/>
    <x v="16"/>
    <s v="PO1001/100X100X105"/>
    <s v="Q-BAG"/>
    <s v="105X105X110"/>
    <x v="59"/>
    <n v="200"/>
    <n v="420.35999999999996"/>
    <n v="2.1017999999999999"/>
    <n v="5000"/>
    <n v="200"/>
    <n v="4800"/>
    <m/>
  </r>
  <r>
    <x v="129"/>
    <x v="5"/>
    <n v="1"/>
    <s v="A"/>
    <x v="19"/>
    <s v="22752/JEWSON TERRALIS FIBC-RC"/>
    <s v="U+2"/>
    <s v="70X90X79"/>
    <x v="49"/>
    <n v="2025"/>
    <n v="1358.1675"/>
    <n v="0.67069999999999996"/>
    <n v="5685"/>
    <n v="2025"/>
    <n v="3660"/>
    <m/>
  </r>
  <r>
    <x v="129"/>
    <x v="5"/>
    <n v="1"/>
    <s v="A"/>
    <x v="23"/>
    <s v="FVPL/PO/2026-00144"/>
    <s v="C-C"/>
    <s v="90X90X70"/>
    <x v="63"/>
    <n v="175"/>
    <n v="301.89250000000004"/>
    <n v="1.7251000000000001"/>
    <n v="2575"/>
    <n v="175"/>
    <n v="2400"/>
    <m/>
  </r>
  <r>
    <x v="129"/>
    <x v="5"/>
    <n v="1"/>
    <s v="A"/>
    <x v="16"/>
    <s v="PO1002/90X90X75 TYPE C BAG"/>
    <s v="Q-BAG"/>
    <s v="90X90X75"/>
    <x v="65"/>
    <n v="200"/>
    <n v="443.98"/>
    <n v="2.2199"/>
    <n v="2000"/>
    <n v="200"/>
    <n v="1800"/>
    <m/>
  </r>
  <r>
    <x v="129"/>
    <x v="5"/>
    <n v="1"/>
    <s v="A"/>
    <x v="16"/>
    <s v="PO1001/100X100X105"/>
    <s v="Q-BAG"/>
    <s v="105X105X110"/>
    <x v="59"/>
    <n v="250"/>
    <n v="525.44999999999993"/>
    <n v="2.1017999999999999"/>
    <n v="4800"/>
    <n v="250"/>
    <n v="4550"/>
    <m/>
  </r>
  <r>
    <x v="130"/>
    <x v="5"/>
    <n v="1"/>
    <s v="A"/>
    <x v="19"/>
    <s v="22752/JEWSON TERRALIS FIBC-RC"/>
    <s v="U+2"/>
    <s v="70X90X79"/>
    <x v="49"/>
    <n v="2300"/>
    <n v="1542.61"/>
    <n v="0.67069999999999996"/>
    <n v="3660"/>
    <n v="2300"/>
    <n v="1360"/>
    <m/>
  </r>
  <r>
    <x v="130"/>
    <x v="5"/>
    <n v="1"/>
    <s v="A"/>
    <x v="23"/>
    <s v="FVPL/PO/2026-00144"/>
    <s v="C-C"/>
    <s v="90X90X70"/>
    <x v="63"/>
    <n v="175"/>
    <n v="301.89250000000004"/>
    <n v="1.7251000000000001"/>
    <n v="2400"/>
    <n v="175"/>
    <n v="2225"/>
    <m/>
  </r>
  <r>
    <x v="130"/>
    <x v="5"/>
    <n v="1"/>
    <s v="A"/>
    <x v="16"/>
    <s v="PO1001/100X100X105"/>
    <s v="Q-BAG"/>
    <s v="105X105X110"/>
    <x v="59"/>
    <n v="200"/>
    <n v="420.35999999999996"/>
    <n v="2.1017999999999999"/>
    <n v="4550"/>
    <n v="200"/>
    <n v="4350"/>
    <m/>
  </r>
  <r>
    <x v="130"/>
    <x v="5"/>
    <n v="1"/>
    <s v="A"/>
    <x v="25"/>
    <s v="51237/DAJU091160CABDO80SALABLALCA"/>
    <s v="U+2"/>
    <s v="91X91X160"/>
    <x v="66"/>
    <n v="400"/>
    <n v="723.6"/>
    <n v="1.8089999999999999"/>
    <n v="5000"/>
    <n v="400"/>
    <n v="4600"/>
    <m/>
  </r>
  <r>
    <x v="130"/>
    <x v="5"/>
    <n v="1"/>
    <s v="A"/>
    <x v="16"/>
    <s v="PO1002/90X90X75 TYPE C BAG"/>
    <s v="Q-BAG"/>
    <s v="90X90X75"/>
    <x v="65"/>
    <n v="300"/>
    <n v="665.97"/>
    <n v="2.2199"/>
    <n v="1800"/>
    <n v="300"/>
    <n v="1500"/>
    <m/>
  </r>
  <r>
    <x v="131"/>
    <x v="5"/>
    <n v="1"/>
    <s v="A"/>
    <x v="23"/>
    <s v="FVPL/PO/2026-00144"/>
    <s v="C-C"/>
    <s v="90X90X70"/>
    <x v="63"/>
    <n v="375"/>
    <n v="646.91250000000002"/>
    <n v="1.7251000000000001"/>
    <n v="2225"/>
    <n v="375"/>
    <n v="1850"/>
    <m/>
  </r>
  <r>
    <x v="131"/>
    <x v="5"/>
    <n v="1"/>
    <s v="A"/>
    <x v="25"/>
    <s v="51351/DAJU085090BAFPO70CERDANY"/>
    <s v="U+2"/>
    <s v="85X85X90"/>
    <x v="67"/>
    <n v="450"/>
    <n v="341.55"/>
    <n v="0.75900000000000001"/>
    <n v="2500"/>
    <n v="450"/>
    <n v="2050"/>
    <m/>
  </r>
  <r>
    <x v="131"/>
    <x v="5"/>
    <n v="1"/>
    <s v="A"/>
    <x v="16"/>
    <s v="PO1001/100X100X105"/>
    <s v="Q-BAG"/>
    <s v="105X105X110"/>
    <x v="59"/>
    <n v="525"/>
    <n v="1103.4449999999999"/>
    <n v="2.1017999999999999"/>
    <n v="4350"/>
    <n v="525"/>
    <n v="3825"/>
    <m/>
  </r>
  <r>
    <x v="131"/>
    <x v="5"/>
    <n v="1"/>
    <s v="A"/>
    <x v="25"/>
    <s v="51237/DAJU091160CABDO80SALABLALCA"/>
    <s v="U+2"/>
    <s v="91X91X160"/>
    <x v="66"/>
    <n v="1125"/>
    <n v="2035.125"/>
    <n v="1.8089999999999999"/>
    <n v="4600"/>
    <n v="1125"/>
    <n v="3475"/>
    <m/>
  </r>
  <r>
    <x v="132"/>
    <x v="5"/>
    <n v="1"/>
    <s v="A"/>
    <x v="23"/>
    <s v="FVPL/PO/2026-00144"/>
    <s v="C-C"/>
    <s v="90X90X70"/>
    <x v="63"/>
    <n v="350"/>
    <n v="603.78500000000008"/>
    <n v="1.7251000000000001"/>
    <n v="1850"/>
    <n v="350"/>
    <n v="1500"/>
    <m/>
  </r>
  <r>
    <x v="132"/>
    <x v="5"/>
    <n v="1"/>
    <s v="A"/>
    <x v="25"/>
    <s v="51351/DAJU085090BAFPO70CERDANY"/>
    <s v="U+2"/>
    <s v="85X85X90"/>
    <x v="67"/>
    <n v="500"/>
    <n v="379.5"/>
    <n v="0.75900000000000001"/>
    <n v="2050"/>
    <n v="500"/>
    <n v="1550"/>
    <m/>
  </r>
  <r>
    <x v="132"/>
    <x v="5"/>
    <n v="1"/>
    <s v="A"/>
    <x v="16"/>
    <s v="PO1001/100X100X105"/>
    <s v="Q-BAG"/>
    <s v="105X105X110"/>
    <x v="59"/>
    <n v="525"/>
    <n v="1103.4449999999999"/>
    <n v="2.1017999999999999"/>
    <n v="3825"/>
    <n v="525"/>
    <n v="3300"/>
    <m/>
  </r>
  <r>
    <x v="132"/>
    <x v="5"/>
    <n v="1"/>
    <s v="A"/>
    <x v="25"/>
    <s v="51237/DAJU091160CABDO80SALABLALCA"/>
    <s v="U+2"/>
    <s v="91X91X160"/>
    <x v="66"/>
    <n v="550"/>
    <n v="994.94999999999993"/>
    <n v="1.8089999999999999"/>
    <n v="3475"/>
    <n v="550"/>
    <n v="2925"/>
    <m/>
  </r>
  <r>
    <x v="133"/>
    <x v="5"/>
    <n v="1"/>
    <s v="A"/>
    <x v="23"/>
    <s v="FVPL/PO/2026-00144"/>
    <s v="C-C"/>
    <s v="90X90X70"/>
    <x v="63"/>
    <n v="100"/>
    <n v="172.51000000000002"/>
    <n v="1.7251000000000001"/>
    <n v="1500"/>
    <n v="100"/>
    <n v="1400"/>
    <m/>
  </r>
  <r>
    <x v="133"/>
    <x v="5"/>
    <n v="1"/>
    <s v="A"/>
    <x v="26"/>
    <s v="PO-067345/DC 1299 S"/>
    <s v="C-C"/>
    <s v="90X90X90"/>
    <x v="68"/>
    <n v="500"/>
    <n v="671"/>
    <n v="1.3420000000000001"/>
    <n v="6820"/>
    <n v="500"/>
    <n v="6320"/>
    <m/>
  </r>
  <r>
    <x v="133"/>
    <x v="5"/>
    <n v="1"/>
    <s v="A"/>
    <x v="16"/>
    <s v="PO1001/100X100X105"/>
    <s v="Q-BAG"/>
    <s v="105X105X110"/>
    <x v="59"/>
    <n v="300"/>
    <n v="630.54"/>
    <n v="2.1017999999999999"/>
    <n v="3300"/>
    <n v="300"/>
    <n v="3000"/>
    <m/>
  </r>
  <r>
    <x v="133"/>
    <x v="5"/>
    <n v="1"/>
    <s v="A"/>
    <x v="25"/>
    <s v="51237/DAJU091160CABDO80SALABLALCA"/>
    <s v="U+2"/>
    <s v="91X91X160"/>
    <x v="66"/>
    <n v="350"/>
    <n v="633.15"/>
    <n v="1.8089999999999999"/>
    <n v="2925"/>
    <n v="350"/>
    <n v="2575"/>
    <m/>
  </r>
  <r>
    <x v="133"/>
    <x v="5"/>
    <n v="1"/>
    <s v="A"/>
    <x v="16"/>
    <s v="PO1002/90X90X75 TYPE C BAG"/>
    <s v="Q-BAG"/>
    <s v="90X90X75"/>
    <x v="65"/>
    <n v="50"/>
    <n v="110.995"/>
    <n v="2.2199"/>
    <n v="1500"/>
    <n v="50"/>
    <n v="1450"/>
    <m/>
  </r>
  <r>
    <x v="133"/>
    <x v="5"/>
    <n v="1"/>
    <s v="A"/>
    <x v="25"/>
    <s v="51351/DAJU085090BAFPO70CERDANY"/>
    <s v="U+2"/>
    <s v="85X85X90"/>
    <x v="67"/>
    <n v="1150"/>
    <n v="872.85"/>
    <n v="0.75900000000000001"/>
    <n v="1550"/>
    <n v="1150"/>
    <n v="400"/>
    <m/>
  </r>
  <r>
    <x v="134"/>
    <x v="5"/>
    <n v="1"/>
    <s v="A"/>
    <x v="26"/>
    <s v="PO-067345/DC 1299 S"/>
    <s v="C-C"/>
    <s v="90X90X90"/>
    <x v="68"/>
    <n v="950"/>
    <n v="1274.9000000000001"/>
    <n v="1.3420000000000001"/>
    <n v="6820"/>
    <n v="950"/>
    <n v="5870"/>
    <m/>
  </r>
  <r>
    <x v="134"/>
    <x v="5"/>
    <n v="1"/>
    <s v="A"/>
    <x v="16"/>
    <s v="PO1001/100X100X105"/>
    <s v="Q-BAG"/>
    <s v="105X105X110"/>
    <x v="59"/>
    <n v="550"/>
    <n v="1155.99"/>
    <n v="2.1017999999999999"/>
    <n v="3000"/>
    <n v="550"/>
    <n v="2450"/>
    <m/>
  </r>
  <r>
    <x v="134"/>
    <x v="5"/>
    <n v="1"/>
    <s v="A"/>
    <x v="16"/>
    <s v="PO1002/90X90X75 TYPE C BAG"/>
    <s v="Q-BAG"/>
    <s v="90X90X75"/>
    <x v="65"/>
    <n v="150"/>
    <n v="332.98500000000001"/>
    <n v="2.2199"/>
    <n v="1450"/>
    <n v="150"/>
    <n v="1300"/>
    <m/>
  </r>
  <r>
    <x v="134"/>
    <x v="5"/>
    <n v="1"/>
    <s v="A"/>
    <x v="25"/>
    <s v="51291/DAJU085090BAFPO70ARIMANY"/>
    <s v="U+2"/>
    <s v="85X85X90"/>
    <x v="69"/>
    <n v="800"/>
    <n v="607.20000000000005"/>
    <n v="0.75900000000000001"/>
    <n v="1000"/>
    <n v="800"/>
    <n v="200"/>
    <m/>
  </r>
  <r>
    <x v="134"/>
    <x v="5"/>
    <n v="1"/>
    <s v="A"/>
    <x v="25"/>
    <s v="51351/DAJU085090BAFPO70CERDANY"/>
    <s v="U+2"/>
    <s v="85X85X90"/>
    <x v="67"/>
    <n v="200"/>
    <n v="151.80000000000001"/>
    <n v="0.75900000000000001"/>
    <n v="400"/>
    <n v="200"/>
    <n v="200"/>
    <m/>
  </r>
  <r>
    <x v="135"/>
    <x v="5"/>
    <n v="1"/>
    <s v="A"/>
    <x v="26"/>
    <s v="PO-067345/DC 1299 S"/>
    <s v="C-C"/>
    <s v="90X90X90"/>
    <x v="68"/>
    <n v="675"/>
    <n v="905.85"/>
    <n v="1.3420000000000001"/>
    <n v="5370"/>
    <n v="675"/>
    <n v="4695"/>
    <m/>
  </r>
  <r>
    <x v="135"/>
    <x v="5"/>
    <n v="1"/>
    <s v="A"/>
    <x v="16"/>
    <s v="PO1001/100X100X105"/>
    <s v="Q-BAG"/>
    <s v="105X105X110"/>
    <x v="59"/>
    <n v="525"/>
    <n v="1103.4449999999999"/>
    <n v="2.1017999999999999"/>
    <n v="2450"/>
    <n v="525"/>
    <n v="1925"/>
    <m/>
  </r>
  <r>
    <x v="135"/>
    <x v="5"/>
    <n v="1"/>
    <s v="A"/>
    <x v="16"/>
    <s v="PO1002/90X90X75 TYPE C BAG"/>
    <s v="Q-BAG"/>
    <s v="90X90X75"/>
    <x v="65"/>
    <n v="250"/>
    <n v="554.97500000000002"/>
    <n v="2.2199"/>
    <n v="1300"/>
    <n v="250"/>
    <n v="1050"/>
    <m/>
  </r>
  <r>
    <x v="135"/>
    <x v="5"/>
    <n v="1"/>
    <s v="A"/>
    <x v="27"/>
    <s v="KPW/2026/CONT-176/05"/>
    <s v="U+2"/>
    <s v="85X85X90"/>
    <x v="70"/>
    <n v="1100"/>
    <n v="885.5"/>
    <n v="0.80500000000000005"/>
    <n v="4000"/>
    <n v="1100"/>
    <n v="2900"/>
    <m/>
  </r>
  <r>
    <x v="135"/>
    <x v="5"/>
    <n v="1"/>
    <s v="A"/>
    <x v="25"/>
    <s v="51291/DAJU085090BAFPO70ARIMANY"/>
    <s v="U+2"/>
    <s v="85X85X90"/>
    <x v="69"/>
    <n v="200"/>
    <n v="151.80000000000001"/>
    <n v="0.75900000000000001"/>
    <n v="200"/>
    <n v="200"/>
    <n v="0"/>
    <m/>
  </r>
  <r>
    <x v="135"/>
    <x v="5"/>
    <n v="1"/>
    <s v="A"/>
    <x v="25"/>
    <s v="51307/DAJU085090BAFP070BAHIA"/>
    <s v="U+2"/>
    <s v="85X85X90"/>
    <x v="71"/>
    <n v="750"/>
    <n v="723"/>
    <n v="0.96399999999999997"/>
    <n v="900"/>
    <n v="750"/>
    <n v="150"/>
    <m/>
  </r>
  <r>
    <x v="136"/>
    <x v="5"/>
    <n v="1"/>
    <s v="A"/>
    <x v="26"/>
    <s v="PO-067345/DC 1299 S"/>
    <s v="C-C"/>
    <s v="90X90X90"/>
    <x v="68"/>
    <n v="700"/>
    <n v="939.40000000000009"/>
    <n v="1.3420000000000001"/>
    <n v="4695"/>
    <n v="700"/>
    <n v="3995"/>
    <m/>
  </r>
  <r>
    <x v="136"/>
    <x v="5"/>
    <n v="1"/>
    <s v="A"/>
    <x v="16"/>
    <s v="PO1001/100X100X105"/>
    <s v="Q-BAG"/>
    <s v="105X105X110"/>
    <x v="59"/>
    <n v="505"/>
    <n v="1061.4089999999999"/>
    <n v="2.1017999999999999"/>
    <n v="1925"/>
    <n v="505"/>
    <n v="1420"/>
    <m/>
  </r>
  <r>
    <x v="136"/>
    <x v="5"/>
    <n v="1"/>
    <s v="A"/>
    <x v="16"/>
    <s v="PO1002/90X90X75 TYPE C BAG"/>
    <s v="Q-BAG"/>
    <s v="90X90X75"/>
    <x v="65"/>
    <n v="250"/>
    <n v="554.97500000000002"/>
    <n v="2.2199"/>
    <n v="1050"/>
    <n v="250"/>
    <n v="800"/>
    <m/>
  </r>
  <r>
    <x v="136"/>
    <x v="5"/>
    <n v="1"/>
    <s v="B"/>
    <x v="25"/>
    <s v="51237/DAJU091160CABDO80SALABLALCA"/>
    <s v="U+2"/>
    <s v="91X91X160"/>
    <x v="66"/>
    <n v="400"/>
    <n v="723.6"/>
    <n v="1.8089999999999999"/>
    <n v="2575"/>
    <n v="400"/>
    <n v="2175"/>
    <m/>
  </r>
  <r>
    <x v="136"/>
    <x v="5"/>
    <n v="1"/>
    <s v="A"/>
    <x v="19"/>
    <s v="22752/RO-HALLSTONE-RC"/>
    <s v="U+2"/>
    <s v="70X90X79"/>
    <x v="60"/>
    <n v="930"/>
    <n v="623.75099999999998"/>
    <n v="0.67069999999999996"/>
    <n v="1195"/>
    <n v="930"/>
    <n v="265"/>
    <m/>
  </r>
  <r>
    <x v="136"/>
    <x v="5"/>
    <n v="1"/>
    <s v="A"/>
    <x v="25"/>
    <s v="51307/DAJU085090BAFP070BAHIA"/>
    <s v="U+2"/>
    <s v="85X85X90"/>
    <x v="71"/>
    <n v="100"/>
    <n v="96.399999999999991"/>
    <n v="0.96399999999999997"/>
    <n v="150"/>
    <n v="100"/>
    <n v="50"/>
    <m/>
  </r>
  <r>
    <x v="137"/>
    <x v="5"/>
    <n v="1"/>
    <s v="A"/>
    <x v="26"/>
    <s v="PO-067345/DC 1299 S"/>
    <s v="C-C"/>
    <s v="90X90X90"/>
    <x v="68"/>
    <n v="950"/>
    <n v="1274.9000000000001"/>
    <n v="1.3420000000000001"/>
    <n v="3995"/>
    <n v="950"/>
    <n v="3045"/>
    <m/>
  </r>
  <r>
    <x v="137"/>
    <x v="5"/>
    <n v="1"/>
    <s v="A"/>
    <x v="16"/>
    <s v="PO1001/100X100X105"/>
    <s v="Q-BAG"/>
    <s v="105X105X110"/>
    <x v="59"/>
    <n v="300"/>
    <n v="630.54"/>
    <n v="2.1017999999999999"/>
    <n v="1420"/>
    <n v="300"/>
    <n v="1120"/>
    <m/>
  </r>
  <r>
    <x v="137"/>
    <x v="5"/>
    <n v="1"/>
    <s v="A"/>
    <x v="27"/>
    <s v="KPW/2026/CONT-176/05"/>
    <s v="U+2"/>
    <s v="85X85X90"/>
    <x v="70"/>
    <n v="450"/>
    <n v="362.25"/>
    <n v="0.80500000000000005"/>
    <n v="2900"/>
    <n v="450"/>
    <n v="2450"/>
    <m/>
  </r>
  <r>
    <x v="137"/>
    <x v="5"/>
    <n v="1"/>
    <s v="A"/>
    <x v="16"/>
    <s v="PO1002/90X90X75 TYPE C BAG"/>
    <s v="Q-BAG"/>
    <s v="90X90X75"/>
    <x v="65"/>
    <n v="90"/>
    <n v="199.791"/>
    <n v="2.2199"/>
    <n v="800"/>
    <n v="90"/>
    <n v="710"/>
    <m/>
  </r>
  <r>
    <x v="137"/>
    <x v="5"/>
    <n v="1"/>
    <s v="A"/>
    <x v="25"/>
    <s v="51237/DAJU091160CABDO80SALABLALCA"/>
    <s v="U+2"/>
    <s v="91X91X160"/>
    <x v="66"/>
    <n v="420"/>
    <n v="759.78"/>
    <n v="1.8089999999999999"/>
    <n v="2175"/>
    <n v="420"/>
    <n v="1755"/>
    <m/>
  </r>
  <r>
    <x v="137"/>
    <x v="5"/>
    <n v="1"/>
    <s v="A"/>
    <x v="25"/>
    <s v="51327/DAJU091110CABD070LOOP"/>
    <s v="U+2"/>
    <s v="91X91X110"/>
    <x v="72"/>
    <n v="325"/>
    <n v="419.57499999999999"/>
    <n v="1.2909999999999999"/>
    <n v="650"/>
    <n v="325"/>
    <n v="325"/>
    <m/>
  </r>
  <r>
    <x v="137"/>
    <x v="5"/>
    <n v="1"/>
    <s v="A"/>
    <x v="19"/>
    <s v="22752/JEWSON TERRALIS FIBC-RC"/>
    <s v="U+2"/>
    <s v="70X90X79"/>
    <x v="49"/>
    <n v="1200"/>
    <n v="804.83999999999992"/>
    <n v="0.67069999999999996"/>
    <n v="1360"/>
    <n v="1200"/>
    <n v="160"/>
    <m/>
  </r>
  <r>
    <x v="137"/>
    <x v="5"/>
    <n v="1"/>
    <s v="A"/>
    <x v="19"/>
    <s v="22752/RO-HALLSTONE-RC"/>
    <s v="U+2"/>
    <s v="70X90X79"/>
    <x v="60"/>
    <n v="200"/>
    <n v="134.13999999999999"/>
    <n v="0.67069999999999996"/>
    <n v="265"/>
    <n v="200"/>
    <n v="65"/>
    <m/>
  </r>
  <r>
    <x v="138"/>
    <x v="5"/>
    <n v="1"/>
    <s v="A"/>
    <x v="26"/>
    <s v="PO-067345/DC 1299 S"/>
    <s v="C-C"/>
    <s v="90X90X90"/>
    <x v="68"/>
    <n v="1050"/>
    <n v="1409.1000000000001"/>
    <n v="1.3420000000000001"/>
    <n v="3045"/>
    <n v="1050"/>
    <n v="1995"/>
    <m/>
  </r>
  <r>
    <x v="138"/>
    <x v="5"/>
    <n v="1"/>
    <s v="A"/>
    <x v="27"/>
    <s v="KPW/2026/CONT-176/05"/>
    <s v="U+2"/>
    <s v="85X85X90"/>
    <x v="70"/>
    <n v="550"/>
    <n v="442.75"/>
    <n v="0.80500000000000005"/>
    <n v="2450"/>
    <n v="550"/>
    <n v="1900"/>
    <m/>
  </r>
  <r>
    <x v="138"/>
    <x v="5"/>
    <n v="1"/>
    <s v="A"/>
    <x v="25"/>
    <s v="51327/DAJU091110CABD070LOOP"/>
    <s v="U+2"/>
    <s v="91X91X110"/>
    <x v="72"/>
    <n v="325"/>
    <n v="419.57499999999999"/>
    <n v="1.2909999999999999"/>
    <n v="325"/>
    <n v="325"/>
    <n v="0"/>
    <m/>
  </r>
  <r>
    <x v="138"/>
    <x v="5"/>
    <n v="1"/>
    <s v="A"/>
    <x v="19"/>
    <s v="22752/JEWSON TERRALIS FIBC-RC"/>
    <s v="U+2"/>
    <s v="70X90X79"/>
    <x v="49"/>
    <n v="160"/>
    <n v="107.312"/>
    <n v="0.67069999999999996"/>
    <n v="160"/>
    <n v="160"/>
    <n v="0"/>
    <m/>
  </r>
  <r>
    <x v="138"/>
    <x v="5"/>
    <n v="1"/>
    <s v="A"/>
    <x v="16"/>
    <s v="PO1001/100X100X105"/>
    <s v="Q-BAG"/>
    <s v="105X105X110"/>
    <x v="59"/>
    <n v="190"/>
    <n v="399.34199999999998"/>
    <n v="2.1017999999999999"/>
    <n v="1120"/>
    <n v="190"/>
    <n v="930"/>
    <m/>
  </r>
  <r>
    <x v="138"/>
    <x v="5"/>
    <n v="1"/>
    <s v="A"/>
    <x v="19"/>
    <s v="22752/RO-HALLSTONE-RC"/>
    <s v="U+2"/>
    <s v="70X90X79"/>
    <x v="60"/>
    <n v="65"/>
    <n v="43.595499999999994"/>
    <n v="0.67069999999999996"/>
    <n v="65"/>
    <n v="65"/>
    <n v="0"/>
    <m/>
  </r>
  <r>
    <x v="138"/>
    <x v="5"/>
    <n v="1"/>
    <s v="A"/>
    <x v="25"/>
    <s v="51237/DAJU091160CABDO80SALABLALCA"/>
    <s v="U+2"/>
    <s v="91X91X160"/>
    <x v="66"/>
    <n v="450"/>
    <n v="814.05"/>
    <n v="1.8089999999999999"/>
    <n v="1755"/>
    <n v="450"/>
    <n v="1305"/>
    <m/>
  </r>
  <r>
    <x v="139"/>
    <x v="5"/>
    <n v="1"/>
    <s v="A"/>
    <x v="26"/>
    <s v="PO-067345/DC 1299 S"/>
    <s v="C-C"/>
    <s v="90X90X90"/>
    <x v="68"/>
    <n v="950"/>
    <n v="1274.9000000000001"/>
    <n v="1.3420000000000001"/>
    <n v="1995"/>
    <n v="950"/>
    <n v="1045"/>
    <m/>
  </r>
  <r>
    <x v="139"/>
    <x v="5"/>
    <n v="1"/>
    <s v="A"/>
    <x v="27"/>
    <s v="KPW/2026/CONT-176/05"/>
    <s v="U+2"/>
    <s v="85X85X90"/>
    <x v="70"/>
    <n v="450"/>
    <n v="362.25"/>
    <n v="0.80500000000000005"/>
    <n v="1900"/>
    <n v="450"/>
    <n v="1450"/>
    <m/>
  </r>
  <r>
    <x v="139"/>
    <x v="5"/>
    <n v="1"/>
    <s v="A"/>
    <x v="25"/>
    <s v="51533DAJU100220BCBB080GREE"/>
    <s v="U+2"/>
    <s v="100X100X220"/>
    <x v="73"/>
    <n v="100"/>
    <n v="221.03000000000003"/>
    <n v="2.2103000000000002"/>
    <n v="1560"/>
    <n v="100"/>
    <n v="1460"/>
    <m/>
  </r>
  <r>
    <x v="139"/>
    <x v="5"/>
    <n v="1"/>
    <s v="A"/>
    <x v="27"/>
    <s v="KPW/2026/CONT-176/02"/>
    <s v="U+2"/>
    <s v="80X80X65"/>
    <x v="74"/>
    <n v="450"/>
    <n v="273.24"/>
    <n v="0.60719999999999996"/>
    <n v="1200"/>
    <n v="450"/>
    <n v="750"/>
    <m/>
  </r>
  <r>
    <x v="139"/>
    <x v="5"/>
    <n v="1"/>
    <s v="A"/>
    <x v="25"/>
    <s v="51217/DAJU080110BAFPO90CURRUCHO"/>
    <s v="U+2"/>
    <s v="80X80X110"/>
    <x v="75"/>
    <n v="500"/>
    <n v="583"/>
    <n v="1.1659999999999999"/>
    <n v="500"/>
    <n v="500"/>
    <n v="0"/>
    <m/>
  </r>
  <r>
    <x v="139"/>
    <x v="5"/>
    <n v="1"/>
    <s v="A"/>
    <x v="25"/>
    <s v="51346/DAJU091160CABD080LOOPS30CLEAN"/>
    <s v="U+2"/>
    <s v="91X91X160"/>
    <x v="76"/>
    <n v="450"/>
    <n v="814.94999999999993"/>
    <n v="1.8109999999999999"/>
    <n v="600"/>
    <n v="450"/>
    <n v="150"/>
    <m/>
  </r>
  <r>
    <x v="139"/>
    <x v="5"/>
    <n v="1"/>
    <s v="A"/>
    <x v="16"/>
    <s v="PO1001/100X100X105"/>
    <s v="Q-BAG"/>
    <s v="105X105X110"/>
    <x v="59"/>
    <n v="240"/>
    <n v="504.43199999999996"/>
    <n v="2.1017999999999999"/>
    <n v="930"/>
    <n v="240"/>
    <n v="690"/>
    <m/>
  </r>
  <r>
    <x v="139"/>
    <x v="5"/>
    <n v="1"/>
    <s v="A"/>
    <x v="25"/>
    <s v="51237/DAJU091160CABDO80SALABLALCA"/>
    <s v="U+2"/>
    <s v="91X91X160"/>
    <x v="66"/>
    <n v="585"/>
    <n v="1058.2649999999999"/>
    <n v="1.8089999999999999"/>
    <n v="1305"/>
    <n v="585"/>
    <n v="720"/>
    <m/>
  </r>
  <r>
    <x v="140"/>
    <x v="5"/>
    <n v="1"/>
    <s v="A"/>
    <x v="26"/>
    <s v="PO-067345/DC 1299 S"/>
    <s v="C-C"/>
    <s v="90X90X90"/>
    <x v="68"/>
    <n v="250"/>
    <n v="335.5"/>
    <n v="1.3420000000000001"/>
    <n v="1045"/>
    <n v="250"/>
    <n v="795"/>
    <m/>
  </r>
  <r>
    <x v="140"/>
    <x v="5"/>
    <n v="1"/>
    <s v="A"/>
    <x v="25"/>
    <s v="51533DAJU100220BCBB080GREE"/>
    <s v="U+2"/>
    <s v="100X100X220"/>
    <x v="73"/>
    <n v="100"/>
    <n v="221.03000000000003"/>
    <n v="2.2103000000000002"/>
    <n v="1460"/>
    <n v="100"/>
    <n v="1360"/>
    <m/>
  </r>
  <r>
    <x v="140"/>
    <x v="5"/>
    <n v="1"/>
    <s v="A"/>
    <x v="27"/>
    <s v="KPW/2026/CONT-176/02"/>
    <s v="U+2"/>
    <s v="80X80X65"/>
    <x v="74"/>
    <n v="100"/>
    <n v="60.72"/>
    <n v="0.60719999999999996"/>
    <n v="750"/>
    <n v="100"/>
    <n v="650"/>
    <m/>
  </r>
  <r>
    <x v="140"/>
    <x v="5"/>
    <n v="1"/>
    <s v="A"/>
    <x v="25"/>
    <s v="51237/DAJU091160CABDO80SALABLALCA"/>
    <s v="U+2"/>
    <s v="91X91X160"/>
    <x v="66"/>
    <n v="150"/>
    <n v="271.34999999999997"/>
    <n v="1.8089999999999999"/>
    <n v="720"/>
    <n v="150"/>
    <n v="570"/>
    <m/>
  </r>
  <r>
    <x v="141"/>
    <x v="5"/>
    <n v="1"/>
    <s v="A"/>
    <x v="26"/>
    <s v="PO-067345/DC 1299 S"/>
    <s v="C-C"/>
    <s v="90X90X90"/>
    <x v="68"/>
    <n v="300"/>
    <n v="402.6"/>
    <n v="1.3420000000000001"/>
    <n v="795"/>
    <n v="300"/>
    <n v="495"/>
    <m/>
  </r>
  <r>
    <x v="141"/>
    <x v="5"/>
    <n v="1"/>
    <s v="A"/>
    <x v="27"/>
    <s v="KPW/2026/CONT-176/02"/>
    <s v="U+2"/>
    <s v="80X80X65"/>
    <x v="74"/>
    <n v="150"/>
    <n v="91.08"/>
    <n v="0.60719999999999996"/>
    <n v="650"/>
    <n v="150"/>
    <n v="500"/>
    <m/>
  </r>
  <r>
    <x v="141"/>
    <x v="5"/>
    <n v="1"/>
    <s v="A"/>
    <x v="16"/>
    <s v="PO1001/100X100X105"/>
    <s v="Q-BAG"/>
    <s v="105X105X110"/>
    <x v="59"/>
    <n v="190"/>
    <n v="399.34199999999998"/>
    <n v="2.1017999999999999"/>
    <n v="690"/>
    <n v="190"/>
    <n v="500"/>
    <m/>
  </r>
  <r>
    <x v="141"/>
    <x v="5"/>
    <n v="1"/>
    <s v="A"/>
    <x v="25"/>
    <s v="51237/DAJU091160CABDO80SALABLALCA"/>
    <s v="U+2"/>
    <s v="91X91X160"/>
    <x v="66"/>
    <n v="200"/>
    <n v="361.8"/>
    <n v="1.8089999999999999"/>
    <n v="570"/>
    <n v="200"/>
    <n v="370"/>
    <m/>
  </r>
  <r>
    <x v="142"/>
    <x v="5"/>
    <n v="1"/>
    <s v="A"/>
    <x v="26"/>
    <s v="PO-067345/DC 1299 S"/>
    <s v="C-C"/>
    <s v="90X90X90"/>
    <x v="68"/>
    <n v="495"/>
    <n v="664.29000000000008"/>
    <n v="1.3420000000000001"/>
    <n v="495"/>
    <n v="495"/>
    <n v="0"/>
    <m/>
  </r>
  <r>
    <x v="142"/>
    <x v="5"/>
    <n v="1"/>
    <s v="A"/>
    <x v="26"/>
    <s v="PO-67345/KDC 5905"/>
    <s v="C-C"/>
    <s v="90X90X50"/>
    <x v="77"/>
    <n v="700"/>
    <n v="758.1"/>
    <n v="1.083"/>
    <n v="3200"/>
    <n v="700"/>
    <n v="2500"/>
    <m/>
  </r>
  <r>
    <x v="142"/>
    <x v="5"/>
    <n v="1"/>
    <s v="A"/>
    <x v="16"/>
    <s v="PO1002/90X90X75 TYPE C BAG"/>
    <s v="Q-BAG"/>
    <s v="90X90X75"/>
    <x v="65"/>
    <n v="50"/>
    <n v="110.995"/>
    <n v="2.2199"/>
    <n v="710"/>
    <n v="50"/>
    <n v="660"/>
    <m/>
  </r>
  <r>
    <x v="142"/>
    <x v="5"/>
    <n v="1"/>
    <s v="A"/>
    <x v="25"/>
    <s v="51533DAJU100220BCBB080GREE"/>
    <s v="U+2"/>
    <s v="100X100X220"/>
    <x v="73"/>
    <n v="310"/>
    <n v="685.1930000000001"/>
    <n v="2.2103000000000002"/>
    <n v="1360"/>
    <n v="310"/>
    <n v="1050"/>
    <m/>
  </r>
  <r>
    <x v="142"/>
    <x v="5"/>
    <n v="1"/>
    <s v="A"/>
    <x v="27"/>
    <s v="KPW/2026/CONT-176/02"/>
    <s v="U+2"/>
    <s v="80X80X65"/>
    <x v="74"/>
    <n v="400"/>
    <n v="242.88"/>
    <n v="0.60719999999999996"/>
    <n v="500"/>
    <n v="400"/>
    <n v="100"/>
    <m/>
  </r>
  <r>
    <x v="142"/>
    <x v="5"/>
    <n v="1"/>
    <s v="A"/>
    <x v="25"/>
    <s v="51346/DAJU091160CABD080LOOPS30CLEAN"/>
    <s v="U+2"/>
    <s v="91X91X160"/>
    <x v="76"/>
    <n v="150"/>
    <n v="271.64999999999998"/>
    <n v="1.8109999999999999"/>
    <n v="150"/>
    <n v="150"/>
    <n v="0"/>
    <m/>
  </r>
  <r>
    <x v="142"/>
    <x v="5"/>
    <n v="1"/>
    <s v="A"/>
    <x v="25"/>
    <s v="51143/DAJU091100CAFP070AGROBAL"/>
    <s v="U+2"/>
    <s v="91X91X100"/>
    <x v="78"/>
    <n v="800"/>
    <n v="926.4"/>
    <n v="1.1579999999999999"/>
    <n v="1050"/>
    <n v="800"/>
    <n v="250"/>
    <m/>
  </r>
  <r>
    <x v="142"/>
    <x v="5"/>
    <n v="1"/>
    <s v="A"/>
    <x v="27"/>
    <s v="KPW/2026/CONT-176/05"/>
    <s v="U+2"/>
    <s v="85X85X90"/>
    <x v="70"/>
    <n v="150"/>
    <n v="120.75000000000001"/>
    <n v="0.80500000000000005"/>
    <n v="1450"/>
    <n v="150"/>
    <n v="1300"/>
    <m/>
  </r>
  <r>
    <x v="142"/>
    <x v="5"/>
    <n v="1"/>
    <s v="A"/>
    <x v="25"/>
    <s v="51237/DAJU091160CABDO80SALABLALCA"/>
    <s v="U+2"/>
    <s v="91X91X160"/>
    <x v="66"/>
    <n v="370"/>
    <n v="669.32999999999993"/>
    <n v="1.8089999999999999"/>
    <n v="370"/>
    <n v="370"/>
    <n v="0"/>
    <m/>
  </r>
  <r>
    <x v="142"/>
    <x v="5"/>
    <n v="1"/>
    <s v="A"/>
    <x v="16"/>
    <s v="PO1001/100X100X105"/>
    <s v="Q-BAG"/>
    <s v="105X105X110"/>
    <x v="59"/>
    <n v="145"/>
    <n v="304.76099999999997"/>
    <n v="2.1017999999999999"/>
    <n v="500"/>
    <n v="145"/>
    <n v="355"/>
    <m/>
  </r>
  <r>
    <x v="143"/>
    <x v="5"/>
    <n v="1"/>
    <s v="A"/>
    <x v="26"/>
    <s v="PO-67345/KDC 5905"/>
    <s v="C-C"/>
    <s v="90X90X50"/>
    <x v="77"/>
    <n v="1800"/>
    <n v="1949.3999999999999"/>
    <n v="1.083"/>
    <n v="2500"/>
    <n v="1800"/>
    <n v="700"/>
    <m/>
  </r>
  <r>
    <x v="143"/>
    <x v="5"/>
    <n v="1"/>
    <s v="A"/>
    <x v="25"/>
    <s v="51332/DAJU080085BAFP070CHICANO"/>
    <s v="U+2"/>
    <s v="80X80X85"/>
    <x v="79"/>
    <n v="1800"/>
    <n v="1312.2"/>
    <n v="0.72899999999999998"/>
    <n v="2400"/>
    <n v="1800"/>
    <n v="600"/>
    <m/>
  </r>
  <r>
    <x v="143"/>
    <x v="5"/>
    <n v="1"/>
    <s v="A"/>
    <x v="16"/>
    <s v="PO1001/100X100X105"/>
    <s v="Q-BAG"/>
    <s v="105X105X110"/>
    <x v="59"/>
    <n v="225"/>
    <n v="472.90499999999997"/>
    <n v="2.1017999999999999"/>
    <n v="355"/>
    <n v="225"/>
    <n v="130"/>
    <m/>
  </r>
  <r>
    <x v="143"/>
    <x v="5"/>
    <n v="1"/>
    <s v="A"/>
    <x v="27"/>
    <s v="KPW/2026/CONT-176/05"/>
    <s v="U+2"/>
    <s v="85X85X90"/>
    <x v="70"/>
    <n v="1000"/>
    <n v="805"/>
    <n v="0.80500000000000005"/>
    <n v="1300"/>
    <n v="1000"/>
    <n v="300"/>
    <m/>
  </r>
  <r>
    <x v="144"/>
    <x v="5"/>
    <n v="1"/>
    <s v="A"/>
    <x v="26"/>
    <s v="PO-67345/KDC 5905"/>
    <s v="C-C"/>
    <s v="90X90X50"/>
    <x v="77"/>
    <n v="650"/>
    <n v="703.94999999999993"/>
    <n v="1.083"/>
    <n v="700"/>
    <n v="650"/>
    <n v="50"/>
    <m/>
  </r>
  <r>
    <x v="144"/>
    <x v="5"/>
    <n v="1"/>
    <s v="A"/>
    <x v="26"/>
    <s v="PO-067345/KDC 12912"/>
    <s v="C-C"/>
    <s v="90x90x120"/>
    <x v="80"/>
    <n v="450"/>
    <n v="699.75"/>
    <n v="1.5549999999999999"/>
    <n v="2160"/>
    <n v="450"/>
    <n v="1710"/>
    <m/>
  </r>
  <r>
    <x v="144"/>
    <x v="5"/>
    <n v="1"/>
    <s v="A"/>
    <x v="25"/>
    <s v="51240/DAJU091120CAFP070BIASBESTO"/>
    <s v="U+2"/>
    <s v="91X91X120"/>
    <x v="81"/>
    <n v="200"/>
    <n v="254.4"/>
    <n v="1.272"/>
    <n v="400"/>
    <n v="200"/>
    <n v="200"/>
    <m/>
  </r>
  <r>
    <x v="144"/>
    <x v="5"/>
    <n v="1"/>
    <s v="A"/>
    <x v="16"/>
    <s v="PO1002/90X90X75 TYPE C BAG"/>
    <s v="Q-BAG"/>
    <s v="90X90X75"/>
    <x v="65"/>
    <n v="30"/>
    <n v="66.596999999999994"/>
    <n v="2.2199"/>
    <n v="660"/>
    <n v="30"/>
    <n v="630"/>
    <m/>
  </r>
  <r>
    <x v="144"/>
    <x v="5"/>
    <n v="1"/>
    <s v="A"/>
    <x v="25"/>
    <s v="51332/DAJU080085BAFP070CHICANO"/>
    <s v="U+2"/>
    <s v="80X80X85"/>
    <x v="79"/>
    <n v="300"/>
    <n v="218.7"/>
    <n v="0.72899999999999998"/>
    <n v="600"/>
    <n v="300"/>
    <n v="300"/>
    <m/>
  </r>
  <r>
    <x v="144"/>
    <x v="5"/>
    <n v="1"/>
    <s v="A"/>
    <x v="27"/>
    <s v="KPW/2026/CONT-176/02"/>
    <s v="U+2"/>
    <s v="80X80X65"/>
    <x v="74"/>
    <n v="100"/>
    <n v="60.72"/>
    <n v="0.60719999999999996"/>
    <n v="100"/>
    <n v="100"/>
    <n v="0"/>
    <m/>
  </r>
  <r>
    <x v="144"/>
    <x v="5"/>
    <n v="1"/>
    <s v="A"/>
    <x v="25"/>
    <s v="51143/DAJU091100CAFP070AGROBAL"/>
    <s v="U+2"/>
    <s v="91X91X100"/>
    <x v="78"/>
    <n v="250"/>
    <n v="289.5"/>
    <n v="1.1579999999999999"/>
    <n v="250"/>
    <n v="250"/>
    <n v="0"/>
    <m/>
  </r>
  <r>
    <x v="144"/>
    <x v="5"/>
    <n v="1"/>
    <s v="A"/>
    <x v="27"/>
    <s v="KPW/2026/CONT-176/03"/>
    <s v="U+2"/>
    <s v="80x80x90"/>
    <x v="82"/>
    <n v="1050"/>
    <n v="770.38499999999999"/>
    <n v="0.73370000000000002"/>
    <n v="1200"/>
    <n v="1050"/>
    <n v="150"/>
    <m/>
  </r>
  <r>
    <x v="144"/>
    <x v="5"/>
    <n v="1"/>
    <s v="A"/>
    <x v="16"/>
    <s v="PO1001/100X100X105"/>
    <s v="Q-BAG"/>
    <s v="105X105X110"/>
    <x v="59"/>
    <n v="130"/>
    <n v="273.23399999999998"/>
    <n v="2.1017999999999999"/>
    <n v="130"/>
    <n v="130"/>
    <n v="0"/>
    <m/>
  </r>
  <r>
    <x v="144"/>
    <x v="5"/>
    <n v="1"/>
    <s v="A"/>
    <x v="25"/>
    <s v="51298/DAJU080090BAFP070CANTA"/>
    <s v="U+2"/>
    <s v="80x80x90"/>
    <x v="83"/>
    <n v="500"/>
    <n v="371.5"/>
    <n v="0.74299999999999999"/>
    <n v="500"/>
    <n v="500"/>
    <n v="0"/>
    <m/>
  </r>
  <r>
    <x v="144"/>
    <x v="5"/>
    <n v="1"/>
    <s v="A"/>
    <x v="25"/>
    <s v="51485/DAJU091110BCFP070BILOO"/>
    <s v="U+2"/>
    <s v="91X91X110"/>
    <x v="84"/>
    <n v="75"/>
    <n v="83.43"/>
    <n v="1.1124000000000001"/>
    <n v="675"/>
    <n v="75"/>
    <n v="600"/>
    <m/>
  </r>
  <r>
    <x v="144"/>
    <x v="5"/>
    <n v="1"/>
    <s v="A"/>
    <x v="27"/>
    <s v="KPW/2026/CONT-176/05"/>
    <s v="U+2"/>
    <s v="85X85X90"/>
    <x v="70"/>
    <n v="250"/>
    <n v="201.25"/>
    <n v="0.80500000000000005"/>
    <n v="300"/>
    <n v="250"/>
    <n v="50"/>
    <m/>
  </r>
  <r>
    <x v="145"/>
    <x v="5"/>
    <n v="1"/>
    <s v="A"/>
    <x v="26"/>
    <s v="PO-067345/KDC 12912"/>
    <s v="C-C"/>
    <s v="90x90x120"/>
    <x v="80"/>
    <n v="850"/>
    <n v="1321.75"/>
    <n v="1.5549999999999999"/>
    <n v="1710"/>
    <n v="850"/>
    <n v="860"/>
    <m/>
  </r>
  <r>
    <x v="145"/>
    <x v="5"/>
    <n v="1"/>
    <s v="A"/>
    <x v="25"/>
    <s v="51240/DAJU091120CAFP070BIASBESTO"/>
    <s v="U+2"/>
    <s v="91X91X120"/>
    <x v="81"/>
    <n v="200"/>
    <n v="254.4"/>
    <n v="1.272"/>
    <n v="200"/>
    <n v="200"/>
    <n v="0"/>
    <m/>
  </r>
  <r>
    <x v="145"/>
    <x v="5"/>
    <n v="1"/>
    <s v="A"/>
    <x v="27"/>
    <s v="KPW/2026/CONT-176/04"/>
    <s v="U+2"/>
    <s v="80x80x90"/>
    <x v="85"/>
    <n v="725"/>
    <n v="531.9325"/>
    <n v="0.73370000000000002"/>
    <n v="2400"/>
    <n v="725"/>
    <n v="1675"/>
    <m/>
  </r>
  <r>
    <x v="145"/>
    <x v="5"/>
    <n v="1"/>
    <s v="A"/>
    <x v="27"/>
    <s v="KPW/2026/CONT-176/03"/>
    <s v="U+2"/>
    <s v="80x80x90"/>
    <x v="82"/>
    <n v="150"/>
    <n v="110.05500000000001"/>
    <n v="0.73370000000000002"/>
    <n v="150"/>
    <n v="150"/>
    <n v="0"/>
    <m/>
  </r>
  <r>
    <x v="145"/>
    <x v="5"/>
    <n v="1"/>
    <s v="A"/>
    <x v="16"/>
    <s v="PO1002/90X90X75 TYPE C BAG"/>
    <s v="Q-BAG"/>
    <s v="90X90X75"/>
    <x v="65"/>
    <n v="120"/>
    <n v="266.38799999999998"/>
    <n v="2.2199"/>
    <n v="630"/>
    <n v="120"/>
    <n v="510"/>
    <m/>
  </r>
  <r>
    <x v="145"/>
    <x v="5"/>
    <n v="1"/>
    <s v="A"/>
    <x v="27"/>
    <s v="KPW/2026/CONT-176/05"/>
    <s v="U+2"/>
    <s v="85X85X90"/>
    <x v="70"/>
    <n v="50"/>
    <n v="40.25"/>
    <n v="0.80500000000000005"/>
    <n v="50"/>
    <n v="50"/>
    <n v="0"/>
    <m/>
  </r>
  <r>
    <x v="145"/>
    <x v="5"/>
    <n v="1"/>
    <s v="A"/>
    <x v="25"/>
    <s v="51485/DAJU091110BCFP070BILOO"/>
    <s v="U+2"/>
    <s v="91X91X110"/>
    <x v="84"/>
    <n v="600"/>
    <n v="667.44"/>
    <n v="1.1124000000000001"/>
    <n v="600"/>
    <n v="600"/>
    <n v="0"/>
    <m/>
  </r>
  <r>
    <x v="146"/>
    <x v="5"/>
    <n v="1"/>
    <s v="A"/>
    <x v="26"/>
    <s v="PO-067345/KDC 12912"/>
    <s v="C-C"/>
    <s v="90x90x120"/>
    <x v="80"/>
    <n v="860"/>
    <n v="1337.3"/>
    <n v="1.5549999999999999"/>
    <n v="860"/>
    <n v="860"/>
    <n v="0"/>
    <m/>
  </r>
  <r>
    <x v="146"/>
    <x v="5"/>
    <n v="1"/>
    <s v="A"/>
    <x v="26"/>
    <s v="PO-67345/KDC 5905"/>
    <s v="C-C"/>
    <s v="90X90X50"/>
    <x v="77"/>
    <n v="75"/>
    <n v="81.224999999999994"/>
    <n v="1.083"/>
    <n v="75"/>
    <n v="75"/>
    <n v="0"/>
    <m/>
  </r>
  <r>
    <x v="146"/>
    <x v="5"/>
    <n v="1"/>
    <s v="A"/>
    <x v="26"/>
    <s v="PO-067345/KDC 121016"/>
    <s v="C-C"/>
    <s v="100X100X160"/>
    <x v="86"/>
    <n v="25"/>
    <n v="48.55"/>
    <n v="1.9419999999999999"/>
    <n v="1050"/>
    <n v="25"/>
    <n v="1025"/>
    <m/>
  </r>
  <r>
    <x v="146"/>
    <x v="5"/>
    <n v="1"/>
    <s v="A"/>
    <x v="28"/>
    <s v="AOLBD2026270158"/>
    <s v="U+2"/>
    <s v="90X90X75"/>
    <x v="87"/>
    <n v="200"/>
    <n v="479"/>
    <n v="2.395"/>
    <n v="300"/>
    <n v="200"/>
    <n v="100"/>
    <m/>
  </r>
  <r>
    <x v="146"/>
    <x v="5"/>
    <n v="1"/>
    <s v="A"/>
    <x v="27"/>
    <s v="KPW/2026/CONT-176/04"/>
    <s v="U+2"/>
    <s v="80x80x90"/>
    <x v="85"/>
    <n v="1675"/>
    <n v="1228.9475"/>
    <n v="0.73370000000000002"/>
    <n v="1675"/>
    <n v="1675"/>
    <n v="0"/>
    <m/>
  </r>
  <r>
    <x v="146"/>
    <x v="5"/>
    <n v="1"/>
    <s v="A"/>
    <x v="25"/>
    <s v="51332/DAJU080085BAFP070CHICANO"/>
    <s v="U+2"/>
    <s v="80X80X85"/>
    <x v="79"/>
    <n v="300"/>
    <n v="218.7"/>
    <n v="0.72899999999999998"/>
    <n v="300"/>
    <n v="300"/>
    <n v="0"/>
    <m/>
  </r>
  <r>
    <x v="146"/>
    <x v="5"/>
    <n v="1"/>
    <s v="A"/>
    <x v="16"/>
    <s v="PO1002/90X90X75 TYPE C BAG"/>
    <s v="Q-BAG"/>
    <s v="90X90X75"/>
    <x v="65"/>
    <n v="145"/>
    <n v="321.88549999999998"/>
    <n v="2.2199"/>
    <n v="510"/>
    <n v="145"/>
    <n v="365"/>
    <m/>
  </r>
  <r>
    <x v="147"/>
    <x v="5"/>
    <n v="1"/>
    <s v="A"/>
    <x v="26"/>
    <s v="PO-067345/KDC 121016"/>
    <s v="C-C"/>
    <s v="100X100X160"/>
    <x v="86"/>
    <n v="550"/>
    <n v="1068.0999999999999"/>
    <n v="1.9419999999999999"/>
    <n v="1025"/>
    <n v="550"/>
    <n v="475"/>
    <m/>
  </r>
  <r>
    <x v="147"/>
    <x v="5"/>
    <n v="1"/>
    <s v="A"/>
    <x v="28"/>
    <s v="AOLBD2026270158"/>
    <s v="U+2"/>
    <s v="90X90X75"/>
    <x v="87"/>
    <n v="100"/>
    <n v="239.5"/>
    <n v="2.395"/>
    <n v="100"/>
    <n v="100"/>
    <n v="0"/>
    <m/>
  </r>
  <r>
    <x v="147"/>
    <x v="5"/>
    <n v="1"/>
    <s v="A"/>
    <x v="27"/>
    <s v="KPW/2026/CONT-176/08"/>
    <s v="U+2"/>
    <s v="85X85X90"/>
    <x v="88"/>
    <n v="475"/>
    <n v="382.375"/>
    <n v="0.80500000000000005"/>
    <n v="1000"/>
    <n v="475"/>
    <n v="525"/>
    <m/>
  </r>
  <r>
    <x v="147"/>
    <x v="5"/>
    <n v="1"/>
    <s v="A"/>
    <x v="29"/>
    <s v="PNHF-18-MI."/>
    <s v="U+2"/>
    <s v="90x90x120"/>
    <x v="89"/>
    <n v="500"/>
    <n v="583.55000000000007"/>
    <n v="1.1671"/>
    <n v="1520"/>
    <n v="500"/>
    <n v="1020"/>
    <m/>
  </r>
  <r>
    <x v="147"/>
    <x v="5"/>
    <n v="1"/>
    <s v="A"/>
    <x v="25"/>
    <s v="51351/DAJU085090BAFPO70CERDANY"/>
    <s v="U+2"/>
    <s v="85X85X90"/>
    <x v="67"/>
    <n v="200"/>
    <n v="151.80000000000001"/>
    <n v="0.75900000000000001"/>
    <n v="200"/>
    <n v="200"/>
    <n v="0"/>
    <m/>
  </r>
  <r>
    <x v="147"/>
    <x v="5"/>
    <n v="1"/>
    <s v="A"/>
    <x v="25"/>
    <s v="51307/DAJU085090BAFP070BAHIA"/>
    <s v="U+2"/>
    <s v="85X85X90"/>
    <x v="71"/>
    <n v="50"/>
    <n v="48.199999999999996"/>
    <n v="0.96399999999999997"/>
    <n v="50"/>
    <n v="50"/>
    <n v="0"/>
    <m/>
  </r>
  <r>
    <x v="148"/>
    <x v="6"/>
    <n v="1"/>
    <s v="A"/>
    <x v="26"/>
    <s v="PO-067345/KDC 121016"/>
    <s v="C-C"/>
    <s v="100X100X160"/>
    <x v="86"/>
    <n v="475"/>
    <n v="922.44999999999993"/>
    <n v="1.9419999999999999"/>
    <n v="475"/>
    <n v="475"/>
    <n v="0"/>
    <m/>
  </r>
  <r>
    <x v="148"/>
    <x v="6"/>
    <n v="1"/>
    <s v="A"/>
    <x v="26"/>
    <s v="PO-067345/BB DC 60"/>
    <s v="U+2-C-C"/>
    <s v="60X60X60"/>
    <x v="90"/>
    <n v="850"/>
    <n v="618.79999999999995"/>
    <n v="0.72799999999999998"/>
    <n v="2400"/>
    <n v="850"/>
    <n v="1550"/>
    <m/>
  </r>
  <r>
    <x v="148"/>
    <x v="6"/>
    <n v="1"/>
    <s v="A"/>
    <x v="25"/>
    <s v="51384/DAJU091100BAFPO70OTI"/>
    <s v="U+2"/>
    <s v="91X91X100"/>
    <x v="91"/>
    <n v="925"/>
    <n v="804.93499999999995"/>
    <n v="0.87019999999999997"/>
    <n v="1500"/>
    <n v="925"/>
    <n v="575"/>
    <m/>
  </r>
  <r>
    <x v="148"/>
    <x v="6"/>
    <n v="1"/>
    <s v="A"/>
    <x v="16"/>
    <s v="PO1002/90X90X75 TYPE C BAG"/>
    <s v="Q-BAG"/>
    <s v="90X90X75"/>
    <x v="65"/>
    <n v="110"/>
    <n v="244.18899999999999"/>
    <n v="2.2199"/>
    <n v="365"/>
    <n v="110"/>
    <n v="255"/>
    <m/>
  </r>
  <r>
    <x v="148"/>
    <x v="6"/>
    <n v="1"/>
    <s v="A"/>
    <x v="27"/>
    <s v="KPW/2026/CONT-176/06"/>
    <s v="U+2"/>
    <s v="85X85X90"/>
    <x v="92"/>
    <n v="500"/>
    <n v="402.5"/>
    <n v="0.80500000000000005"/>
    <n v="1000"/>
    <n v="500"/>
    <n v="500"/>
    <m/>
  </r>
  <r>
    <x v="148"/>
    <x v="6"/>
    <n v="1"/>
    <s v="A"/>
    <x v="27"/>
    <s v="KPW/2026/CONT-176/08"/>
    <s v="U+2"/>
    <s v="85X85X90"/>
    <x v="88"/>
    <n v="525"/>
    <n v="422.625"/>
    <n v="0.80500000000000005"/>
    <n v="525"/>
    <n v="525"/>
    <n v="0"/>
    <m/>
  </r>
  <r>
    <x v="149"/>
    <x v="6"/>
    <n v="1"/>
    <s v="A"/>
    <x v="6"/>
    <s v="FIBCO/PO/2026/0069/JBPL/CIR135"/>
    <s v="C-C"/>
    <s v="84X84X72"/>
    <x v="93"/>
    <n v="600"/>
    <n v="1102.2"/>
    <n v="1.837"/>
    <n v="13550"/>
    <n v="600"/>
    <n v="12950"/>
    <m/>
  </r>
  <r>
    <x v="149"/>
    <x v="6"/>
    <n v="1"/>
    <s v="A"/>
    <x v="26"/>
    <s v="PO-067345/BB DC 60"/>
    <s v="U+2-C-C"/>
    <s v="60X60X60"/>
    <x v="90"/>
    <n v="450"/>
    <n v="327.59999999999997"/>
    <n v="0.72799999999999998"/>
    <n v="1550"/>
    <n v="450"/>
    <n v="1100"/>
    <m/>
  </r>
  <r>
    <x v="149"/>
    <x v="6"/>
    <n v="1"/>
    <s v="A"/>
    <x v="25"/>
    <s v="51384/DAJU091100BAFPO70OTI"/>
    <s v="U+2"/>
    <s v="91X91X100"/>
    <x v="91"/>
    <n v="575"/>
    <n v="500.36500000000001"/>
    <n v="0.87019999999999997"/>
    <n v="575"/>
    <n v="575"/>
    <n v="0"/>
    <m/>
  </r>
  <r>
    <x v="149"/>
    <x v="6"/>
    <n v="1"/>
    <s v="A"/>
    <x v="29"/>
    <s v="PNHF-18-MI."/>
    <s v="U+2"/>
    <s v="90x90x120"/>
    <x v="89"/>
    <n v="200"/>
    <n v="233.42000000000002"/>
    <n v="1.1671"/>
    <n v="1020"/>
    <n v="200"/>
    <n v="820"/>
    <m/>
  </r>
  <r>
    <x v="149"/>
    <x v="6"/>
    <n v="1"/>
    <s v="A"/>
    <x v="30"/>
    <s v="PNHF-18-AI"/>
    <s v="U+2"/>
    <s v="90X90X90"/>
    <x v="94"/>
    <n v="500"/>
    <n v="489.59999999999997"/>
    <n v="0.97919999999999996"/>
    <n v="500"/>
    <n v="500"/>
    <n v="0"/>
    <m/>
  </r>
  <r>
    <x v="149"/>
    <x v="6"/>
    <n v="1"/>
    <s v="A"/>
    <x v="25"/>
    <s v="51507/DAJU080090BAFP070SANA"/>
    <s v="U+2"/>
    <s v="80x80x90"/>
    <x v="95"/>
    <n v="900"/>
    <n v="675.09"/>
    <n v="0.75009999999999999"/>
    <n v="6000"/>
    <n v="900"/>
    <n v="5100"/>
    <m/>
  </r>
  <r>
    <x v="149"/>
    <x v="6"/>
    <n v="1"/>
    <s v="A"/>
    <x v="16"/>
    <s v="PO1002/90X90X75 TYPE C BAG"/>
    <s v="Q-BAG"/>
    <s v="90X90X75"/>
    <x v="65"/>
    <n v="200"/>
    <n v="443.98"/>
    <n v="2.2199"/>
    <n v="255"/>
    <n v="200"/>
    <n v="55"/>
    <m/>
  </r>
  <r>
    <x v="149"/>
    <x v="6"/>
    <n v="1"/>
    <s v="A"/>
    <x v="25"/>
    <s v="51506/DAJU091100BAFP080PARA"/>
    <s v="U+2"/>
    <s v="91X91X100"/>
    <x v="96"/>
    <n v="800"/>
    <n v="823.44"/>
    <n v="1.0293000000000001"/>
    <n v="800"/>
    <n v="800"/>
    <n v="0"/>
    <m/>
  </r>
  <r>
    <x v="150"/>
    <x v="6"/>
    <n v="1"/>
    <s v="A"/>
    <x v="6"/>
    <s v="FIBCO/PO/2026/0069/JBPL/CIR135"/>
    <s v="C-C"/>
    <s v="84X84X72"/>
    <x v="93"/>
    <n v="575"/>
    <n v="1056.2750000000001"/>
    <n v="1.837"/>
    <n v="12950"/>
    <n v="575"/>
    <n v="12375"/>
    <m/>
  </r>
  <r>
    <x v="150"/>
    <x v="6"/>
    <n v="1"/>
    <s v="A"/>
    <x v="26"/>
    <s v="PO-067345/BB DC 60"/>
    <s v="U+2-C-C"/>
    <s v="60X60X60"/>
    <x v="90"/>
    <n v="375"/>
    <n v="273"/>
    <n v="0.72799999999999998"/>
    <n v="1100"/>
    <n v="375"/>
    <n v="725"/>
    <m/>
  </r>
  <r>
    <x v="150"/>
    <x v="6"/>
    <n v="1"/>
    <s v="A"/>
    <x v="23"/>
    <s v="FVPL/PO/2026-00144"/>
    <s v="C-C"/>
    <s v="90X90X70"/>
    <x v="63"/>
    <n v="165"/>
    <n v="284.64150000000001"/>
    <n v="1.7251000000000001"/>
    <n v="165"/>
    <n v="165"/>
    <n v="0"/>
    <m/>
  </r>
  <r>
    <x v="150"/>
    <x v="6"/>
    <n v="1"/>
    <s v="A"/>
    <x v="25"/>
    <s v="51507/DAJU080090BAFP070SANA"/>
    <s v="U+2"/>
    <s v="80x80x90"/>
    <x v="95"/>
    <n v="1450"/>
    <n v="1087.645"/>
    <n v="0.75009999999999999"/>
    <n v="5100"/>
    <n v="1450"/>
    <n v="3650"/>
    <m/>
  </r>
  <r>
    <x v="150"/>
    <x v="6"/>
    <n v="1"/>
    <s v="A"/>
    <x v="16"/>
    <s v="PO1002/90X90X75 TYPE C BAG"/>
    <s v="Q-BAG"/>
    <s v="90X90X75"/>
    <x v="65"/>
    <n v="55"/>
    <n v="122.0945"/>
    <n v="2.2199"/>
    <n v="55"/>
    <n v="55"/>
    <n v="0"/>
    <m/>
  </r>
  <r>
    <x v="150"/>
    <x v="6"/>
    <n v="1"/>
    <s v="A"/>
    <x v="25"/>
    <s v="51572/DAJU091120CAFP070BILOO"/>
    <s v="U+2"/>
    <s v="91X91X120"/>
    <x v="97"/>
    <n v="340"/>
    <n v="437.47800000000001"/>
    <n v="1.2867"/>
    <n v="840"/>
    <n v="340"/>
    <n v="500"/>
    <m/>
  </r>
  <r>
    <x v="150"/>
    <x v="6"/>
    <n v="1"/>
    <s v="A"/>
    <x v="27"/>
    <s v="KPW/2026/CONT-176/06"/>
    <s v="U+2"/>
    <s v="85X85X90"/>
    <x v="92"/>
    <n v="100"/>
    <n v="80.5"/>
    <n v="0.80500000000000005"/>
    <n v="500"/>
    <n v="100"/>
    <n v="400"/>
    <m/>
  </r>
  <r>
    <x v="150"/>
    <x v="6"/>
    <n v="1"/>
    <s v="A"/>
    <x v="25"/>
    <s v="51595/DAJU091140CABD090LOOP"/>
    <s v="U+2"/>
    <s v="91X91X140"/>
    <x v="98"/>
    <n v="540"/>
    <n v="1035.6120000000001"/>
    <n v="1.9177999999999999"/>
    <n v="1125"/>
    <n v="540"/>
    <n v="585"/>
    <m/>
  </r>
  <r>
    <x v="151"/>
    <x v="6"/>
    <n v="1"/>
    <s v="A"/>
    <x v="6"/>
    <s v="FIBCO/PO/2026/0069/JBPL/CIR135"/>
    <s v="C-C"/>
    <s v="84X84X72"/>
    <x v="93"/>
    <n v="675"/>
    <n v="1239.9749999999999"/>
    <n v="1.837"/>
    <n v="12375"/>
    <n v="675"/>
    <n v="11700"/>
    <m/>
  </r>
  <r>
    <x v="151"/>
    <x v="6"/>
    <n v="1"/>
    <s v="A"/>
    <x v="25"/>
    <s v="51507/DAJU080090BAFP070SANA"/>
    <s v="U+2"/>
    <s v="80x80x90"/>
    <x v="95"/>
    <n v="700"/>
    <n v="525.06999999999994"/>
    <n v="0.75009999999999999"/>
    <n v="3650"/>
    <n v="700"/>
    <n v="2950"/>
    <m/>
  </r>
  <r>
    <x v="151"/>
    <x v="6"/>
    <n v="1"/>
    <s v="A"/>
    <x v="31"/>
    <s v="AOLBBD2026270157"/>
    <s v="U+2"/>
    <s v="90x90x120"/>
    <x v="99"/>
    <n v="200"/>
    <n v="706.6"/>
    <n v="3.5329999999999999"/>
    <n v="300"/>
    <n v="200"/>
    <n v="100"/>
    <m/>
  </r>
  <r>
    <x v="151"/>
    <x v="6"/>
    <n v="1"/>
    <s v="A"/>
    <x v="27"/>
    <s v="KPW/2026/CONT-176/01"/>
    <s v="U+2"/>
    <s v="75X75X90"/>
    <x v="100"/>
    <n v="150"/>
    <n v="105"/>
    <n v="0.7"/>
    <n v="6000"/>
    <n v="150"/>
    <n v="5850"/>
    <m/>
  </r>
  <r>
    <x v="151"/>
    <x v="6"/>
    <n v="1"/>
    <s v="A"/>
    <x v="25"/>
    <s v="51572/DAJU091120CAFP070BILOO"/>
    <s v="U+2"/>
    <s v="91X91X120"/>
    <x v="97"/>
    <n v="500"/>
    <n v="1050"/>
    <n v="2.1"/>
    <n v="500"/>
    <n v="500"/>
    <n v="0"/>
    <m/>
  </r>
  <r>
    <x v="151"/>
    <x v="6"/>
    <n v="1"/>
    <s v="A"/>
    <x v="25"/>
    <s v="51566/DAJU091160CABD080LOOP"/>
    <s v="U+2"/>
    <s v="91X91X160"/>
    <x v="101"/>
    <n v="130"/>
    <n v="238.92700000000002"/>
    <n v="1.8379000000000001"/>
    <n v="235"/>
    <n v="130"/>
    <n v="105"/>
    <m/>
  </r>
  <r>
    <x v="151"/>
    <x v="6"/>
    <n v="1"/>
    <s v="A"/>
    <x v="25"/>
    <s v="51595/DAJU091140CABD090LOOP"/>
    <s v="U+2"/>
    <s v="91X91X140"/>
    <x v="98"/>
    <n v="540"/>
    <n v="1035.6120000000001"/>
    <n v="1.9177999999999999"/>
    <n v="585"/>
    <n v="540"/>
    <n v="45"/>
    <m/>
  </r>
  <r>
    <x v="152"/>
    <x v="6"/>
    <n v="1"/>
    <s v="A"/>
    <x v="6"/>
    <s v="FIBCO/PO/2026/0069/JBPL/CIR135"/>
    <s v="C-C"/>
    <s v="84X84X72"/>
    <x v="93"/>
    <n v="850"/>
    <n v="1561.45"/>
    <n v="1.837"/>
    <n v="11700"/>
    <n v="850"/>
    <n v="10850"/>
    <m/>
  </r>
  <r>
    <x v="152"/>
    <x v="6"/>
    <n v="1"/>
    <s v="A"/>
    <x v="25"/>
    <s v="51507/DAJU080090BAFP070SANA"/>
    <s v="U+2"/>
    <s v="80x80x90"/>
    <x v="95"/>
    <n v="100"/>
    <n v="75.010000000000005"/>
    <n v="0.75009999999999999"/>
    <n v="2950"/>
    <n v="100"/>
    <n v="2850"/>
    <m/>
  </r>
  <r>
    <x v="152"/>
    <x v="6"/>
    <n v="1"/>
    <s v="A"/>
    <x v="31"/>
    <s v="AOLBBD2026270157"/>
    <s v="U+2"/>
    <s v="90x90x120"/>
    <x v="99"/>
    <n v="100"/>
    <n v="353.3"/>
    <n v="3.5329999999999999"/>
    <n v="100"/>
    <n v="100"/>
    <n v="0"/>
    <m/>
  </r>
  <r>
    <x v="152"/>
    <x v="6"/>
    <n v="1"/>
    <s v="A"/>
    <x v="27"/>
    <s v="KPW/2026/CONT-176/01"/>
    <s v="U+2"/>
    <s v="75X75X90"/>
    <x v="100"/>
    <n v="1250"/>
    <n v="875"/>
    <n v="0.7"/>
    <n v="5850"/>
    <n v="1250"/>
    <n v="4600"/>
    <m/>
  </r>
  <r>
    <x v="152"/>
    <x v="6"/>
    <n v="1"/>
    <s v="A"/>
    <x v="25"/>
    <s v="51566/DAJU091160CABD080LOOP"/>
    <s v="U+2"/>
    <s v="91X91X160"/>
    <x v="101"/>
    <n v="105"/>
    <n v="192.9795"/>
    <n v="1.8379000000000001"/>
    <n v="105"/>
    <n v="105"/>
    <n v="0"/>
    <m/>
  </r>
  <r>
    <x v="152"/>
    <x v="6"/>
    <n v="1"/>
    <s v="A"/>
    <x v="25"/>
    <s v="51570/JAJU091180CABD070LOOP"/>
    <s v="U+2"/>
    <s v="91X91X180"/>
    <x v="102"/>
    <n v="245"/>
    <n v="427.42699999999996"/>
    <n v="1.7445999999999999"/>
    <n v="245"/>
    <n v="245"/>
    <n v="0"/>
    <m/>
  </r>
  <r>
    <x v="152"/>
    <x v="6"/>
    <n v="1"/>
    <s v="A"/>
    <x v="25"/>
    <s v="51585/DAJU091120CABD080LOOP"/>
    <s v="U+2"/>
    <s v="91X91X120"/>
    <x v="103"/>
    <n v="200"/>
    <n v="292.64"/>
    <n v="1.4632000000000001"/>
    <n v="300"/>
    <n v="200"/>
    <n v="100"/>
    <m/>
  </r>
  <r>
    <x v="152"/>
    <x v="6"/>
    <n v="1"/>
    <s v="A"/>
    <x v="25"/>
    <s v="51595/DAJU091140CABD090LOOP"/>
    <s v="U+2"/>
    <s v="91X91X140"/>
    <x v="98"/>
    <n v="45"/>
    <n v="86.301000000000002"/>
    <n v="1.9177999999999999"/>
    <n v="45"/>
    <n v="45"/>
    <n v="0"/>
    <m/>
  </r>
  <r>
    <x v="153"/>
    <x v="6"/>
    <n v="1"/>
    <s v="A"/>
    <x v="6"/>
    <s v="FIBCO/PO/2026/0069/JBPL/CIR135"/>
    <s v="C-C"/>
    <s v="84X84X72"/>
    <x v="93"/>
    <n v="1175"/>
    <n v="2158.4749999999999"/>
    <n v="1.837"/>
    <n v="10800"/>
    <n v="1175"/>
    <n v="9625"/>
    <m/>
  </r>
  <r>
    <x v="153"/>
    <x v="6"/>
    <n v="1"/>
    <s v="A"/>
    <x v="25"/>
    <s v="51507/DAJU080090BAFP070SANA"/>
    <s v="U+2"/>
    <s v="80x80x90"/>
    <x v="95"/>
    <n v="1200"/>
    <n v="900.12"/>
    <n v="0.75009999999999999"/>
    <n v="2850"/>
    <n v="1200"/>
    <n v="1650"/>
    <m/>
  </r>
  <r>
    <x v="153"/>
    <x v="6"/>
    <n v="1"/>
    <s v="A"/>
    <x v="26"/>
    <s v="PO-067345/BB DC 60"/>
    <s v="U+2-C-C"/>
    <s v="60X60X60"/>
    <x v="90"/>
    <n v="500"/>
    <n v="364"/>
    <n v="0.72799999999999998"/>
    <n v="725"/>
    <n v="500"/>
    <n v="225"/>
    <m/>
  </r>
  <r>
    <x v="153"/>
    <x v="6"/>
    <n v="1"/>
    <s v="A"/>
    <x v="27"/>
    <s v="KPW/2026/CONT-176/01"/>
    <s v="U+2"/>
    <s v="75X75X90"/>
    <x v="100"/>
    <n v="700"/>
    <n v="489.99999999999994"/>
    <n v="0.7"/>
    <n v="4600"/>
    <n v="700"/>
    <n v="3900"/>
    <m/>
  </r>
  <r>
    <x v="153"/>
    <x v="6"/>
    <n v="1"/>
    <s v="A"/>
    <x v="25"/>
    <s v="51513/DAJU085090BAFP070SANMARO"/>
    <s v="U+2"/>
    <s v="85X85X90"/>
    <x v="104"/>
    <n v="500"/>
    <n v="397.9"/>
    <n v="0.79579999999999995"/>
    <n v="500"/>
    <n v="500"/>
    <n v="0"/>
    <m/>
  </r>
  <r>
    <x v="153"/>
    <x v="6"/>
    <n v="1"/>
    <s v="A"/>
    <x v="25"/>
    <s v="51475/DAJU085090BAFP070RECO"/>
    <s v="U+2"/>
    <s v="85X85X90"/>
    <x v="105"/>
    <n v="400"/>
    <n v="318.32"/>
    <n v="0.79579999999999995"/>
    <n v="1000"/>
    <n v="400"/>
    <n v="600"/>
    <m/>
  </r>
  <r>
    <x v="153"/>
    <x v="6"/>
    <n v="1"/>
    <s v="A"/>
    <x v="25"/>
    <s v="51585/DAJU091120CABD080LOOP"/>
    <s v="U+2"/>
    <s v="91X91X120"/>
    <x v="103"/>
    <n v="100"/>
    <n v="146.32"/>
    <n v="1.4632000000000001"/>
    <n v="100"/>
    <n v="100"/>
    <n v="0"/>
    <m/>
  </r>
  <r>
    <x v="154"/>
    <x v="6"/>
    <n v="1"/>
    <s v="A"/>
    <x v="6"/>
    <s v="FIBCO/PO/2026/0069/JBPL/CIR135"/>
    <s v="C-C"/>
    <s v="84X84X72"/>
    <x v="93"/>
    <n v="930"/>
    <n v="1708.41"/>
    <n v="1.837"/>
    <n v="9625"/>
    <n v="930"/>
    <n v="8695"/>
    <m/>
  </r>
  <r>
    <x v="154"/>
    <x v="6"/>
    <n v="1"/>
    <s v="A"/>
    <x v="25"/>
    <s v="51507/DAJU080090BAFP070SANA"/>
    <s v="U+2"/>
    <s v="80x80x90"/>
    <x v="95"/>
    <n v="1350"/>
    <n v="1012.635"/>
    <n v="0.75009999999999999"/>
    <n v="1650"/>
    <n v="1350"/>
    <n v="300"/>
    <m/>
  </r>
  <r>
    <x v="154"/>
    <x v="6"/>
    <n v="1"/>
    <s v="A"/>
    <x v="26"/>
    <s v="PO-067345/BB DC 60"/>
    <s v="U+2-C-C"/>
    <s v="60X60X60"/>
    <x v="90"/>
    <n v="100"/>
    <n v="72.8"/>
    <n v="0.72799999999999998"/>
    <n v="225"/>
    <n v="100"/>
    <n v="125"/>
    <m/>
  </r>
  <r>
    <x v="154"/>
    <x v="6"/>
    <n v="1"/>
    <s v="A"/>
    <x v="27"/>
    <s v="KPW/2026/CONT-176/01"/>
    <s v="U+2"/>
    <s v="75X75X90"/>
    <x v="100"/>
    <n v="900"/>
    <n v="630"/>
    <n v="0.7"/>
    <n v="3900"/>
    <n v="900"/>
    <n v="3000"/>
    <m/>
  </r>
  <r>
    <x v="154"/>
    <x v="6"/>
    <n v="1"/>
    <s v="A"/>
    <x v="25"/>
    <s v="51520/DAJU091090BAFP070PAREDEH"/>
    <s v="U+2"/>
    <s v="91X91X90"/>
    <x v="106"/>
    <n v="500"/>
    <n v="414.75"/>
    <n v="0.82950000000000002"/>
    <n v="500"/>
    <n v="500"/>
    <n v="0"/>
    <m/>
  </r>
  <r>
    <x v="154"/>
    <x v="6"/>
    <n v="1"/>
    <s v="A"/>
    <x v="25"/>
    <s v="51475/DAJU085090BAFP070RECO"/>
    <s v="U+2"/>
    <s v="85X85X90"/>
    <x v="105"/>
    <n v="550"/>
    <n v="437.69"/>
    <n v="0.79579999999999995"/>
    <n v="600"/>
    <n v="550"/>
    <n v="50"/>
    <m/>
  </r>
  <r>
    <x v="154"/>
    <x v="6"/>
    <n v="1"/>
    <s v="A"/>
    <x v="27"/>
    <s v="KPW/2026/CONT-176/06"/>
    <s v="U+2"/>
    <s v="85X85X90"/>
    <x v="92"/>
    <n v="150"/>
    <n v="120.75000000000001"/>
    <n v="0.80500000000000005"/>
    <n v="400"/>
    <n v="150"/>
    <n v="250"/>
    <m/>
  </r>
  <r>
    <x v="155"/>
    <x v="6"/>
    <n v="1"/>
    <s v="A"/>
    <x v="6"/>
    <s v="FIBCO/PO/2026/0069/JBPL/CIR135"/>
    <s v="C-C"/>
    <s v="84X84X72"/>
    <x v="93"/>
    <n v="725"/>
    <n v="1331.825"/>
    <n v="1.837"/>
    <n v="8695"/>
    <n v="725"/>
    <n v="7970"/>
    <m/>
  </r>
  <r>
    <x v="155"/>
    <x v="6"/>
    <n v="1"/>
    <s v="A"/>
    <x v="6"/>
    <s v="FIBCO/PO/2026/0069/JBPL/CIR135"/>
    <s v="C-C"/>
    <s v="84X84X72"/>
    <x v="93"/>
    <n v="380"/>
    <n v="698.06"/>
    <n v="1.837"/>
    <n v="7970"/>
    <n v="380"/>
    <n v="7590"/>
    <m/>
  </r>
  <r>
    <x v="155"/>
    <x v="6"/>
    <n v="1"/>
    <s v="A"/>
    <x v="27"/>
    <s v="KPW/2026/CONT-176/01"/>
    <s v="U+2"/>
    <s v="75X75X90"/>
    <x v="100"/>
    <n v="2425"/>
    <n v="1697.5"/>
    <n v="0.7"/>
    <n v="3000"/>
    <n v="2425"/>
    <n v="575"/>
    <m/>
  </r>
  <r>
    <x v="155"/>
    <x v="6"/>
    <n v="1"/>
    <s v="A"/>
    <x v="30"/>
    <s v="PNHF-18-F1"/>
    <s v="U+2"/>
    <s v="80X80X80"/>
    <x v="107"/>
    <n v="50"/>
    <n v="42.494999999999997"/>
    <n v="0.84989999999999999"/>
    <n v="550"/>
    <n v="50"/>
    <n v="500"/>
    <m/>
  </r>
  <r>
    <x v="155"/>
    <x v="6"/>
    <n v="1"/>
    <s v="A"/>
    <x v="30"/>
    <s v="PNHF-18-F2"/>
    <s v="U+2"/>
    <s v="80X80X85"/>
    <x v="108"/>
    <n v="300"/>
    <n v="260.61"/>
    <n v="0.86870000000000003"/>
    <n v="300"/>
    <n v="300"/>
    <n v="0"/>
    <m/>
  </r>
  <r>
    <x v="155"/>
    <x v="6"/>
    <n v="1"/>
    <s v="A"/>
    <x v="27"/>
    <s v="KPW/2026/CONT-176/06"/>
    <s v="U+2"/>
    <s v="85X85X90"/>
    <x v="92"/>
    <n v="100"/>
    <n v="80.5"/>
    <n v="0.80500000000000005"/>
    <n v="250"/>
    <n v="100"/>
    <n v="150"/>
    <m/>
  </r>
  <r>
    <x v="156"/>
    <x v="6"/>
    <n v="1"/>
    <s v="A"/>
    <x v="6"/>
    <s v="FIBCO/PO/2026/0069/JBPL/CIR135"/>
    <s v="C-C"/>
    <s v="84X84X72"/>
    <x v="93"/>
    <n v="400"/>
    <n v="734.8"/>
    <n v="1.837"/>
    <n v="7590"/>
    <n v="400"/>
    <n v="7190"/>
    <m/>
  </r>
  <r>
    <x v="156"/>
    <x v="6"/>
    <n v="1"/>
    <s v="A"/>
    <x v="6"/>
    <s v="FIBCO/PO/2026/0069/JBPL/CIR135"/>
    <s v="C-C"/>
    <s v="84X84X72"/>
    <x v="93"/>
    <n v="300"/>
    <n v="551.1"/>
    <n v="1.837"/>
    <n v="7190"/>
    <n v="300"/>
    <n v="6890"/>
    <m/>
  </r>
  <r>
    <x v="156"/>
    <x v="6"/>
    <n v="1"/>
    <s v="A"/>
    <x v="6"/>
    <s v="FIBCO/PO/2026/0069/JBPL/CIR135"/>
    <s v="C-C"/>
    <s v="84X84X72"/>
    <x v="93"/>
    <n v="525"/>
    <n v="964.42499999999995"/>
    <n v="1.837"/>
    <n v="6890"/>
    <n v="525"/>
    <n v="6365"/>
    <m/>
  </r>
  <r>
    <x v="156"/>
    <x v="6"/>
    <n v="1"/>
    <s v="A"/>
    <x v="26"/>
    <s v="PO-067345/BB DC 60"/>
    <s v="U+2-C-C"/>
    <s v="60X60X60"/>
    <x v="90"/>
    <n v="125"/>
    <n v="91"/>
    <n v="0.72799999999999998"/>
    <n v="125"/>
    <n v="125"/>
    <n v="0"/>
    <m/>
  </r>
  <r>
    <x v="156"/>
    <x v="6"/>
    <n v="1"/>
    <s v="A"/>
    <x v="27"/>
    <s v="KPW/2026/CONT-176/01"/>
    <s v="U+2"/>
    <s v="75X75X90"/>
    <x v="100"/>
    <n v="300"/>
    <n v="210"/>
    <n v="0.7"/>
    <n v="575"/>
    <n v="300"/>
    <n v="275"/>
    <m/>
  </r>
  <r>
    <x v="156"/>
    <x v="6"/>
    <n v="1"/>
    <s v="A"/>
    <x v="30"/>
    <s v="PNHF-18-F1"/>
    <s v="U+2"/>
    <s v="80X80X80"/>
    <x v="107"/>
    <n v="425"/>
    <n v="361.20749999999998"/>
    <n v="0.84989999999999999"/>
    <n v="500"/>
    <n v="425"/>
    <n v="75"/>
    <m/>
  </r>
  <r>
    <x v="156"/>
    <x v="6"/>
    <n v="1"/>
    <s v="A"/>
    <x v="30"/>
    <s v="PNHF-18-DI."/>
    <s v="U+2"/>
    <s v="90X90X90"/>
    <x v="109"/>
    <n v="400"/>
    <n v="396.4"/>
    <n v="0.99099999999999999"/>
    <n v="500"/>
    <n v="400"/>
    <n v="100"/>
    <m/>
  </r>
  <r>
    <x v="156"/>
    <x v="6"/>
    <n v="1"/>
    <s v="A"/>
    <x v="32"/>
    <s v="PO-067345/KDS 20912"/>
    <s v="C-C"/>
    <s v="90x90x120"/>
    <x v="110"/>
    <n v="125"/>
    <n v="420.75"/>
    <n v="3.3660000000000001"/>
    <n v="125"/>
    <n v="125"/>
    <n v="0"/>
    <m/>
  </r>
  <r>
    <x v="157"/>
    <x v="6"/>
    <n v="1"/>
    <s v="A"/>
    <x v="6"/>
    <s v="FIBCO/PO/2026/0069/JBPL/CIR135"/>
    <s v="C-C"/>
    <s v="84X84X72"/>
    <x v="93"/>
    <n v="500"/>
    <n v="918.5"/>
    <n v="1.837"/>
    <n v="6365"/>
    <n v="500"/>
    <n v="5865"/>
    <m/>
  </r>
  <r>
    <x v="157"/>
    <x v="6"/>
    <n v="1"/>
    <s v="A"/>
    <x v="6"/>
    <s v="FIBCO/PO/2026/0069/JBPL/CIR135"/>
    <s v="C-C"/>
    <s v="84X84X72"/>
    <x v="93"/>
    <n v="350"/>
    <n v="642.94999999999993"/>
    <n v="1.837"/>
    <n v="5865"/>
    <n v="350"/>
    <n v="5515"/>
    <m/>
  </r>
  <r>
    <x v="157"/>
    <x v="6"/>
    <n v="1"/>
    <s v="A"/>
    <x v="6"/>
    <s v="FIBCO/PO/2026/0069/JBPL/CIR135"/>
    <s v="C-C"/>
    <s v="84X84X72"/>
    <x v="93"/>
    <n v="900"/>
    <n v="1653.3"/>
    <n v="1.837"/>
    <n v="5515"/>
    <n v="900"/>
    <n v="4615"/>
    <m/>
  </r>
  <r>
    <x v="157"/>
    <x v="6"/>
    <n v="1"/>
    <s v="A"/>
    <x v="33"/>
    <s v="PNHF-18-K I."/>
    <s v="U+2"/>
    <s v="99X99X204"/>
    <x v="111"/>
    <n v="250"/>
    <n v="552.25"/>
    <n v="2.2090000000000001"/>
    <n v="1600"/>
    <n v="250"/>
    <n v="1350"/>
    <m/>
  </r>
  <r>
    <x v="158"/>
    <x v="6"/>
    <n v="1"/>
    <s v="A"/>
    <x v="6"/>
    <s v="FIBCO/PO/2026/0069/JBPL/CIR135"/>
    <s v="C-C"/>
    <s v="84X84X72"/>
    <x v="93"/>
    <n v="500"/>
    <n v="918.5"/>
    <n v="1.837"/>
    <n v="4615"/>
    <n v="500"/>
    <n v="4115"/>
    <m/>
  </r>
  <r>
    <x v="158"/>
    <x v="6"/>
    <n v="1"/>
    <s v="A"/>
    <x v="6"/>
    <s v="FIBCO/PO/2026/0069/JBPL/CIR135"/>
    <s v="C-C"/>
    <s v="84X84X72"/>
    <x v="93"/>
    <n v="250"/>
    <n v="459.25"/>
    <n v="1.837"/>
    <n v="4115"/>
    <n v="250"/>
    <n v="3865"/>
    <m/>
  </r>
  <r>
    <x v="158"/>
    <x v="6"/>
    <n v="1"/>
    <s v="A"/>
    <x v="6"/>
    <s v="FIBCO/PO/2026/0069/JBPL/CIR135"/>
    <s v="C-C"/>
    <s v="84X84X72"/>
    <x v="93"/>
    <n v="550"/>
    <n v="1010.35"/>
    <n v="1.837"/>
    <n v="3865"/>
    <n v="550"/>
    <n v="3315"/>
    <m/>
  </r>
  <r>
    <x v="158"/>
    <x v="6"/>
    <n v="1"/>
    <s v="A"/>
    <x v="34"/>
    <s v="KPW/2026/CONT-176/09"/>
    <s v="U+2"/>
    <s v="85X85X90"/>
    <x v="112"/>
    <n v="500"/>
    <n v="399.5"/>
    <n v="0.79900000000000004"/>
    <n v="500"/>
    <n v="500"/>
    <n v="0"/>
    <m/>
  </r>
  <r>
    <x v="158"/>
    <x v="6"/>
    <n v="1"/>
    <s v="A"/>
    <x v="35"/>
    <s v="111068050/50048687"/>
    <s v="U+2"/>
    <s v="91X91X118"/>
    <x v="113"/>
    <n v="100"/>
    <n v="228.39000000000001"/>
    <n v="2.2839"/>
    <n v="250"/>
    <n v="100"/>
    <n v="150"/>
    <m/>
  </r>
  <r>
    <x v="158"/>
    <x v="6"/>
    <n v="1"/>
    <s v="A"/>
    <x v="30"/>
    <s v="PNHF-18-DI."/>
    <s v="U+2"/>
    <s v="90X90X90"/>
    <x v="109"/>
    <n v="100"/>
    <n v="99.1"/>
    <n v="0.99099999999999999"/>
    <n v="100"/>
    <n v="100"/>
    <n v="0"/>
    <m/>
  </r>
  <r>
    <x v="158"/>
    <x v="6"/>
    <n v="1"/>
    <s v="A"/>
    <x v="27"/>
    <s v="KPW/2026/CONT-176/01"/>
    <s v="U+2"/>
    <s v="75X75X90"/>
    <x v="100"/>
    <n v="275"/>
    <n v="192.5"/>
    <n v="0.7"/>
    <n v="275"/>
    <n v="275"/>
    <n v="0"/>
    <m/>
  </r>
  <r>
    <x v="158"/>
    <x v="6"/>
    <n v="1"/>
    <s v="A"/>
    <x v="25"/>
    <s v="51507/DAJU080090BAFP070SANA"/>
    <s v="U+2"/>
    <s v="80x80x90"/>
    <x v="95"/>
    <n v="300"/>
    <n v="225.03"/>
    <n v="0.75009999999999999"/>
    <n v="300"/>
    <n v="300"/>
    <n v="0"/>
    <m/>
  </r>
  <r>
    <x v="158"/>
    <x v="6"/>
    <n v="1"/>
    <s v="A"/>
    <x v="25"/>
    <s v="51439/DAJU091100BAFP080FUEN"/>
    <s v="U+2"/>
    <s v="91X91X100"/>
    <x v="114"/>
    <n v="50"/>
    <n v="51.824999999999996"/>
    <n v="1.0365"/>
    <n v="800"/>
    <n v="50"/>
    <n v="750"/>
    <m/>
  </r>
  <r>
    <x v="158"/>
    <x v="6"/>
    <n v="1"/>
    <s v="A"/>
    <x v="36"/>
    <s v="PNHF-18-K I."/>
    <s v="U+2"/>
    <s v="99X99X204"/>
    <x v="111"/>
    <n v="270"/>
    <n v="596.43000000000006"/>
    <n v="2.2090000000000001"/>
    <n v="1350"/>
    <n v="270"/>
    <n v="1080"/>
    <m/>
  </r>
  <r>
    <x v="159"/>
    <x v="6"/>
    <n v="1"/>
    <s v="A"/>
    <x v="6"/>
    <s v="FIBCO/PO/2026/0069/JBPL/CIR135"/>
    <s v="C-C"/>
    <s v="84X84X72"/>
    <x v="93"/>
    <n v="425"/>
    <n v="780.72500000000002"/>
    <n v="1.837"/>
    <n v="3315"/>
    <n v="425"/>
    <n v="2890"/>
    <m/>
  </r>
  <r>
    <x v="159"/>
    <x v="6"/>
    <n v="1"/>
    <s v="A"/>
    <x v="26"/>
    <s v="PO-070703/KDC 5905"/>
    <s v="C-C"/>
    <s v="90X90X50"/>
    <x v="115"/>
    <n v="150"/>
    <n v="162.20999999999998"/>
    <n v="1.0813999999999999"/>
    <n v="6400"/>
    <n v="150"/>
    <n v="6250"/>
    <m/>
  </r>
  <r>
    <x v="159"/>
    <x v="6"/>
    <n v="1"/>
    <s v="A"/>
    <x v="25"/>
    <s v="51322/DAJU10085BCBD080DPTUBULAR"/>
    <s v="C-C"/>
    <s v="100X100X185"/>
    <x v="116"/>
    <n v="175"/>
    <n v="432.6"/>
    <n v="2.472"/>
    <n v="175"/>
    <n v="175"/>
    <n v="0"/>
    <m/>
  </r>
  <r>
    <x v="159"/>
    <x v="6"/>
    <n v="1"/>
    <s v="A"/>
    <x v="34"/>
    <s v="KPW/2026/CONT-176/10"/>
    <s v="U+2"/>
    <s v="90X90X90"/>
    <x v="117"/>
    <n v="75"/>
    <n v="73.14"/>
    <n v="0.97519999999999996"/>
    <n v="900"/>
    <n v="75"/>
    <n v="825"/>
    <m/>
  </r>
  <r>
    <x v="159"/>
    <x v="6"/>
    <n v="1"/>
    <s v="A"/>
    <x v="25"/>
    <s v="51439/DAJU091100BAFP080FUEN"/>
    <s v="U+2"/>
    <s v="91X91X100"/>
    <x v="114"/>
    <n v="750"/>
    <n v="777.375"/>
    <n v="1.0365"/>
    <n v="750"/>
    <n v="750"/>
    <n v="0"/>
    <m/>
  </r>
  <r>
    <x v="159"/>
    <x v="6"/>
    <n v="1"/>
    <s v="A"/>
    <x v="25"/>
    <s v="51537/DAJU085090BAFP070MATD"/>
    <s v="U+2"/>
    <s v="85X85X90"/>
    <x v="118"/>
    <n v="200"/>
    <n v="153.16"/>
    <n v="0.76580000000000004"/>
    <n v="500"/>
    <n v="200"/>
    <n v="300"/>
    <m/>
  </r>
  <r>
    <x v="159"/>
    <x v="6"/>
    <n v="1"/>
    <s v="A"/>
    <x v="35"/>
    <s v="111068050/50048687"/>
    <s v="U+2"/>
    <s v="91X91X118"/>
    <x v="113"/>
    <n v="150"/>
    <n v="342.58499999999998"/>
    <n v="2.2839"/>
    <n v="150"/>
    <n v="150"/>
    <n v="0"/>
    <m/>
  </r>
  <r>
    <x v="159"/>
    <x v="6"/>
    <n v="1"/>
    <s v="A"/>
    <x v="34"/>
    <s v="KPW/2026/CONT-176/07"/>
    <s v="U+2"/>
    <s v="85X85X90"/>
    <x v="119"/>
    <n v="500"/>
    <n v="402.5"/>
    <n v="0.80500000000000005"/>
    <n v="500"/>
    <n v="500"/>
    <n v="0"/>
    <m/>
  </r>
  <r>
    <x v="159"/>
    <x v="6"/>
    <n v="1"/>
    <s v="A"/>
    <x v="36"/>
    <s v="PNHF-18-K I."/>
    <s v="U+2"/>
    <s v="99X99X204"/>
    <x v="111"/>
    <n v="400"/>
    <n v="883.6"/>
    <n v="2.2090000000000001"/>
    <n v="1080"/>
    <n v="400"/>
    <n v="680"/>
    <m/>
  </r>
  <r>
    <x v="160"/>
    <x v="6"/>
    <n v="1"/>
    <s v="A"/>
    <x v="6"/>
    <s v="FIBCO/PO/2026/0069/JBPL/CIR135"/>
    <s v="C-C"/>
    <s v="84X84X72"/>
    <x v="93"/>
    <n v="400"/>
    <n v="734.8"/>
    <n v="1.837"/>
    <n v="2890"/>
    <n v="400"/>
    <n v="2490"/>
    <m/>
  </r>
  <r>
    <x v="160"/>
    <x v="6"/>
    <n v="1"/>
    <s v="A"/>
    <x v="26"/>
    <s v="PO-070703/KDC 5905"/>
    <s v="C-C"/>
    <s v="90X90X50"/>
    <x v="115"/>
    <n v="50"/>
    <n v="54.069999999999993"/>
    <n v="1.0813999999999999"/>
    <n v="6250"/>
    <n v="50"/>
    <n v="6200"/>
    <m/>
  </r>
  <r>
    <x v="160"/>
    <x v="6"/>
    <n v="1"/>
    <s v="A"/>
    <x v="37"/>
    <s v="HPBLV/SER/26-27/69"/>
    <s v="U+2"/>
    <s v="90X90X110"/>
    <x v="120"/>
    <n v="200"/>
    <n v="389.58"/>
    <n v="1.9479"/>
    <n v="200"/>
    <n v="200"/>
    <n v="0"/>
    <m/>
  </r>
  <r>
    <x v="160"/>
    <x v="6"/>
    <n v="1"/>
    <s v="A"/>
    <x v="34"/>
    <s v="KPW/2026/CONT-176/10"/>
    <s v="U+2"/>
    <s v="90X90X90"/>
    <x v="117"/>
    <n v="825"/>
    <n v="804.54"/>
    <n v="0.97519999999999996"/>
    <n v="825"/>
    <n v="825"/>
    <n v="0"/>
    <m/>
  </r>
  <r>
    <x v="160"/>
    <x v="6"/>
    <n v="1"/>
    <s v="A"/>
    <x v="25"/>
    <s v="51537/DAJU085090BAFP070MATD"/>
    <s v="U+2"/>
    <s v="85X85X90"/>
    <x v="118"/>
    <n v="250"/>
    <n v="191.45000000000002"/>
    <n v="0.76580000000000004"/>
    <n v="300"/>
    <n v="250"/>
    <n v="50"/>
    <m/>
  </r>
  <r>
    <x v="160"/>
    <x v="6"/>
    <n v="1"/>
    <s v="A"/>
    <x v="36"/>
    <s v="PNHF-18-C1."/>
    <s v="U+2"/>
    <s v="80X80X80"/>
    <x v="121"/>
    <n v="740"/>
    <n v="576.82999999999993"/>
    <n v="0.77949999999999997"/>
    <n v="1740"/>
    <n v="740"/>
    <n v="1000"/>
    <m/>
  </r>
  <r>
    <x v="160"/>
    <x v="6"/>
    <n v="1"/>
    <s v="A"/>
    <x v="36"/>
    <s v="PNHF-18-C2."/>
    <s v="U+2"/>
    <s v="90X90X90"/>
    <x v="122"/>
    <n v="900"/>
    <n v="903.78"/>
    <n v="1.0042"/>
    <n v="1350"/>
    <n v="900"/>
    <n v="450"/>
    <m/>
  </r>
  <r>
    <x v="160"/>
    <x v="6"/>
    <n v="1"/>
    <s v="A"/>
    <x v="36"/>
    <s v="PNHF-18-K I."/>
    <s v="U+2"/>
    <s v="99X99X204"/>
    <x v="111"/>
    <n v="200"/>
    <n v="441.8"/>
    <n v="2.2090000000000001"/>
    <n v="680"/>
    <n v="200"/>
    <n v="480"/>
    <m/>
  </r>
  <r>
    <x v="161"/>
    <x v="6"/>
    <n v="1"/>
    <s v="A"/>
    <x v="6"/>
    <s v="FIBCO/PO/2026/0069/JBPL/CIR135"/>
    <s v="C-C"/>
    <s v="84X84X72"/>
    <x v="93"/>
    <n v="200"/>
    <n v="367.4"/>
    <n v="1.837"/>
    <n v="2490"/>
    <n v="200"/>
    <n v="2290"/>
    <m/>
  </r>
  <r>
    <x v="161"/>
    <x v="6"/>
    <n v="1"/>
    <s v="A"/>
    <x v="38"/>
    <s v="PO-23JULY"/>
    <s v="Q-BAG-C-C"/>
    <s v="105X105X125"/>
    <x v="123"/>
    <n v="50"/>
    <n v="140"/>
    <n v="2.8"/>
    <n v="500"/>
    <n v="50"/>
    <n v="450"/>
    <m/>
  </r>
  <r>
    <x v="161"/>
    <x v="6"/>
    <n v="1"/>
    <s v="A"/>
    <x v="26"/>
    <s v="PO-070703/KDC 5905"/>
    <s v="C-C"/>
    <s v="90X90X50"/>
    <x v="115"/>
    <n v="700"/>
    <n v="756.9799999999999"/>
    <n v="1.0813999999999999"/>
    <n v="6200"/>
    <n v="700"/>
    <n v="5500"/>
    <m/>
  </r>
  <r>
    <x v="161"/>
    <x v="6"/>
    <n v="1"/>
    <s v="A"/>
    <x v="36"/>
    <s v="PNHF-18-C2."/>
    <s v="U+2"/>
    <s v="90X90X90"/>
    <x v="122"/>
    <n v="450"/>
    <n v="451.89"/>
    <n v="1.0042"/>
    <n v="450"/>
    <n v="450"/>
    <n v="0"/>
    <m/>
  </r>
  <r>
    <x v="161"/>
    <x v="6"/>
    <n v="1"/>
    <s v="A"/>
    <x v="25"/>
    <s v="51510/DAJU091090BAFP070ROMO"/>
    <s v="U+2"/>
    <s v="91X91X90"/>
    <x v="124"/>
    <n v="550"/>
    <n v="445.22500000000002"/>
    <n v="0.8095"/>
    <n v="1500"/>
    <n v="550"/>
    <n v="950"/>
    <m/>
  </r>
  <r>
    <x v="161"/>
    <x v="6"/>
    <n v="1"/>
    <s v="A"/>
    <x v="25"/>
    <s v="51537/DAJU085090BAFP070MATD"/>
    <s v="U+2"/>
    <s v="85X85X90"/>
    <x v="118"/>
    <n v="50"/>
    <n v="38.29"/>
    <n v="0.76580000000000004"/>
    <n v="50"/>
    <n v="50"/>
    <n v="0"/>
    <m/>
  </r>
  <r>
    <x v="161"/>
    <x v="6"/>
    <n v="1"/>
    <s v="A"/>
    <x v="25"/>
    <s v="51590/DAJU091100BAFO070ALLE"/>
    <s v="U+2"/>
    <s v="91X91X100"/>
    <x v="125"/>
    <n v="100"/>
    <n v="87.02"/>
    <n v="0.87019999999999997"/>
    <n v="1000"/>
    <n v="100"/>
    <n v="900"/>
    <m/>
  </r>
  <r>
    <x v="161"/>
    <x v="6"/>
    <n v="1"/>
    <s v="A"/>
    <x v="36"/>
    <s v="PNHF-18-C1."/>
    <s v="U+2"/>
    <s v="80X80X80"/>
    <x v="121"/>
    <n v="950"/>
    <n v="740.52499999999998"/>
    <n v="0.77949999999999997"/>
    <n v="1000"/>
    <n v="950"/>
    <n v="50"/>
    <m/>
  </r>
  <r>
    <x v="161"/>
    <x v="6"/>
    <n v="1"/>
    <s v="A"/>
    <x v="25"/>
    <s v="51510/DAJU091090BAFP070ROMO"/>
    <s v="U+2"/>
    <s v="91X91X90"/>
    <x v="124"/>
    <n v="900"/>
    <n v="728.55"/>
    <n v="0.8095"/>
    <n v="950"/>
    <n v="900"/>
    <n v="50"/>
    <m/>
  </r>
  <r>
    <x v="161"/>
    <x v="6"/>
    <n v="1"/>
    <s v="A"/>
    <x v="25"/>
    <s v="51582/DAJU085090BAFP070BERNIER"/>
    <s v="U+2"/>
    <s v="85X85X90"/>
    <x v="126"/>
    <n v="450"/>
    <n v="358.10999999999996"/>
    <n v="0.79579999999999995"/>
    <n v="1000"/>
    <n v="450"/>
    <n v="550"/>
    <m/>
  </r>
  <r>
    <x v="161"/>
    <x v="6"/>
    <n v="1"/>
    <s v="A"/>
    <x v="36"/>
    <s v="PNHF-18-K I."/>
    <s v="U+2"/>
    <s v="99X99X204"/>
    <x v="111"/>
    <n v="190"/>
    <n v="419.71000000000004"/>
    <n v="2.2090000000000001"/>
    <n v="480"/>
    <n v="190"/>
    <n v="290"/>
    <m/>
  </r>
  <r>
    <x v="162"/>
    <x v="6"/>
    <n v="1"/>
    <s v="A"/>
    <x v="6"/>
    <s v="FIBCO/PO/2026/0069/JBPL/CIR135"/>
    <s v="C-C"/>
    <s v="84X84X72"/>
    <x v="93"/>
    <n v="550"/>
    <n v="1010.35"/>
    <n v="1.837"/>
    <n v="2290"/>
    <n v="550"/>
    <n v="1740"/>
    <m/>
  </r>
  <r>
    <x v="162"/>
    <x v="6"/>
    <n v="1"/>
    <s v="A"/>
    <x v="6"/>
    <s v="FIBCO/PO/2026/0069/JBPL/CIR135"/>
    <s v="C-C"/>
    <s v="84X84X72"/>
    <x v="93"/>
    <n v="300"/>
    <n v="551.1"/>
    <n v="1.837"/>
    <n v="1740"/>
    <n v="300"/>
    <n v="1440"/>
    <m/>
  </r>
  <r>
    <x v="162"/>
    <x v="6"/>
    <n v="1"/>
    <s v="A"/>
    <x v="6"/>
    <s v="FIBCO/PO/2026/0069/JBPL/CIR135"/>
    <s v="C-C"/>
    <s v="84X84X72"/>
    <x v="93"/>
    <n v="700"/>
    <n v="1285.8999999999999"/>
    <n v="1.837"/>
    <n v="1440"/>
    <n v="700"/>
    <n v="740"/>
    <m/>
  </r>
  <r>
    <x v="162"/>
    <x v="6"/>
    <n v="1"/>
    <s v="A"/>
    <x v="25"/>
    <s v="51590/DAJU091100BAFO070ALLE"/>
    <s v="U+2"/>
    <s v="91X91X100"/>
    <x v="125"/>
    <n v="850"/>
    <n v="739.67"/>
    <n v="0.87019999999999997"/>
    <n v="900"/>
    <n v="850"/>
    <n v="50"/>
    <m/>
  </r>
  <r>
    <x v="162"/>
    <x v="6"/>
    <n v="1"/>
    <s v="A"/>
    <x v="27"/>
    <s v="KPW/2026/CONT-176/06"/>
    <s v="U+2"/>
    <s v="85X85X90"/>
    <x v="92"/>
    <n v="150"/>
    <n v="120.75000000000001"/>
    <n v="0.80500000000000005"/>
    <n v="150"/>
    <n v="150"/>
    <n v="0"/>
    <m/>
  </r>
  <r>
    <x v="162"/>
    <x v="6"/>
    <n v="1"/>
    <s v="A"/>
    <x v="25"/>
    <s v="51540/DAJU080085BAFP070CUAD"/>
    <s v="U+2"/>
    <s v="80X80X85"/>
    <x v="127"/>
    <n v="450"/>
    <n v="333.09"/>
    <n v="0.74019999999999997"/>
    <n v="1800"/>
    <n v="450"/>
    <n v="1350"/>
    <m/>
  </r>
  <r>
    <x v="162"/>
    <x v="6"/>
    <n v="1"/>
    <s v="A"/>
    <x v="25"/>
    <s v="51582/DAJU085090BAFP070BERNIER"/>
    <s v="U+2"/>
    <s v="85X85X90"/>
    <x v="126"/>
    <n v="550"/>
    <n v="437.69"/>
    <n v="0.79579999999999995"/>
    <n v="550"/>
    <n v="550"/>
    <n v="0"/>
    <m/>
  </r>
  <r>
    <x v="162"/>
    <x v="6"/>
    <n v="1"/>
    <s v="A"/>
    <x v="33"/>
    <s v="PNHF-18-K I."/>
    <s v="U+2"/>
    <s v="99X99X204"/>
    <x v="111"/>
    <n v="290"/>
    <n v="640.61"/>
    <n v="2.2090000000000001"/>
    <n v="290"/>
    <n v="290"/>
    <n v="0"/>
    <m/>
  </r>
  <r>
    <x v="163"/>
    <x v="6"/>
    <n v="1"/>
    <s v="A"/>
    <x v="6"/>
    <s v="FIBCO/PO/2026/0069/JBPL/CIR135"/>
    <s v="C-C"/>
    <s v="84X84X72"/>
    <x v="93"/>
    <n v="350"/>
    <n v="642.94999999999993"/>
    <n v="1.837"/>
    <n v="740"/>
    <n v="350"/>
    <n v="390"/>
    <m/>
  </r>
  <r>
    <x v="163"/>
    <x v="6"/>
    <n v="1"/>
    <s v="A"/>
    <x v="26"/>
    <s v="PO-070703/KDC 5905"/>
    <s v="C-C"/>
    <s v="90X90X50"/>
    <x v="115"/>
    <n v="100"/>
    <n v="108.13999999999999"/>
    <n v="1.0813999999999999"/>
    <n v="5500"/>
    <n v="100"/>
    <n v="5400"/>
    <m/>
  </r>
  <r>
    <x v="163"/>
    <x v="6"/>
    <n v="1"/>
    <s v="A"/>
    <x v="38"/>
    <s v="PO-23JULY"/>
    <s v="Q-BAG-C-C"/>
    <s v="105X105X125"/>
    <x v="123"/>
    <n v="25"/>
    <n v="70"/>
    <n v="2.8"/>
    <n v="450"/>
    <n v="25"/>
    <n v="425"/>
    <m/>
  </r>
  <r>
    <x v="163"/>
    <x v="6"/>
    <n v="1"/>
    <s v="A"/>
    <x v="25"/>
    <s v="51540/DAJU080085BAFP070CUAD"/>
    <s v="U+2"/>
    <s v="80X80X85"/>
    <x v="127"/>
    <n v="1200"/>
    <n v="888.24"/>
    <n v="0.74019999999999997"/>
    <n v="1350"/>
    <n v="1200"/>
    <n v="150"/>
    <m/>
  </r>
  <r>
    <x v="163"/>
    <x v="6"/>
    <n v="1"/>
    <s v="A"/>
    <x v="6"/>
    <s v="FIBCO/PO/2026/0069/JBPL/CIR135"/>
    <s v="C-C"/>
    <s v="84X84X72"/>
    <x v="93"/>
    <n v="330"/>
    <n v="606.21"/>
    <n v="1.837"/>
    <n v="390"/>
    <n v="330"/>
    <n v="60"/>
    <m/>
  </r>
  <r>
    <x v="163"/>
    <x v="6"/>
    <n v="1"/>
    <s v="A"/>
    <x v="25"/>
    <s v="51596/DAJU091090BAFP080GELA"/>
    <s v="U+2"/>
    <s v="91X91X90"/>
    <x v="128"/>
    <n v="280"/>
    <n v="273.50400000000002"/>
    <n v="0.9768"/>
    <n v="400"/>
    <n v="280"/>
    <n v="120"/>
    <m/>
  </r>
  <r>
    <x v="163"/>
    <x v="6"/>
    <n v="1"/>
    <s v="A"/>
    <x v="25"/>
    <s v="51699/DAJU091090BAFP070LOOP"/>
    <s v="U+2"/>
    <s v="91X91X90"/>
    <x v="129"/>
    <n v="100"/>
    <n v="83.95"/>
    <n v="0.83950000000000002"/>
    <n v="1000"/>
    <n v="100"/>
    <n v="900"/>
    <m/>
  </r>
  <r>
    <x v="163"/>
    <x v="6"/>
    <n v="1"/>
    <s v="A"/>
    <x v="27"/>
    <s v="KPW/2026/CONT-177/10"/>
    <s v="U+2"/>
    <s v="85X85X90"/>
    <x v="130"/>
    <n v="650"/>
    <n v="523.77"/>
    <n v="0.80579999999999996"/>
    <n v="3000"/>
    <n v="650"/>
    <n v="2350"/>
    <m/>
  </r>
  <r>
    <x v="163"/>
    <x v="6"/>
    <n v="1"/>
    <s v="A"/>
    <x v="25"/>
    <s v="51530/DAJU110220CABD090SAAC"/>
    <s v="Q-BAG"/>
    <s v="110X110X220"/>
    <x v="131"/>
    <n v="50"/>
    <n v="206.52499999999998"/>
    <n v="4.1304999999999996"/>
    <n v="200"/>
    <n v="50"/>
    <n v="150"/>
    <m/>
  </r>
  <r>
    <x v="163"/>
    <x v="6"/>
    <n v="1"/>
    <s v="A"/>
    <x v="39"/>
    <s v="POR-260711/NS902-004-O015"/>
    <s v="U+2"/>
    <s v="80X80X80"/>
    <x v="132"/>
    <n v="800"/>
    <n v="588.64"/>
    <n v="0.73580000000000001"/>
    <n v="6600"/>
    <n v="800"/>
    <n v="5800"/>
    <m/>
  </r>
  <r>
    <x v="164"/>
    <x v="6"/>
    <n v="1"/>
    <s v="A"/>
    <x v="23"/>
    <s v="FVPL/PO/2026-00144"/>
    <s v="C-C"/>
    <s v="90X90X70"/>
    <x v="63"/>
    <n v="200"/>
    <n v="345.02000000000004"/>
    <n v="1.7251000000000001"/>
    <n v="200"/>
    <n v="200"/>
    <n v="0"/>
    <m/>
  </r>
  <r>
    <x v="164"/>
    <x v="6"/>
    <n v="1"/>
    <s v="A"/>
    <x v="26"/>
    <s v="PO-070703/KDC 5905"/>
    <s v="C-C"/>
    <s v="90X90X50"/>
    <x v="115"/>
    <n v="200"/>
    <n v="216.27999999999997"/>
    <n v="1.0813999999999999"/>
    <n v="5400"/>
    <n v="200"/>
    <n v="5200"/>
    <m/>
  </r>
  <r>
    <x v="164"/>
    <x v="6"/>
    <n v="1"/>
    <s v="A"/>
    <x v="38"/>
    <s v="PO-23JULY"/>
    <s v="Q-BAG-C-C"/>
    <s v="105X105X125"/>
    <x v="123"/>
    <n v="170"/>
    <n v="475.99999999999994"/>
    <n v="2.8"/>
    <n v="425"/>
    <n v="170"/>
    <n v="255"/>
    <m/>
  </r>
  <r>
    <x v="164"/>
    <x v="6"/>
    <n v="1"/>
    <s v="A"/>
    <x v="39"/>
    <s v="POR-260711/NS902-004-O015"/>
    <s v="U+2"/>
    <s v="80X80X80"/>
    <x v="132"/>
    <n v="1250"/>
    <n v="919.75"/>
    <n v="0.73580000000000001"/>
    <n v="5800"/>
    <n v="1250"/>
    <n v="4550"/>
    <m/>
  </r>
  <r>
    <x v="164"/>
    <x v="6"/>
    <n v="1"/>
    <s v="A"/>
    <x v="25"/>
    <s v="51530/DAJU110220CABD090SAAC"/>
    <s v="Q-BAG"/>
    <s v="110X110X220"/>
    <x v="131"/>
    <n v="150"/>
    <n v="619.57499999999993"/>
    <n v="4.1304999999999996"/>
    <n v="150"/>
    <n v="150"/>
    <n v="0"/>
    <m/>
  </r>
  <r>
    <x v="164"/>
    <x v="6"/>
    <n v="1"/>
    <s v="A"/>
    <x v="25"/>
    <s v="51712/DAJU080090BAFP070LOOPS40"/>
    <s v="U+2"/>
    <s v="80x80x90"/>
    <x v="133"/>
    <n v="100"/>
    <n v="75.86"/>
    <n v="0.75860000000000005"/>
    <n v="1200"/>
    <n v="100"/>
    <n v="1100"/>
    <m/>
  </r>
  <r>
    <x v="164"/>
    <x v="6"/>
    <n v="1"/>
    <s v="A"/>
    <x v="25"/>
    <s v="51699/DAJU091090BAFP070LOOP"/>
    <s v="U+2"/>
    <s v="91X91X90"/>
    <x v="129"/>
    <n v="900"/>
    <n v="755.55000000000007"/>
    <n v="0.83950000000000002"/>
    <n v="900"/>
    <n v="900"/>
    <n v="0"/>
    <m/>
  </r>
  <r>
    <x v="165"/>
    <x v="7"/>
    <m/>
    <m/>
    <x v="40"/>
    <m/>
    <m/>
    <m/>
    <x v="13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4C16E-562C-4CFC-A958-A10B0135B17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5" firstHeaderRow="0" firstDataRow="1" firstDataCol="1" rowPageCount="1" colPageCount="1"/>
  <pivotFields count="16">
    <pivotField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n="29/05/2026" x="97"/>
        <item n="30/05/2026"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axis="axisPage" multipleItemSelectionAllowed="1" showAll="0">
      <items count="9">
        <item h="1" x="0"/>
        <item h="1" x="1"/>
        <item h="1" x="2"/>
        <item h="1" x="3"/>
        <item h="1" x="4"/>
        <item x="5"/>
        <item x="6"/>
        <item h="1" x="7"/>
        <item t="default"/>
      </items>
    </pivotField>
    <pivotField numFmtId="3" showAll="0"/>
    <pivotField showAll="0"/>
    <pivotField axis="axisRow" showAll="0">
      <items count="42">
        <item x="0"/>
        <item x="15"/>
        <item x="28"/>
        <item x="31"/>
        <item x="7"/>
        <item x="37"/>
        <item x="24"/>
        <item x="10"/>
        <item x="25"/>
        <item x="6"/>
        <item x="17"/>
        <item x="23"/>
        <item x="5"/>
        <item x="20"/>
        <item x="39"/>
        <item x="35"/>
        <item x="12"/>
        <item x="13"/>
        <item x="18"/>
        <item x="14"/>
        <item x="9"/>
        <item x="33"/>
        <item x="30"/>
        <item x="36"/>
        <item x="29"/>
        <item x="11"/>
        <item x="19"/>
        <item x="22"/>
        <item x="21"/>
        <item x="8"/>
        <item x="27"/>
        <item x="34"/>
        <item x="26"/>
        <item x="32"/>
        <item x="4"/>
        <item x="3"/>
        <item x="2"/>
        <item x="38"/>
        <item x="16"/>
        <item x="1"/>
        <item x="40"/>
        <item t="default"/>
      </items>
    </pivotField>
    <pivotField showAll="0"/>
    <pivotField showAll="0"/>
    <pivotField showAll="0"/>
    <pivotField axis="axisRow" showAll="0">
      <items count="136">
        <item x="51"/>
        <item x="20"/>
        <item x="45"/>
        <item x="62"/>
        <item x="2"/>
        <item x="0"/>
        <item x="1"/>
        <item x="6"/>
        <item x="57"/>
        <item x="52"/>
        <item x="11"/>
        <item x="4"/>
        <item x="3"/>
        <item x="5"/>
        <item x="127"/>
        <item x="19"/>
        <item x="13"/>
        <item x="8"/>
        <item x="14"/>
        <item x="15"/>
        <item x="25"/>
        <item x="21"/>
        <item x="7"/>
        <item x="9"/>
        <item x="10"/>
        <item x="12"/>
        <item x="46"/>
        <item x="33"/>
        <item x="32"/>
        <item x="35"/>
        <item x="36"/>
        <item x="43"/>
        <item x="37"/>
        <item x="31"/>
        <item x="41"/>
        <item x="27"/>
        <item x="22"/>
        <item x="18"/>
        <item x="38"/>
        <item x="44"/>
        <item x="48"/>
        <item x="24"/>
        <item x="23"/>
        <item x="16"/>
        <item x="42"/>
        <item x="17"/>
        <item x="26"/>
        <item x="47"/>
        <item x="34"/>
        <item x="29"/>
        <item x="40"/>
        <item x="28"/>
        <item x="30"/>
        <item x="49"/>
        <item x="56"/>
        <item x="60"/>
        <item x="53"/>
        <item x="61"/>
        <item x="39"/>
        <item x="58"/>
        <item x="55"/>
        <item x="90"/>
        <item x="68"/>
        <item x="86"/>
        <item x="80"/>
        <item x="77"/>
        <item x="110"/>
        <item x="50"/>
        <item x="54"/>
        <item x="93"/>
        <item x="63"/>
        <item x="59"/>
        <item x="64"/>
        <item x="66"/>
        <item x="116"/>
        <item x="78"/>
        <item x="72"/>
        <item x="67"/>
        <item x="83"/>
        <item x="69"/>
        <item x="79"/>
        <item x="71"/>
        <item x="75"/>
        <item x="81"/>
        <item x="76"/>
        <item x="100"/>
        <item x="74"/>
        <item x="82"/>
        <item x="85"/>
        <item x="70"/>
        <item x="92"/>
        <item x="119"/>
        <item x="88"/>
        <item x="112"/>
        <item x="117"/>
        <item x="94"/>
        <item x="121"/>
        <item x="122"/>
        <item x="109"/>
        <item x="107"/>
        <item x="108"/>
        <item x="65"/>
        <item x="132"/>
        <item x="99"/>
        <item x="87"/>
        <item x="115"/>
        <item x="111"/>
        <item x="89"/>
        <item x="96"/>
        <item x="95"/>
        <item x="91"/>
        <item x="84"/>
        <item x="114"/>
        <item x="105"/>
        <item x="104"/>
        <item x="106"/>
        <item x="73"/>
        <item x="118"/>
        <item x="131"/>
        <item x="113"/>
        <item x="126"/>
        <item x="124"/>
        <item x="102"/>
        <item x="101"/>
        <item x="97"/>
        <item x="125"/>
        <item x="103"/>
        <item x="98"/>
        <item x="128"/>
        <item x="123"/>
        <item x="130"/>
        <item x="129"/>
        <item x="133"/>
        <item x="120"/>
        <item x="134"/>
        <item t="default"/>
      </items>
    </pivotField>
    <pivotField dataField="1" showAll="0"/>
    <pivotField dataField="1" showAll="0"/>
    <pivotField showAll="0"/>
    <pivotField numFmtId="3" showAll="0"/>
    <pivotField numFmtId="3" showAll="0"/>
    <pivotField numFmtId="3" showAll="0"/>
    <pivotField showAll="0"/>
  </pivotFields>
  <rowFields count="2">
    <field x="8"/>
    <field x="4"/>
  </rowFields>
  <rowItems count="152">
    <i>
      <x v="3"/>
    </i>
    <i r="1">
      <x v="18"/>
    </i>
    <i>
      <x v="14"/>
    </i>
    <i r="1">
      <x v="8"/>
    </i>
    <i>
      <x v="53"/>
    </i>
    <i r="1">
      <x v="26"/>
    </i>
    <i>
      <x v="55"/>
    </i>
    <i r="1">
      <x v="26"/>
    </i>
    <i>
      <x v="61"/>
    </i>
    <i r="1">
      <x v="32"/>
    </i>
    <i>
      <x v="62"/>
    </i>
    <i r="1">
      <x v="32"/>
    </i>
    <i>
      <x v="63"/>
    </i>
    <i r="1">
      <x v="32"/>
    </i>
    <i>
      <x v="64"/>
    </i>
    <i r="1">
      <x v="32"/>
    </i>
    <i>
      <x v="65"/>
    </i>
    <i r="1">
      <x v="32"/>
    </i>
    <i>
      <x v="66"/>
    </i>
    <i r="1">
      <x v="33"/>
    </i>
    <i>
      <x v="69"/>
    </i>
    <i r="1">
      <x v="9"/>
    </i>
    <i>
      <x v="70"/>
    </i>
    <i r="1">
      <x v="11"/>
    </i>
    <i>
      <x v="71"/>
    </i>
    <i r="1">
      <x v="38"/>
    </i>
    <i>
      <x v="72"/>
    </i>
    <i r="1">
      <x v="6"/>
    </i>
    <i>
      <x v="73"/>
    </i>
    <i r="1">
      <x v="8"/>
    </i>
    <i>
      <x v="74"/>
    </i>
    <i r="1">
      <x v="8"/>
    </i>
    <i>
      <x v="75"/>
    </i>
    <i r="1">
      <x v="8"/>
    </i>
    <i>
      <x v="76"/>
    </i>
    <i r="1">
      <x v="8"/>
    </i>
    <i>
      <x v="77"/>
    </i>
    <i r="1">
      <x v="8"/>
    </i>
    <i>
      <x v="78"/>
    </i>
    <i r="1">
      <x v="8"/>
    </i>
    <i>
      <x v="79"/>
    </i>
    <i r="1">
      <x v="8"/>
    </i>
    <i>
      <x v="80"/>
    </i>
    <i r="1">
      <x v="8"/>
    </i>
    <i>
      <x v="81"/>
    </i>
    <i r="1">
      <x v="8"/>
    </i>
    <i>
      <x v="82"/>
    </i>
    <i r="1">
      <x v="8"/>
    </i>
    <i>
      <x v="83"/>
    </i>
    <i r="1">
      <x v="8"/>
    </i>
    <i>
      <x v="84"/>
    </i>
    <i r="1">
      <x v="8"/>
    </i>
    <i>
      <x v="85"/>
    </i>
    <i r="1">
      <x v="30"/>
    </i>
    <i>
      <x v="86"/>
    </i>
    <i r="1">
      <x v="30"/>
    </i>
    <i>
      <x v="87"/>
    </i>
    <i r="1">
      <x v="30"/>
    </i>
    <i>
      <x v="88"/>
    </i>
    <i r="1">
      <x v="30"/>
    </i>
    <i>
      <x v="89"/>
    </i>
    <i r="1">
      <x v="30"/>
    </i>
    <i>
      <x v="90"/>
    </i>
    <i r="1">
      <x v="30"/>
    </i>
    <i>
      <x v="91"/>
    </i>
    <i r="1">
      <x v="31"/>
    </i>
    <i>
      <x v="92"/>
    </i>
    <i r="1">
      <x v="30"/>
    </i>
    <i>
      <x v="93"/>
    </i>
    <i r="1">
      <x v="31"/>
    </i>
    <i>
      <x v="94"/>
    </i>
    <i r="1">
      <x v="31"/>
    </i>
    <i>
      <x v="95"/>
    </i>
    <i r="1">
      <x v="22"/>
    </i>
    <i>
      <x v="96"/>
    </i>
    <i r="1">
      <x v="23"/>
    </i>
    <i>
      <x v="97"/>
    </i>
    <i r="1">
      <x v="23"/>
    </i>
    <i>
      <x v="98"/>
    </i>
    <i r="1">
      <x v="22"/>
    </i>
    <i>
      <x v="99"/>
    </i>
    <i r="1">
      <x v="22"/>
    </i>
    <i>
      <x v="100"/>
    </i>
    <i r="1">
      <x v="22"/>
    </i>
    <i>
      <x v="101"/>
    </i>
    <i r="1">
      <x v="38"/>
    </i>
    <i>
      <x v="102"/>
    </i>
    <i r="1">
      <x v="14"/>
    </i>
    <i>
      <x v="103"/>
    </i>
    <i r="1">
      <x v="3"/>
    </i>
    <i>
      <x v="104"/>
    </i>
    <i r="1">
      <x v="2"/>
    </i>
    <i>
      <x v="105"/>
    </i>
    <i r="1">
      <x v="32"/>
    </i>
    <i>
      <x v="106"/>
    </i>
    <i r="1">
      <x v="21"/>
    </i>
    <i r="1">
      <x v="23"/>
    </i>
    <i>
      <x v="107"/>
    </i>
    <i r="1">
      <x v="24"/>
    </i>
    <i>
      <x v="108"/>
    </i>
    <i r="1">
      <x v="8"/>
    </i>
    <i>
      <x v="109"/>
    </i>
    <i r="1">
      <x v="8"/>
    </i>
    <i>
      <x v="110"/>
    </i>
    <i r="1">
      <x v="8"/>
    </i>
    <i>
      <x v="111"/>
    </i>
    <i r="1">
      <x v="8"/>
    </i>
    <i>
      <x v="112"/>
    </i>
    <i r="1">
      <x v="8"/>
    </i>
    <i>
      <x v="113"/>
    </i>
    <i r="1">
      <x v="8"/>
    </i>
    <i>
      <x v="114"/>
    </i>
    <i r="1">
      <x v="8"/>
    </i>
    <i>
      <x v="115"/>
    </i>
    <i r="1">
      <x v="8"/>
    </i>
    <i>
      <x v="116"/>
    </i>
    <i r="1">
      <x v="8"/>
    </i>
    <i>
      <x v="117"/>
    </i>
    <i r="1">
      <x v="8"/>
    </i>
    <i>
      <x v="118"/>
    </i>
    <i r="1">
      <x v="8"/>
    </i>
    <i>
      <x v="119"/>
    </i>
    <i r="1">
      <x v="15"/>
    </i>
    <i>
      <x v="120"/>
    </i>
    <i r="1">
      <x v="8"/>
    </i>
    <i>
      <x v="121"/>
    </i>
    <i r="1">
      <x v="8"/>
    </i>
    <i>
      <x v="122"/>
    </i>
    <i r="1">
      <x v="8"/>
    </i>
    <i>
      <x v="123"/>
    </i>
    <i r="1">
      <x v="8"/>
    </i>
    <i>
      <x v="124"/>
    </i>
    <i r="1">
      <x v="8"/>
    </i>
    <i>
      <x v="125"/>
    </i>
    <i r="1">
      <x v="8"/>
    </i>
    <i>
      <x v="126"/>
    </i>
    <i r="1">
      <x v="8"/>
    </i>
    <i>
      <x v="127"/>
    </i>
    <i r="1">
      <x v="8"/>
    </i>
    <i>
      <x v="128"/>
    </i>
    <i r="1">
      <x v="8"/>
    </i>
    <i>
      <x v="129"/>
    </i>
    <i r="1">
      <x v="37"/>
    </i>
    <i>
      <x v="130"/>
    </i>
    <i r="1">
      <x v="30"/>
    </i>
    <i>
      <x v="131"/>
    </i>
    <i r="1">
      <x v="8"/>
    </i>
    <i>
      <x v="132"/>
    </i>
    <i r="1">
      <x v="8"/>
    </i>
    <i>
      <x v="133"/>
    </i>
    <i r="1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kgs " fld="10" baseField="0" baseItem="0" numFmtId="1"/>
    <dataField name="Sum of pcs" fld="9" baseField="0" baseItem="0"/>
  </dataFields>
  <formats count="84">
    <format dxfId="8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8" type="button" dataOnly="0" labelOnly="1" outline="0" axis="axisRow" fieldPosition="0"/>
    </format>
    <format dxfId="78">
      <pivotArea dataOnly="0" labelOnly="1" fieldPosition="0">
        <references count="1">
          <reference field="8" count="50">
            <x v="3"/>
            <x v="14"/>
            <x v="53"/>
            <x v="55"/>
            <x v="61"/>
            <x v="62"/>
            <x v="63"/>
            <x v="64"/>
            <x v="65"/>
            <x v="66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77">
      <pivotArea dataOnly="0" labelOnly="1" fieldPosition="0">
        <references count="1">
          <reference field="8" count="25"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</reference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2">
          <reference field="4" count="1">
            <x v="18"/>
          </reference>
          <reference field="8" count="1" selected="0">
            <x v="3"/>
          </reference>
        </references>
      </pivotArea>
    </format>
    <format dxfId="74">
      <pivotArea dataOnly="0" labelOnly="1" fieldPosition="0">
        <references count="2">
          <reference field="4" count="1">
            <x v="8"/>
          </reference>
          <reference field="8" count="1" selected="0">
            <x v="14"/>
          </reference>
        </references>
      </pivotArea>
    </format>
    <format dxfId="73">
      <pivotArea dataOnly="0" labelOnly="1" fieldPosition="0">
        <references count="2">
          <reference field="4" count="1">
            <x v="26"/>
          </reference>
          <reference field="8" count="1" selected="0">
            <x v="53"/>
          </reference>
        </references>
      </pivotArea>
    </format>
    <format dxfId="72">
      <pivotArea dataOnly="0" labelOnly="1" fieldPosition="0">
        <references count="2">
          <reference field="4" count="1">
            <x v="26"/>
          </reference>
          <reference field="8" count="1" selected="0">
            <x v="55"/>
          </reference>
        </references>
      </pivotArea>
    </format>
    <format dxfId="71">
      <pivotArea dataOnly="0" labelOnly="1" fieldPosition="0">
        <references count="2">
          <reference field="4" count="1">
            <x v="32"/>
          </reference>
          <reference field="8" count="1" selected="0">
            <x v="61"/>
          </reference>
        </references>
      </pivotArea>
    </format>
    <format dxfId="70">
      <pivotArea dataOnly="0" labelOnly="1" fieldPosition="0">
        <references count="2">
          <reference field="4" count="1">
            <x v="32"/>
          </reference>
          <reference field="8" count="1" selected="0">
            <x v="62"/>
          </reference>
        </references>
      </pivotArea>
    </format>
    <format dxfId="69">
      <pivotArea dataOnly="0" labelOnly="1" fieldPosition="0">
        <references count="2">
          <reference field="4" count="1">
            <x v="32"/>
          </reference>
          <reference field="8" count="1" selected="0">
            <x v="63"/>
          </reference>
        </references>
      </pivotArea>
    </format>
    <format dxfId="68">
      <pivotArea dataOnly="0" labelOnly="1" fieldPosition="0">
        <references count="2">
          <reference field="4" count="1">
            <x v="32"/>
          </reference>
          <reference field="8" count="1" selected="0">
            <x v="64"/>
          </reference>
        </references>
      </pivotArea>
    </format>
    <format dxfId="67">
      <pivotArea dataOnly="0" labelOnly="1" fieldPosition="0">
        <references count="2">
          <reference field="4" count="1">
            <x v="32"/>
          </reference>
          <reference field="8" count="1" selected="0">
            <x v="65"/>
          </reference>
        </references>
      </pivotArea>
    </format>
    <format dxfId="66">
      <pivotArea dataOnly="0" labelOnly="1" fieldPosition="0">
        <references count="2">
          <reference field="4" count="1">
            <x v="33"/>
          </reference>
          <reference field="8" count="1" selected="0">
            <x v="66"/>
          </reference>
        </references>
      </pivotArea>
    </format>
    <format dxfId="65">
      <pivotArea dataOnly="0" labelOnly="1" fieldPosition="0">
        <references count="2">
          <reference field="4" count="1">
            <x v="9"/>
          </reference>
          <reference field="8" count="1" selected="0">
            <x v="69"/>
          </reference>
        </references>
      </pivotArea>
    </format>
    <format dxfId="64">
      <pivotArea dataOnly="0" labelOnly="1" fieldPosition="0">
        <references count="2">
          <reference field="4" count="1">
            <x v="11"/>
          </reference>
          <reference field="8" count="1" selected="0">
            <x v="70"/>
          </reference>
        </references>
      </pivotArea>
    </format>
    <format dxfId="63">
      <pivotArea dataOnly="0" labelOnly="1" fieldPosition="0">
        <references count="2">
          <reference field="4" count="1">
            <x v="38"/>
          </reference>
          <reference field="8" count="1" selected="0">
            <x v="71"/>
          </reference>
        </references>
      </pivotArea>
    </format>
    <format dxfId="62">
      <pivotArea dataOnly="0" labelOnly="1" fieldPosition="0">
        <references count="2">
          <reference field="4" count="1">
            <x v="6"/>
          </reference>
          <reference field="8" count="1" selected="0">
            <x v="72"/>
          </reference>
        </references>
      </pivotArea>
    </format>
    <format dxfId="61">
      <pivotArea dataOnly="0" labelOnly="1" fieldPosition="0">
        <references count="2">
          <reference field="4" count="1">
            <x v="8"/>
          </reference>
          <reference field="8" count="1" selected="0">
            <x v="73"/>
          </reference>
        </references>
      </pivotArea>
    </format>
    <format dxfId="60">
      <pivotArea dataOnly="0" labelOnly="1" fieldPosition="0">
        <references count="2">
          <reference field="4" count="1">
            <x v="8"/>
          </reference>
          <reference field="8" count="1" selected="0">
            <x v="74"/>
          </reference>
        </references>
      </pivotArea>
    </format>
    <format dxfId="59">
      <pivotArea dataOnly="0" labelOnly="1" fieldPosition="0">
        <references count="2">
          <reference field="4" count="1">
            <x v="8"/>
          </reference>
          <reference field="8" count="1" selected="0">
            <x v="75"/>
          </reference>
        </references>
      </pivotArea>
    </format>
    <format dxfId="58">
      <pivotArea dataOnly="0" labelOnly="1" fieldPosition="0">
        <references count="2">
          <reference field="4" count="1">
            <x v="8"/>
          </reference>
          <reference field="8" count="1" selected="0">
            <x v="76"/>
          </reference>
        </references>
      </pivotArea>
    </format>
    <format dxfId="57">
      <pivotArea dataOnly="0" labelOnly="1" fieldPosition="0">
        <references count="2">
          <reference field="4" count="1">
            <x v="8"/>
          </reference>
          <reference field="8" count="1" selected="0">
            <x v="77"/>
          </reference>
        </references>
      </pivotArea>
    </format>
    <format dxfId="56">
      <pivotArea dataOnly="0" labelOnly="1" fieldPosition="0">
        <references count="2">
          <reference field="4" count="1">
            <x v="8"/>
          </reference>
          <reference field="8" count="1" selected="0">
            <x v="78"/>
          </reference>
        </references>
      </pivotArea>
    </format>
    <format dxfId="55">
      <pivotArea dataOnly="0" labelOnly="1" fieldPosition="0">
        <references count="2">
          <reference field="4" count="1">
            <x v="8"/>
          </reference>
          <reference field="8" count="1" selected="0">
            <x v="79"/>
          </reference>
        </references>
      </pivotArea>
    </format>
    <format dxfId="54">
      <pivotArea dataOnly="0" labelOnly="1" fieldPosition="0">
        <references count="2">
          <reference field="4" count="1">
            <x v="8"/>
          </reference>
          <reference field="8" count="1" selected="0">
            <x v="80"/>
          </reference>
        </references>
      </pivotArea>
    </format>
    <format dxfId="53">
      <pivotArea dataOnly="0" labelOnly="1" fieldPosition="0">
        <references count="2">
          <reference field="4" count="1">
            <x v="8"/>
          </reference>
          <reference field="8" count="1" selected="0">
            <x v="81"/>
          </reference>
        </references>
      </pivotArea>
    </format>
    <format dxfId="52">
      <pivotArea dataOnly="0" labelOnly="1" fieldPosition="0">
        <references count="2">
          <reference field="4" count="1">
            <x v="8"/>
          </reference>
          <reference field="8" count="1" selected="0">
            <x v="82"/>
          </reference>
        </references>
      </pivotArea>
    </format>
    <format dxfId="51">
      <pivotArea dataOnly="0" labelOnly="1" fieldPosition="0">
        <references count="2">
          <reference field="4" count="1">
            <x v="8"/>
          </reference>
          <reference field="8" count="1" selected="0">
            <x v="83"/>
          </reference>
        </references>
      </pivotArea>
    </format>
    <format dxfId="50">
      <pivotArea dataOnly="0" labelOnly="1" fieldPosition="0">
        <references count="2">
          <reference field="4" count="1">
            <x v="8"/>
          </reference>
          <reference field="8" count="1" selected="0">
            <x v="84"/>
          </reference>
        </references>
      </pivotArea>
    </format>
    <format dxfId="49">
      <pivotArea dataOnly="0" labelOnly="1" fieldPosition="0">
        <references count="2">
          <reference field="4" count="1">
            <x v="30"/>
          </reference>
          <reference field="8" count="1" selected="0">
            <x v="85"/>
          </reference>
        </references>
      </pivotArea>
    </format>
    <format dxfId="48">
      <pivotArea dataOnly="0" labelOnly="1" fieldPosition="0">
        <references count="2">
          <reference field="4" count="1">
            <x v="30"/>
          </reference>
          <reference field="8" count="1" selected="0">
            <x v="86"/>
          </reference>
        </references>
      </pivotArea>
    </format>
    <format dxfId="47">
      <pivotArea dataOnly="0" labelOnly="1" fieldPosition="0">
        <references count="2">
          <reference field="4" count="1">
            <x v="30"/>
          </reference>
          <reference field="8" count="1" selected="0">
            <x v="87"/>
          </reference>
        </references>
      </pivotArea>
    </format>
    <format dxfId="46">
      <pivotArea dataOnly="0" labelOnly="1" fieldPosition="0">
        <references count="2">
          <reference field="4" count="1">
            <x v="30"/>
          </reference>
          <reference field="8" count="1" selected="0">
            <x v="88"/>
          </reference>
        </references>
      </pivotArea>
    </format>
    <format dxfId="45">
      <pivotArea dataOnly="0" labelOnly="1" fieldPosition="0">
        <references count="2">
          <reference field="4" count="1">
            <x v="30"/>
          </reference>
          <reference field="8" count="1" selected="0">
            <x v="89"/>
          </reference>
        </references>
      </pivotArea>
    </format>
    <format dxfId="44">
      <pivotArea dataOnly="0" labelOnly="1" fieldPosition="0">
        <references count="2">
          <reference field="4" count="1">
            <x v="30"/>
          </reference>
          <reference field="8" count="1" selected="0">
            <x v="90"/>
          </reference>
        </references>
      </pivotArea>
    </format>
    <format dxfId="43">
      <pivotArea dataOnly="0" labelOnly="1" fieldPosition="0">
        <references count="2">
          <reference field="4" count="1">
            <x v="31"/>
          </reference>
          <reference field="8" count="1" selected="0">
            <x v="91"/>
          </reference>
        </references>
      </pivotArea>
    </format>
    <format dxfId="42">
      <pivotArea dataOnly="0" labelOnly="1" fieldPosition="0">
        <references count="2">
          <reference field="4" count="1">
            <x v="30"/>
          </reference>
          <reference field="8" count="1" selected="0">
            <x v="92"/>
          </reference>
        </references>
      </pivotArea>
    </format>
    <format dxfId="41">
      <pivotArea dataOnly="0" labelOnly="1" fieldPosition="0">
        <references count="2">
          <reference field="4" count="1">
            <x v="31"/>
          </reference>
          <reference field="8" count="1" selected="0">
            <x v="93"/>
          </reference>
        </references>
      </pivotArea>
    </format>
    <format dxfId="40">
      <pivotArea dataOnly="0" labelOnly="1" fieldPosition="0">
        <references count="2">
          <reference field="4" count="1">
            <x v="31"/>
          </reference>
          <reference field="8" count="1" selected="0">
            <x v="94"/>
          </reference>
        </references>
      </pivotArea>
    </format>
    <format dxfId="39">
      <pivotArea dataOnly="0" labelOnly="1" fieldPosition="0">
        <references count="2">
          <reference field="4" count="1">
            <x v="22"/>
          </reference>
          <reference field="8" count="1" selected="0">
            <x v="95"/>
          </reference>
        </references>
      </pivotArea>
    </format>
    <format dxfId="38">
      <pivotArea dataOnly="0" labelOnly="1" fieldPosition="0">
        <references count="2">
          <reference field="4" count="1">
            <x v="23"/>
          </reference>
          <reference field="8" count="1" selected="0">
            <x v="96"/>
          </reference>
        </references>
      </pivotArea>
    </format>
    <format dxfId="37">
      <pivotArea dataOnly="0" labelOnly="1" fieldPosition="0">
        <references count="2">
          <reference field="4" count="1">
            <x v="23"/>
          </reference>
          <reference field="8" count="1" selected="0">
            <x v="97"/>
          </reference>
        </references>
      </pivotArea>
    </format>
    <format dxfId="36">
      <pivotArea dataOnly="0" labelOnly="1" fieldPosition="0">
        <references count="2">
          <reference field="4" count="1">
            <x v="22"/>
          </reference>
          <reference field="8" count="1" selected="0">
            <x v="98"/>
          </reference>
        </references>
      </pivotArea>
    </format>
    <format dxfId="35">
      <pivotArea dataOnly="0" labelOnly="1" fieldPosition="0">
        <references count="2">
          <reference field="4" count="1">
            <x v="22"/>
          </reference>
          <reference field="8" count="1" selected="0">
            <x v="99"/>
          </reference>
        </references>
      </pivotArea>
    </format>
    <format dxfId="34">
      <pivotArea dataOnly="0" labelOnly="1" fieldPosition="0">
        <references count="2">
          <reference field="4" count="1">
            <x v="22"/>
          </reference>
          <reference field="8" count="1" selected="0">
            <x v="100"/>
          </reference>
        </references>
      </pivotArea>
    </format>
    <format dxfId="33">
      <pivotArea dataOnly="0" labelOnly="1" fieldPosition="0">
        <references count="2">
          <reference field="4" count="1">
            <x v="38"/>
          </reference>
          <reference field="8" count="1" selected="0">
            <x v="101"/>
          </reference>
        </references>
      </pivotArea>
    </format>
    <format dxfId="32">
      <pivotArea dataOnly="0" labelOnly="1" fieldPosition="0">
        <references count="2">
          <reference field="4" count="1">
            <x v="14"/>
          </reference>
          <reference field="8" count="1" selected="0">
            <x v="102"/>
          </reference>
        </references>
      </pivotArea>
    </format>
    <format dxfId="31">
      <pivotArea dataOnly="0" labelOnly="1" fieldPosition="0">
        <references count="2">
          <reference field="4" count="1">
            <x v="3"/>
          </reference>
          <reference field="8" count="1" selected="0">
            <x v="103"/>
          </reference>
        </references>
      </pivotArea>
    </format>
    <format dxfId="30">
      <pivotArea dataOnly="0" labelOnly="1" fieldPosition="0">
        <references count="2">
          <reference field="4" count="1">
            <x v="2"/>
          </reference>
          <reference field="8" count="1" selected="0">
            <x v="104"/>
          </reference>
        </references>
      </pivotArea>
    </format>
    <format dxfId="29">
      <pivotArea dataOnly="0" labelOnly="1" fieldPosition="0">
        <references count="2">
          <reference field="4" count="1">
            <x v="32"/>
          </reference>
          <reference field="8" count="1" selected="0">
            <x v="105"/>
          </reference>
        </references>
      </pivotArea>
    </format>
    <format dxfId="28">
      <pivotArea dataOnly="0" labelOnly="1" fieldPosition="0">
        <references count="2">
          <reference field="4" count="2">
            <x v="21"/>
            <x v="23"/>
          </reference>
          <reference field="8" count="1" selected="0">
            <x v="106"/>
          </reference>
        </references>
      </pivotArea>
    </format>
    <format dxfId="27">
      <pivotArea dataOnly="0" labelOnly="1" fieldPosition="0">
        <references count="2">
          <reference field="4" count="1">
            <x v="24"/>
          </reference>
          <reference field="8" count="1" selected="0">
            <x v="107"/>
          </reference>
        </references>
      </pivotArea>
    </format>
    <format dxfId="26">
      <pivotArea dataOnly="0" labelOnly="1" fieldPosition="0">
        <references count="2">
          <reference field="4" count="1">
            <x v="8"/>
          </reference>
          <reference field="8" count="1" selected="0">
            <x v="108"/>
          </reference>
        </references>
      </pivotArea>
    </format>
    <format dxfId="25">
      <pivotArea dataOnly="0" labelOnly="1" fieldPosition="0">
        <references count="2">
          <reference field="4" count="1">
            <x v="8"/>
          </reference>
          <reference field="8" count="1" selected="0">
            <x v="109"/>
          </reference>
        </references>
      </pivotArea>
    </format>
    <format dxfId="24">
      <pivotArea dataOnly="0" labelOnly="1" fieldPosition="0">
        <references count="2">
          <reference field="4" count="1">
            <x v="8"/>
          </reference>
          <reference field="8" count="1" selected="0">
            <x v="110"/>
          </reference>
        </references>
      </pivotArea>
    </format>
    <format dxfId="23">
      <pivotArea dataOnly="0" labelOnly="1" fieldPosition="0">
        <references count="2">
          <reference field="4" count="1">
            <x v="8"/>
          </reference>
          <reference field="8" count="1" selected="0">
            <x v="111"/>
          </reference>
        </references>
      </pivotArea>
    </format>
    <format dxfId="22">
      <pivotArea dataOnly="0" labelOnly="1" fieldPosition="0">
        <references count="2">
          <reference field="4" count="1">
            <x v="8"/>
          </reference>
          <reference field="8" count="1" selected="0">
            <x v="112"/>
          </reference>
        </references>
      </pivotArea>
    </format>
    <format dxfId="21">
      <pivotArea dataOnly="0" labelOnly="1" fieldPosition="0">
        <references count="2">
          <reference field="4" count="1">
            <x v="8"/>
          </reference>
          <reference field="8" count="1" selected="0">
            <x v="113"/>
          </reference>
        </references>
      </pivotArea>
    </format>
    <format dxfId="20">
      <pivotArea dataOnly="0" labelOnly="1" fieldPosition="0">
        <references count="2">
          <reference field="4" count="1">
            <x v="8"/>
          </reference>
          <reference field="8" count="1" selected="0">
            <x v="114"/>
          </reference>
        </references>
      </pivotArea>
    </format>
    <format dxfId="19">
      <pivotArea dataOnly="0" labelOnly="1" fieldPosition="0">
        <references count="2">
          <reference field="4" count="1">
            <x v="8"/>
          </reference>
          <reference field="8" count="1" selected="0">
            <x v="115"/>
          </reference>
        </references>
      </pivotArea>
    </format>
    <format dxfId="18">
      <pivotArea dataOnly="0" labelOnly="1" fieldPosition="0">
        <references count="2">
          <reference field="4" count="1">
            <x v="8"/>
          </reference>
          <reference field="8" count="1" selected="0">
            <x v="116"/>
          </reference>
        </references>
      </pivotArea>
    </format>
    <format dxfId="17">
      <pivotArea dataOnly="0" labelOnly="1" fieldPosition="0">
        <references count="2">
          <reference field="4" count="1">
            <x v="8"/>
          </reference>
          <reference field="8" count="1" selected="0">
            <x v="117"/>
          </reference>
        </references>
      </pivotArea>
    </format>
    <format dxfId="16">
      <pivotArea dataOnly="0" labelOnly="1" fieldPosition="0">
        <references count="2">
          <reference field="4" count="1">
            <x v="8"/>
          </reference>
          <reference field="8" count="1" selected="0">
            <x v="118"/>
          </reference>
        </references>
      </pivotArea>
    </format>
    <format dxfId="15">
      <pivotArea dataOnly="0" labelOnly="1" fieldPosition="0">
        <references count="2">
          <reference field="4" count="1">
            <x v="15"/>
          </reference>
          <reference field="8" count="1" selected="0">
            <x v="119"/>
          </reference>
        </references>
      </pivotArea>
    </format>
    <format dxfId="14">
      <pivotArea dataOnly="0" labelOnly="1" fieldPosition="0">
        <references count="2">
          <reference field="4" count="1">
            <x v="8"/>
          </reference>
          <reference field="8" count="1" selected="0">
            <x v="120"/>
          </reference>
        </references>
      </pivotArea>
    </format>
    <format dxfId="13">
      <pivotArea dataOnly="0" labelOnly="1" fieldPosition="0">
        <references count="2">
          <reference field="4" count="1">
            <x v="8"/>
          </reference>
          <reference field="8" count="1" selected="0">
            <x v="121"/>
          </reference>
        </references>
      </pivotArea>
    </format>
    <format dxfId="12">
      <pivotArea dataOnly="0" labelOnly="1" fieldPosition="0">
        <references count="2">
          <reference field="4" count="1">
            <x v="8"/>
          </reference>
          <reference field="8" count="1" selected="0">
            <x v="122"/>
          </reference>
        </references>
      </pivotArea>
    </format>
    <format dxfId="11">
      <pivotArea dataOnly="0" labelOnly="1" fieldPosition="0">
        <references count="2">
          <reference field="4" count="1">
            <x v="8"/>
          </reference>
          <reference field="8" count="1" selected="0">
            <x v="123"/>
          </reference>
        </references>
      </pivotArea>
    </format>
    <format dxfId="10">
      <pivotArea dataOnly="0" labelOnly="1" fieldPosition="0">
        <references count="2">
          <reference field="4" count="1">
            <x v="8"/>
          </reference>
          <reference field="8" count="1" selected="0">
            <x v="124"/>
          </reference>
        </references>
      </pivotArea>
    </format>
    <format dxfId="9">
      <pivotArea dataOnly="0" labelOnly="1" fieldPosition="0">
        <references count="2">
          <reference field="4" count="1">
            <x v="8"/>
          </reference>
          <reference field="8" count="1" selected="0">
            <x v="125"/>
          </reference>
        </references>
      </pivotArea>
    </format>
    <format dxfId="8">
      <pivotArea dataOnly="0" labelOnly="1" fieldPosition="0">
        <references count="2">
          <reference field="4" count="1">
            <x v="8"/>
          </reference>
          <reference field="8" count="1" selected="0">
            <x v="126"/>
          </reference>
        </references>
      </pivotArea>
    </format>
    <format dxfId="7">
      <pivotArea dataOnly="0" labelOnly="1" fieldPosition="0">
        <references count="2">
          <reference field="4" count="1">
            <x v="8"/>
          </reference>
          <reference field="8" count="1" selected="0">
            <x v="127"/>
          </reference>
        </references>
      </pivotArea>
    </format>
    <format dxfId="6">
      <pivotArea dataOnly="0" labelOnly="1" fieldPosition="0">
        <references count="2">
          <reference field="4" count="1">
            <x v="8"/>
          </reference>
          <reference field="8" count="1" selected="0">
            <x v="128"/>
          </reference>
        </references>
      </pivotArea>
    </format>
    <format dxfId="5">
      <pivotArea dataOnly="0" labelOnly="1" fieldPosition="0">
        <references count="2">
          <reference field="4" count="1">
            <x v="37"/>
          </reference>
          <reference field="8" count="1" selected="0">
            <x v="129"/>
          </reference>
        </references>
      </pivotArea>
    </format>
    <format dxfId="4">
      <pivotArea dataOnly="0" labelOnly="1" fieldPosition="0">
        <references count="2">
          <reference field="4" count="1">
            <x v="30"/>
          </reference>
          <reference field="8" count="1" selected="0">
            <x v="130"/>
          </reference>
        </references>
      </pivotArea>
    </format>
    <format dxfId="3">
      <pivotArea dataOnly="0" labelOnly="1" fieldPosition="0">
        <references count="2">
          <reference field="4" count="1">
            <x v="8"/>
          </reference>
          <reference field="8" count="1" selected="0">
            <x v="131"/>
          </reference>
        </references>
      </pivotArea>
    </format>
    <format dxfId="2">
      <pivotArea dataOnly="0" labelOnly="1" fieldPosition="0">
        <references count="2">
          <reference field="4" count="1">
            <x v="8"/>
          </reference>
          <reference field="8" count="1" selected="0">
            <x v="132"/>
          </reference>
        </references>
      </pivotArea>
    </format>
    <format dxfId="1">
      <pivotArea dataOnly="0" labelOnly="1" fieldPosition="0">
        <references count="2">
          <reference field="4" count="1">
            <x v="5"/>
          </reference>
          <reference field="8" count="1" selected="0">
            <x v="133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CCC02-833F-4DA9-BB36-40CAFA2361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 rowPageCount="1" colPageCount="1"/>
  <pivotFields count="16">
    <pivotField showAll="0"/>
    <pivotField axis="axisPage" multipleItemSelectionAllowed="1" showAll="0">
      <items count="8">
        <item h="1" x="0"/>
        <item h="1" x="1"/>
        <item h="1" x="2"/>
        <item h="1" x="3"/>
        <item h="1"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pcs" fld="9" baseField="0" baseItem="0"/>
    <dataField name="Sum of kgs 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BB72-5641-4535-8B26-85A148C475E0}">
  <dimension ref="A1:F170"/>
  <sheetViews>
    <sheetView tabSelected="1" topLeftCell="A144" workbookViewId="0">
      <selection activeCell="E144" sqref="E144"/>
    </sheetView>
  </sheetViews>
  <sheetFormatPr defaultRowHeight="12.5" x14ac:dyDescent="0.25"/>
  <cols>
    <col min="1" max="1" width="37.08984375" bestFit="1" customWidth="1"/>
    <col min="2" max="2" width="15.54296875" style="51" bestFit="1" customWidth="1"/>
    <col min="3" max="3" width="10.54296875" bestFit="1" customWidth="1"/>
    <col min="4" max="4" width="11.453125" bestFit="1" customWidth="1"/>
    <col min="5" max="5" width="11.36328125" bestFit="1" customWidth="1"/>
    <col min="6" max="6" width="10.81640625" bestFit="1" customWidth="1"/>
  </cols>
  <sheetData>
    <row r="1" spans="1:6" x14ac:dyDescent="0.25">
      <c r="A1" s="298" t="s">
        <v>721</v>
      </c>
      <c r="B1" s="283" t="s">
        <v>729</v>
      </c>
      <c r="C1" s="283"/>
      <c r="D1" s="283"/>
      <c r="E1" s="283"/>
      <c r="F1" s="283"/>
    </row>
    <row r="2" spans="1:6" x14ac:dyDescent="0.25">
      <c r="A2" s="283"/>
      <c r="B2" s="299"/>
      <c r="C2" s="283"/>
      <c r="D2" s="283"/>
      <c r="E2" s="283"/>
      <c r="F2" s="283"/>
    </row>
    <row r="3" spans="1:6" x14ac:dyDescent="0.25">
      <c r="A3" s="298" t="s">
        <v>228</v>
      </c>
      <c r="B3" s="299" t="s">
        <v>230</v>
      </c>
      <c r="C3" s="283" t="s">
        <v>231</v>
      </c>
      <c r="D3" s="283" t="s">
        <v>755</v>
      </c>
      <c r="E3" s="283" t="s">
        <v>756</v>
      </c>
      <c r="F3" s="283" t="s">
        <v>757</v>
      </c>
    </row>
    <row r="4" spans="1:6" x14ac:dyDescent="0.25">
      <c r="A4" s="32" t="s">
        <v>258</v>
      </c>
      <c r="B4" s="299">
        <v>4188.0159999999996</v>
      </c>
      <c r="C4" s="283">
        <v>3065</v>
      </c>
      <c r="D4" s="283"/>
      <c r="E4" s="283"/>
      <c r="F4" s="283"/>
    </row>
    <row r="5" spans="1:6" x14ac:dyDescent="0.25">
      <c r="A5" s="300" t="s">
        <v>253</v>
      </c>
      <c r="B5" s="299">
        <v>4188.0159999999996</v>
      </c>
      <c r="C5" s="283">
        <v>3065</v>
      </c>
      <c r="D5" s="283"/>
      <c r="E5" s="283"/>
      <c r="F5" s="283"/>
    </row>
    <row r="6" spans="1:6" x14ac:dyDescent="0.25">
      <c r="A6" s="32" t="s">
        <v>691</v>
      </c>
      <c r="B6" s="299">
        <v>1221.33</v>
      </c>
      <c r="C6" s="283">
        <v>1650</v>
      </c>
      <c r="D6" s="283"/>
      <c r="E6" s="283"/>
      <c r="F6" s="283"/>
    </row>
    <row r="7" spans="1:6" x14ac:dyDescent="0.25">
      <c r="A7" s="300" t="s">
        <v>457</v>
      </c>
      <c r="B7" s="299">
        <v>1221.33</v>
      </c>
      <c r="C7" s="283">
        <v>1650</v>
      </c>
      <c r="D7" s="283"/>
      <c r="E7" s="283"/>
      <c r="F7" s="283"/>
    </row>
    <row r="8" spans="1:6" x14ac:dyDescent="0.25">
      <c r="A8" s="32" t="s">
        <v>210</v>
      </c>
      <c r="B8" s="299">
        <v>7578.91</v>
      </c>
      <c r="C8" s="283">
        <v>11300</v>
      </c>
      <c r="D8" s="283"/>
      <c r="E8" s="283"/>
      <c r="F8" s="283"/>
    </row>
    <row r="9" spans="1:6" x14ac:dyDescent="0.25">
      <c r="A9" s="300" t="s">
        <v>310</v>
      </c>
      <c r="B9" s="299">
        <v>7578.91</v>
      </c>
      <c r="C9" s="283">
        <v>11300</v>
      </c>
      <c r="D9" s="283"/>
      <c r="E9" s="283"/>
      <c r="F9" s="283"/>
    </row>
    <row r="10" spans="1:6" x14ac:dyDescent="0.25">
      <c r="A10" s="32" t="s">
        <v>217</v>
      </c>
      <c r="B10" s="299">
        <v>2682.7999999999997</v>
      </c>
      <c r="C10" s="283">
        <v>4000</v>
      </c>
      <c r="D10" s="283"/>
      <c r="E10" s="283"/>
      <c r="F10" s="283"/>
    </row>
    <row r="11" spans="1:6" x14ac:dyDescent="0.25">
      <c r="A11" s="300" t="s">
        <v>310</v>
      </c>
      <c r="B11" s="299">
        <v>2682.7999999999997</v>
      </c>
      <c r="C11" s="283">
        <v>4000</v>
      </c>
      <c r="D11" s="283"/>
      <c r="E11" s="283"/>
      <c r="F11" s="283"/>
    </row>
    <row r="12" spans="1:6" x14ac:dyDescent="0.25">
      <c r="A12" s="32" t="s">
        <v>276</v>
      </c>
      <c r="B12" s="299">
        <v>1747.1999999999998</v>
      </c>
      <c r="C12" s="283">
        <v>2400</v>
      </c>
      <c r="D12" s="283"/>
      <c r="E12" s="283"/>
      <c r="F12" s="283"/>
    </row>
    <row r="13" spans="1:6" x14ac:dyDescent="0.25">
      <c r="A13" s="300" t="s">
        <v>502</v>
      </c>
      <c r="B13" s="299">
        <v>1747.1999999999998</v>
      </c>
      <c r="C13" s="283">
        <v>2400</v>
      </c>
      <c r="D13" s="283"/>
      <c r="E13" s="283"/>
      <c r="F13" s="283"/>
    </row>
    <row r="14" spans="1:6" x14ac:dyDescent="0.25">
      <c r="A14" s="32" t="s">
        <v>283</v>
      </c>
      <c r="B14" s="299">
        <v>9152.44</v>
      </c>
      <c r="C14" s="283">
        <v>6820</v>
      </c>
      <c r="D14" s="283"/>
      <c r="E14" s="283"/>
      <c r="F14" s="283"/>
    </row>
    <row r="15" spans="1:6" x14ac:dyDescent="0.25">
      <c r="A15" s="300" t="s">
        <v>502</v>
      </c>
      <c r="B15" s="299">
        <v>9152.44</v>
      </c>
      <c r="C15" s="283">
        <v>6820</v>
      </c>
      <c r="D15" s="283"/>
      <c r="E15" s="283"/>
      <c r="F15" s="283"/>
    </row>
    <row r="16" spans="1:6" x14ac:dyDescent="0.25">
      <c r="A16" s="32" t="s">
        <v>285</v>
      </c>
      <c r="B16" s="299">
        <v>2039.0999999999997</v>
      </c>
      <c r="C16" s="283">
        <v>1050</v>
      </c>
      <c r="D16" s="283"/>
      <c r="E16" s="283"/>
      <c r="F16" s="283"/>
    </row>
    <row r="17" spans="1:6" x14ac:dyDescent="0.25">
      <c r="A17" s="300" t="s">
        <v>502</v>
      </c>
      <c r="B17" s="299">
        <v>2039.0999999999997</v>
      </c>
      <c r="C17" s="283">
        <v>1050</v>
      </c>
      <c r="D17" s="283"/>
      <c r="E17" s="283"/>
      <c r="F17" s="283"/>
    </row>
    <row r="18" spans="1:6" x14ac:dyDescent="0.25">
      <c r="A18" s="32" t="s">
        <v>288</v>
      </c>
      <c r="B18" s="299">
        <v>3358.8</v>
      </c>
      <c r="C18" s="283">
        <v>2160</v>
      </c>
      <c r="D18" s="283"/>
      <c r="E18" s="283"/>
      <c r="F18" s="283"/>
    </row>
    <row r="19" spans="1:6" x14ac:dyDescent="0.25">
      <c r="A19" s="300" t="s">
        <v>502</v>
      </c>
      <c r="B19" s="299">
        <v>3358.8</v>
      </c>
      <c r="C19" s="283">
        <v>2160</v>
      </c>
      <c r="D19" s="283"/>
      <c r="E19" s="283"/>
      <c r="F19" s="283"/>
    </row>
    <row r="20" spans="1:6" x14ac:dyDescent="0.25">
      <c r="A20" s="32" t="s">
        <v>290</v>
      </c>
      <c r="B20" s="299">
        <v>3492.6749999999997</v>
      </c>
      <c r="C20" s="283">
        <v>3225</v>
      </c>
      <c r="D20" s="283"/>
      <c r="E20" s="283"/>
      <c r="F20" s="283"/>
    </row>
    <row r="21" spans="1:6" x14ac:dyDescent="0.25">
      <c r="A21" s="300" t="s">
        <v>502</v>
      </c>
      <c r="B21" s="299">
        <v>3492.6749999999997</v>
      </c>
      <c r="C21" s="283">
        <v>3225</v>
      </c>
      <c r="D21" s="283"/>
      <c r="E21" s="283"/>
      <c r="F21" s="283"/>
    </row>
    <row r="22" spans="1:6" x14ac:dyDescent="0.25">
      <c r="A22" s="32" t="s">
        <v>293</v>
      </c>
      <c r="B22" s="299">
        <v>420.75</v>
      </c>
      <c r="C22" s="283">
        <v>125</v>
      </c>
      <c r="D22" s="283"/>
      <c r="E22" s="283"/>
      <c r="F22" s="283"/>
    </row>
    <row r="23" spans="1:6" x14ac:dyDescent="0.25">
      <c r="A23" s="300" t="s">
        <v>673</v>
      </c>
      <c r="B23" s="299">
        <v>420.75</v>
      </c>
      <c r="C23" s="283">
        <v>125</v>
      </c>
      <c r="D23" s="283"/>
      <c r="E23" s="283"/>
      <c r="F23" s="283"/>
    </row>
    <row r="24" spans="1:6" x14ac:dyDescent="0.25">
      <c r="A24" s="32" t="s">
        <v>614</v>
      </c>
      <c r="B24" s="299">
        <v>24689.279999999999</v>
      </c>
      <c r="C24" s="283">
        <v>13440</v>
      </c>
      <c r="D24" s="283"/>
      <c r="E24" s="283"/>
      <c r="F24" s="283"/>
    </row>
    <row r="25" spans="1:6" x14ac:dyDescent="0.25">
      <c r="A25" s="300" t="s">
        <v>140</v>
      </c>
      <c r="B25" s="299">
        <v>24689.279999999999</v>
      </c>
      <c r="C25" s="283">
        <v>13440</v>
      </c>
      <c r="D25" s="283"/>
      <c r="E25" s="283"/>
      <c r="F25" s="283"/>
    </row>
    <row r="26" spans="1:6" x14ac:dyDescent="0.25">
      <c r="A26" s="32" t="s">
        <v>306</v>
      </c>
      <c r="B26" s="299">
        <v>5114.9215000000004</v>
      </c>
      <c r="C26" s="283">
        <v>2965</v>
      </c>
      <c r="D26" s="283"/>
      <c r="E26" s="283"/>
      <c r="F26" s="283"/>
    </row>
    <row r="27" spans="1:6" x14ac:dyDescent="0.25">
      <c r="A27" s="300" t="s">
        <v>407</v>
      </c>
      <c r="B27" s="299">
        <v>5114.9215000000004</v>
      </c>
      <c r="C27" s="283">
        <v>2965</v>
      </c>
      <c r="D27" s="283"/>
      <c r="E27" s="283"/>
      <c r="F27" s="283"/>
    </row>
    <row r="28" spans="1:6" x14ac:dyDescent="0.25">
      <c r="A28" s="32" t="s">
        <v>313</v>
      </c>
      <c r="B28" s="299">
        <v>13693.226999999999</v>
      </c>
      <c r="C28" s="283">
        <v>6515</v>
      </c>
      <c r="D28" s="283"/>
      <c r="E28" s="283"/>
      <c r="F28" s="283"/>
    </row>
    <row r="29" spans="1:6" x14ac:dyDescent="0.25">
      <c r="A29" s="300" t="s">
        <v>297</v>
      </c>
      <c r="B29" s="299">
        <v>13693.226999999999</v>
      </c>
      <c r="C29" s="283">
        <v>6515</v>
      </c>
      <c r="D29" s="283"/>
      <c r="E29" s="283"/>
      <c r="F29" s="283"/>
    </row>
    <row r="30" spans="1:6" x14ac:dyDescent="0.25">
      <c r="A30" s="32" t="s">
        <v>322</v>
      </c>
      <c r="B30" s="299">
        <v>1026.5</v>
      </c>
      <c r="C30" s="283">
        <v>500</v>
      </c>
      <c r="D30" s="283"/>
      <c r="E30" s="283"/>
      <c r="F30" s="283"/>
    </row>
    <row r="31" spans="1:6" x14ac:dyDescent="0.25">
      <c r="A31" s="300" t="s">
        <v>409</v>
      </c>
      <c r="B31" s="299">
        <v>1026.5</v>
      </c>
      <c r="C31" s="283">
        <v>500</v>
      </c>
      <c r="D31" s="283"/>
      <c r="E31" s="283"/>
      <c r="F31" s="283"/>
    </row>
    <row r="32" spans="1:6" x14ac:dyDescent="0.25">
      <c r="A32" s="32" t="s">
        <v>329</v>
      </c>
      <c r="B32" s="299">
        <v>9045</v>
      </c>
      <c r="C32" s="283">
        <v>5000</v>
      </c>
      <c r="D32" s="283"/>
      <c r="E32" s="283"/>
      <c r="F32" s="283"/>
    </row>
    <row r="33" spans="1:6" x14ac:dyDescent="0.25">
      <c r="A33" s="300" t="s">
        <v>457</v>
      </c>
      <c r="B33" s="299">
        <v>9045</v>
      </c>
      <c r="C33" s="283">
        <v>5000</v>
      </c>
      <c r="D33" s="283"/>
      <c r="E33" s="283"/>
      <c r="F33" s="283"/>
    </row>
    <row r="34" spans="1:6" x14ac:dyDescent="0.25">
      <c r="A34" s="32" t="s">
        <v>334</v>
      </c>
      <c r="B34" s="299">
        <v>432.6</v>
      </c>
      <c r="C34" s="283">
        <v>175</v>
      </c>
      <c r="D34" s="283"/>
      <c r="E34" s="283"/>
      <c r="F34" s="283"/>
    </row>
    <row r="35" spans="1:6" x14ac:dyDescent="0.25">
      <c r="A35" s="300" t="s">
        <v>457</v>
      </c>
      <c r="B35" s="299">
        <v>432.6</v>
      </c>
      <c r="C35" s="283">
        <v>175</v>
      </c>
      <c r="D35" s="283"/>
      <c r="E35" s="283"/>
      <c r="F35" s="283"/>
    </row>
    <row r="36" spans="1:6" x14ac:dyDescent="0.25">
      <c r="A36" s="32" t="s">
        <v>337</v>
      </c>
      <c r="B36" s="299">
        <v>1215.9000000000001</v>
      </c>
      <c r="C36" s="283">
        <v>1050</v>
      </c>
      <c r="D36" s="283"/>
      <c r="E36" s="283"/>
      <c r="F36" s="283"/>
    </row>
    <row r="37" spans="1:6" x14ac:dyDescent="0.25">
      <c r="A37" s="300" t="s">
        <v>457</v>
      </c>
      <c r="B37" s="299">
        <v>1215.9000000000001</v>
      </c>
      <c r="C37" s="283">
        <v>1050</v>
      </c>
      <c r="D37" s="283"/>
      <c r="E37" s="283"/>
      <c r="F37" s="283"/>
    </row>
    <row r="38" spans="1:6" x14ac:dyDescent="0.25">
      <c r="A38" s="32" t="s">
        <v>340</v>
      </c>
      <c r="B38" s="299">
        <v>839.15</v>
      </c>
      <c r="C38" s="283">
        <v>650</v>
      </c>
      <c r="D38" s="283"/>
      <c r="E38" s="283"/>
      <c r="F38" s="283"/>
    </row>
    <row r="39" spans="1:6" x14ac:dyDescent="0.25">
      <c r="A39" s="300" t="s">
        <v>457</v>
      </c>
      <c r="B39" s="299">
        <v>839.15</v>
      </c>
      <c r="C39" s="283">
        <v>650</v>
      </c>
      <c r="D39" s="283"/>
      <c r="E39" s="283"/>
      <c r="F39" s="283"/>
    </row>
    <row r="40" spans="1:6" x14ac:dyDescent="0.25">
      <c r="A40" s="32" t="s">
        <v>342</v>
      </c>
      <c r="B40" s="299">
        <v>1897.5</v>
      </c>
      <c r="C40" s="283">
        <v>2500</v>
      </c>
      <c r="D40" s="283"/>
      <c r="E40" s="283"/>
      <c r="F40" s="283"/>
    </row>
    <row r="41" spans="1:6" x14ac:dyDescent="0.25">
      <c r="A41" s="300" t="s">
        <v>457</v>
      </c>
      <c r="B41" s="299">
        <v>1897.5</v>
      </c>
      <c r="C41" s="283">
        <v>2500</v>
      </c>
      <c r="D41" s="283"/>
      <c r="E41" s="283"/>
      <c r="F41" s="283"/>
    </row>
    <row r="42" spans="1:6" x14ac:dyDescent="0.25">
      <c r="A42" s="32" t="s">
        <v>345</v>
      </c>
      <c r="B42" s="299">
        <v>371.5</v>
      </c>
      <c r="C42" s="283">
        <v>500</v>
      </c>
      <c r="D42" s="283"/>
      <c r="E42" s="283"/>
      <c r="F42" s="283"/>
    </row>
    <row r="43" spans="1:6" x14ac:dyDescent="0.25">
      <c r="A43" s="300" t="s">
        <v>457</v>
      </c>
      <c r="B43" s="299">
        <v>371.5</v>
      </c>
      <c r="C43" s="283">
        <v>500</v>
      </c>
      <c r="D43" s="283"/>
      <c r="E43" s="283"/>
      <c r="F43" s="283"/>
    </row>
    <row r="44" spans="1:6" x14ac:dyDescent="0.25">
      <c r="A44" s="32" t="s">
        <v>348</v>
      </c>
      <c r="B44" s="299">
        <v>759</v>
      </c>
      <c r="C44" s="283">
        <v>1000</v>
      </c>
      <c r="D44" s="283"/>
      <c r="E44" s="283"/>
      <c r="F44" s="283"/>
    </row>
    <row r="45" spans="1:6" x14ac:dyDescent="0.25">
      <c r="A45" s="300" t="s">
        <v>457</v>
      </c>
      <c r="B45" s="299">
        <v>759</v>
      </c>
      <c r="C45" s="283">
        <v>1000</v>
      </c>
      <c r="D45" s="283"/>
      <c r="E45" s="283"/>
      <c r="F45" s="283"/>
    </row>
    <row r="46" spans="1:6" x14ac:dyDescent="0.25">
      <c r="A46" s="32" t="s">
        <v>350</v>
      </c>
      <c r="B46" s="299">
        <v>1749.6</v>
      </c>
      <c r="C46" s="283">
        <v>2400</v>
      </c>
      <c r="D46" s="283"/>
      <c r="E46" s="283"/>
      <c r="F46" s="283"/>
    </row>
    <row r="47" spans="1:6" x14ac:dyDescent="0.25">
      <c r="A47" s="300" t="s">
        <v>457</v>
      </c>
      <c r="B47" s="299">
        <v>1749.6</v>
      </c>
      <c r="C47" s="283">
        <v>2400</v>
      </c>
      <c r="D47" s="283"/>
      <c r="E47" s="283"/>
      <c r="F47" s="283"/>
    </row>
    <row r="48" spans="1:6" x14ac:dyDescent="0.25">
      <c r="A48" s="32" t="s">
        <v>353</v>
      </c>
      <c r="B48" s="299">
        <v>867.6</v>
      </c>
      <c r="C48" s="283">
        <v>900</v>
      </c>
      <c r="D48" s="283"/>
      <c r="E48" s="283"/>
      <c r="F48" s="283"/>
    </row>
    <row r="49" spans="1:6" x14ac:dyDescent="0.25">
      <c r="A49" s="300" t="s">
        <v>457</v>
      </c>
      <c r="B49" s="299">
        <v>867.6</v>
      </c>
      <c r="C49" s="283">
        <v>900</v>
      </c>
      <c r="D49" s="283"/>
      <c r="E49" s="283"/>
      <c r="F49" s="283"/>
    </row>
    <row r="50" spans="1:6" x14ac:dyDescent="0.25">
      <c r="A50" s="32" t="s">
        <v>356</v>
      </c>
      <c r="B50" s="299">
        <v>583</v>
      </c>
      <c r="C50" s="283">
        <v>500</v>
      </c>
      <c r="D50" s="283"/>
      <c r="E50" s="283"/>
      <c r="F50" s="283"/>
    </row>
    <row r="51" spans="1:6" x14ac:dyDescent="0.25">
      <c r="A51" s="300" t="s">
        <v>457</v>
      </c>
      <c r="B51" s="299">
        <v>583</v>
      </c>
      <c r="C51" s="283">
        <v>500</v>
      </c>
      <c r="D51" s="283"/>
      <c r="E51" s="283"/>
      <c r="F51" s="283"/>
    </row>
    <row r="52" spans="1:6" x14ac:dyDescent="0.25">
      <c r="A52" s="32" t="s">
        <v>359</v>
      </c>
      <c r="B52" s="299">
        <v>508.8</v>
      </c>
      <c r="C52" s="283">
        <v>400</v>
      </c>
      <c r="D52" s="283"/>
      <c r="E52" s="283"/>
      <c r="F52" s="283"/>
    </row>
    <row r="53" spans="1:6" x14ac:dyDescent="0.25">
      <c r="A53" s="300" t="s">
        <v>457</v>
      </c>
      <c r="B53" s="299">
        <v>508.8</v>
      </c>
      <c r="C53" s="283">
        <v>400</v>
      </c>
      <c r="D53" s="283"/>
      <c r="E53" s="283"/>
      <c r="F53" s="283"/>
    </row>
    <row r="54" spans="1:6" x14ac:dyDescent="0.25">
      <c r="A54" s="32" t="s">
        <v>361</v>
      </c>
      <c r="B54" s="299">
        <v>1086.5999999999999</v>
      </c>
      <c r="C54" s="283">
        <v>600</v>
      </c>
      <c r="D54" s="283"/>
      <c r="E54" s="283"/>
      <c r="F54" s="283"/>
    </row>
    <row r="55" spans="1:6" x14ac:dyDescent="0.25">
      <c r="A55" s="300" t="s">
        <v>457</v>
      </c>
      <c r="B55" s="299">
        <v>1086.5999999999999</v>
      </c>
      <c r="C55" s="283">
        <v>600</v>
      </c>
      <c r="D55" s="283"/>
      <c r="E55" s="283"/>
      <c r="F55" s="283"/>
    </row>
    <row r="56" spans="1:6" x14ac:dyDescent="0.25">
      <c r="A56" s="32" t="s">
        <v>364</v>
      </c>
      <c r="B56" s="299">
        <v>4200</v>
      </c>
      <c r="C56" s="283">
        <v>6000</v>
      </c>
      <c r="D56" s="283"/>
      <c r="E56" s="283"/>
      <c r="F56" s="283"/>
    </row>
    <row r="57" spans="1:6" x14ac:dyDescent="0.25">
      <c r="A57" s="300" t="s">
        <v>504</v>
      </c>
      <c r="B57" s="299">
        <v>4200</v>
      </c>
      <c r="C57" s="283">
        <v>6000</v>
      </c>
      <c r="D57" s="283"/>
      <c r="E57" s="283"/>
      <c r="F57" s="283"/>
    </row>
    <row r="58" spans="1:6" x14ac:dyDescent="0.25">
      <c r="A58" s="32" t="s">
        <v>369</v>
      </c>
      <c r="B58" s="299">
        <v>728.64</v>
      </c>
      <c r="C58" s="283">
        <v>1200</v>
      </c>
      <c r="D58" s="283"/>
      <c r="E58" s="283"/>
      <c r="F58" s="283"/>
    </row>
    <row r="59" spans="1:6" x14ac:dyDescent="0.25">
      <c r="A59" s="300" t="s">
        <v>504</v>
      </c>
      <c r="B59" s="299">
        <v>728.64</v>
      </c>
      <c r="C59" s="283">
        <v>1200</v>
      </c>
      <c r="D59" s="283"/>
      <c r="E59" s="283"/>
      <c r="F59" s="283"/>
    </row>
    <row r="60" spans="1:6" x14ac:dyDescent="0.25">
      <c r="A60" s="32" t="s">
        <v>372</v>
      </c>
      <c r="B60" s="299">
        <v>880.44</v>
      </c>
      <c r="C60" s="283">
        <v>1200</v>
      </c>
      <c r="D60" s="283"/>
      <c r="E60" s="283"/>
      <c r="F60" s="283"/>
    </row>
    <row r="61" spans="1:6" x14ac:dyDescent="0.25">
      <c r="A61" s="300" t="s">
        <v>504</v>
      </c>
      <c r="B61" s="299">
        <v>880.44</v>
      </c>
      <c r="C61" s="283">
        <v>1200</v>
      </c>
      <c r="D61" s="283"/>
      <c r="E61" s="283"/>
      <c r="F61" s="283"/>
    </row>
    <row r="62" spans="1:6" x14ac:dyDescent="0.25">
      <c r="A62" s="32" t="s">
        <v>374</v>
      </c>
      <c r="B62" s="299">
        <v>1760.88</v>
      </c>
      <c r="C62" s="283">
        <v>2400</v>
      </c>
      <c r="D62" s="283"/>
      <c r="E62" s="283"/>
      <c r="F62" s="283"/>
    </row>
    <row r="63" spans="1:6" x14ac:dyDescent="0.25">
      <c r="A63" s="300" t="s">
        <v>504</v>
      </c>
      <c r="B63" s="299">
        <v>1760.88</v>
      </c>
      <c r="C63" s="283">
        <v>2400</v>
      </c>
      <c r="D63" s="283"/>
      <c r="E63" s="283"/>
      <c r="F63" s="283"/>
    </row>
    <row r="64" spans="1:6" x14ac:dyDescent="0.25">
      <c r="A64" s="32" t="s">
        <v>377</v>
      </c>
      <c r="B64" s="299">
        <v>3220</v>
      </c>
      <c r="C64" s="283">
        <v>4000</v>
      </c>
      <c r="D64" s="283"/>
      <c r="E64" s="283"/>
      <c r="F64" s="283"/>
    </row>
    <row r="65" spans="1:6" x14ac:dyDescent="0.25">
      <c r="A65" s="300" t="s">
        <v>504</v>
      </c>
      <c r="B65" s="299">
        <v>3220</v>
      </c>
      <c r="C65" s="283">
        <v>4000</v>
      </c>
      <c r="D65" s="283"/>
      <c r="E65" s="283"/>
      <c r="F65" s="283"/>
    </row>
    <row r="66" spans="1:6" x14ac:dyDescent="0.25">
      <c r="A66" s="32" t="s">
        <v>379</v>
      </c>
      <c r="B66" s="299">
        <v>805</v>
      </c>
      <c r="C66" s="283">
        <v>1000</v>
      </c>
      <c r="D66" s="283"/>
      <c r="E66" s="283"/>
      <c r="F66" s="283"/>
    </row>
    <row r="67" spans="1:6" x14ac:dyDescent="0.25">
      <c r="A67" s="300" t="s">
        <v>504</v>
      </c>
      <c r="B67" s="299">
        <v>805</v>
      </c>
      <c r="C67" s="283">
        <v>1000</v>
      </c>
      <c r="D67" s="283"/>
      <c r="E67" s="283"/>
      <c r="F67" s="283"/>
    </row>
    <row r="68" spans="1:6" x14ac:dyDescent="0.25">
      <c r="A68" s="32" t="s">
        <v>381</v>
      </c>
      <c r="B68" s="299">
        <v>402.5</v>
      </c>
      <c r="C68" s="283">
        <v>500</v>
      </c>
      <c r="D68" s="283"/>
      <c r="E68" s="283"/>
      <c r="F68" s="283"/>
    </row>
    <row r="69" spans="1:6" x14ac:dyDescent="0.25">
      <c r="A69" s="300" t="s">
        <v>676</v>
      </c>
      <c r="B69" s="299">
        <v>402.5</v>
      </c>
      <c r="C69" s="283">
        <v>500</v>
      </c>
      <c r="D69" s="283"/>
      <c r="E69" s="283"/>
      <c r="F69" s="283"/>
    </row>
    <row r="70" spans="1:6" x14ac:dyDescent="0.25">
      <c r="A70" s="32" t="s">
        <v>383</v>
      </c>
      <c r="B70" s="299">
        <v>805</v>
      </c>
      <c r="C70" s="283">
        <v>1000</v>
      </c>
      <c r="D70" s="283"/>
      <c r="E70" s="283"/>
      <c r="F70" s="283"/>
    </row>
    <row r="71" spans="1:6" x14ac:dyDescent="0.25">
      <c r="A71" s="300" t="s">
        <v>504</v>
      </c>
      <c r="B71" s="299">
        <v>805</v>
      </c>
      <c r="C71" s="283">
        <v>1000</v>
      </c>
      <c r="D71" s="283"/>
      <c r="E71" s="283"/>
      <c r="F71" s="283"/>
    </row>
    <row r="72" spans="1:6" x14ac:dyDescent="0.25">
      <c r="A72" s="32" t="s">
        <v>385</v>
      </c>
      <c r="B72" s="299">
        <v>399.5</v>
      </c>
      <c r="C72" s="283">
        <v>500</v>
      </c>
      <c r="D72" s="283"/>
      <c r="E72" s="283"/>
      <c r="F72" s="283"/>
    </row>
    <row r="73" spans="1:6" x14ac:dyDescent="0.25">
      <c r="A73" s="300" t="s">
        <v>676</v>
      </c>
      <c r="B73" s="299">
        <v>399.5</v>
      </c>
      <c r="C73" s="283">
        <v>500</v>
      </c>
      <c r="D73" s="283"/>
      <c r="E73" s="283"/>
      <c r="F73" s="283"/>
    </row>
    <row r="74" spans="1:6" x14ac:dyDescent="0.25">
      <c r="A74" s="32" t="s">
        <v>387</v>
      </c>
      <c r="B74" s="299">
        <v>877.68</v>
      </c>
      <c r="C74" s="283">
        <v>900</v>
      </c>
      <c r="D74" s="283"/>
      <c r="E74" s="283"/>
      <c r="F74" s="283"/>
    </row>
    <row r="75" spans="1:6" x14ac:dyDescent="0.25">
      <c r="A75" s="300" t="s">
        <v>676</v>
      </c>
      <c r="B75" s="299">
        <v>877.68</v>
      </c>
      <c r="C75" s="283">
        <v>900</v>
      </c>
      <c r="D75" s="283"/>
      <c r="E75" s="283"/>
      <c r="F75" s="283"/>
    </row>
    <row r="76" spans="1:6" x14ac:dyDescent="0.25">
      <c r="A76" s="32" t="s">
        <v>390</v>
      </c>
      <c r="B76" s="299">
        <v>489.59999999999997</v>
      </c>
      <c r="C76" s="283">
        <v>500</v>
      </c>
      <c r="D76" s="283"/>
      <c r="E76" s="283"/>
      <c r="F76" s="283"/>
    </row>
    <row r="77" spans="1:6" x14ac:dyDescent="0.25">
      <c r="A77" s="300" t="s">
        <v>615</v>
      </c>
      <c r="B77" s="299">
        <v>489.59999999999997</v>
      </c>
      <c r="C77" s="283">
        <v>500</v>
      </c>
      <c r="D77" s="283"/>
      <c r="E77" s="283"/>
      <c r="F77" s="283"/>
    </row>
    <row r="78" spans="1:6" x14ac:dyDescent="0.25">
      <c r="A78" s="32" t="s">
        <v>396</v>
      </c>
      <c r="B78" s="299">
        <v>1317.355</v>
      </c>
      <c r="C78" s="283">
        <v>1690</v>
      </c>
      <c r="D78" s="283"/>
      <c r="E78" s="283"/>
      <c r="F78" s="283"/>
    </row>
    <row r="79" spans="1:6" x14ac:dyDescent="0.25">
      <c r="A79" s="300" t="s">
        <v>689</v>
      </c>
      <c r="B79" s="299">
        <v>1317.355</v>
      </c>
      <c r="C79" s="283">
        <v>1690</v>
      </c>
      <c r="D79" s="283"/>
      <c r="E79" s="283"/>
      <c r="F79" s="283"/>
    </row>
    <row r="80" spans="1:6" x14ac:dyDescent="0.25">
      <c r="A80" s="32" t="s">
        <v>397</v>
      </c>
      <c r="B80" s="299">
        <v>1355.67</v>
      </c>
      <c r="C80" s="283">
        <v>1350</v>
      </c>
      <c r="D80" s="283"/>
      <c r="E80" s="283"/>
      <c r="F80" s="283"/>
    </row>
    <row r="81" spans="1:6" x14ac:dyDescent="0.25">
      <c r="A81" s="300" t="s">
        <v>689</v>
      </c>
      <c r="B81" s="299">
        <v>1355.67</v>
      </c>
      <c r="C81" s="283">
        <v>1350</v>
      </c>
      <c r="D81" s="283"/>
      <c r="E81" s="283"/>
      <c r="F81" s="283"/>
    </row>
    <row r="82" spans="1:6" x14ac:dyDescent="0.25">
      <c r="A82" s="32" t="s">
        <v>398</v>
      </c>
      <c r="B82" s="299">
        <v>495.5</v>
      </c>
      <c r="C82" s="283">
        <v>500</v>
      </c>
      <c r="D82" s="283"/>
      <c r="E82" s="283"/>
      <c r="F82" s="283"/>
    </row>
    <row r="83" spans="1:6" x14ac:dyDescent="0.25">
      <c r="A83" s="300" t="s">
        <v>615</v>
      </c>
      <c r="B83" s="299">
        <v>495.5</v>
      </c>
      <c r="C83" s="283">
        <v>500</v>
      </c>
      <c r="D83" s="283"/>
      <c r="E83" s="283"/>
      <c r="F83" s="283"/>
    </row>
    <row r="84" spans="1:6" x14ac:dyDescent="0.25">
      <c r="A84" s="32" t="s">
        <v>401</v>
      </c>
      <c r="B84" s="299">
        <v>403.70249999999999</v>
      </c>
      <c r="C84" s="283">
        <v>475</v>
      </c>
      <c r="D84" s="283"/>
      <c r="E84" s="283"/>
      <c r="F84" s="283"/>
    </row>
    <row r="85" spans="1:6" x14ac:dyDescent="0.25">
      <c r="A85" s="300" t="s">
        <v>615</v>
      </c>
      <c r="B85" s="299">
        <v>403.70249999999999</v>
      </c>
      <c r="C85" s="283">
        <v>475</v>
      </c>
      <c r="D85" s="283"/>
      <c r="E85" s="283"/>
      <c r="F85" s="283"/>
    </row>
    <row r="86" spans="1:6" x14ac:dyDescent="0.25">
      <c r="A86" s="32" t="s">
        <v>402</v>
      </c>
      <c r="B86" s="299">
        <v>260.61</v>
      </c>
      <c r="C86" s="283">
        <v>300</v>
      </c>
      <c r="D86" s="283"/>
      <c r="E86" s="283"/>
      <c r="F86" s="283"/>
    </row>
    <row r="87" spans="1:6" x14ac:dyDescent="0.25">
      <c r="A87" s="300" t="s">
        <v>615</v>
      </c>
      <c r="B87" s="299">
        <v>260.61</v>
      </c>
      <c r="C87" s="283">
        <v>300</v>
      </c>
      <c r="D87" s="283"/>
      <c r="E87" s="283"/>
      <c r="F87" s="283"/>
    </row>
    <row r="88" spans="1:6" x14ac:dyDescent="0.25">
      <c r="A88" s="32" t="s">
        <v>411</v>
      </c>
      <c r="B88" s="299">
        <v>4439.7999999999993</v>
      </c>
      <c r="C88" s="283">
        <v>2000</v>
      </c>
      <c r="D88" s="283"/>
      <c r="E88" s="283"/>
      <c r="F88" s="283"/>
    </row>
    <row r="89" spans="1:6" x14ac:dyDescent="0.25">
      <c r="A89" s="300" t="s">
        <v>297</v>
      </c>
      <c r="B89" s="299">
        <v>4439.7999999999993</v>
      </c>
      <c r="C89" s="283">
        <v>2000</v>
      </c>
      <c r="D89" s="283"/>
      <c r="E89" s="283"/>
      <c r="F89" s="283"/>
    </row>
    <row r="90" spans="1:6" x14ac:dyDescent="0.25">
      <c r="A90" s="32" t="s">
        <v>415</v>
      </c>
      <c r="B90" s="299">
        <v>1508.3899999999999</v>
      </c>
      <c r="C90" s="283">
        <v>2050</v>
      </c>
      <c r="D90" s="283"/>
      <c r="E90" s="283"/>
      <c r="F90" s="283"/>
    </row>
    <row r="91" spans="1:6" x14ac:dyDescent="0.25">
      <c r="A91" s="300" t="s">
        <v>697</v>
      </c>
      <c r="B91" s="299">
        <v>1508.3899999999999</v>
      </c>
      <c r="C91" s="283">
        <v>2050</v>
      </c>
      <c r="D91" s="283"/>
      <c r="E91" s="283"/>
      <c r="F91" s="283"/>
    </row>
    <row r="92" spans="1:6" x14ac:dyDescent="0.25">
      <c r="A92" s="32" t="s">
        <v>418</v>
      </c>
      <c r="B92" s="299">
        <v>1059.9000000000001</v>
      </c>
      <c r="C92" s="283">
        <v>300</v>
      </c>
      <c r="D92" s="283"/>
      <c r="E92" s="283"/>
      <c r="F92" s="283"/>
    </row>
    <row r="93" spans="1:6" x14ac:dyDescent="0.25">
      <c r="A93" s="300" t="s">
        <v>656</v>
      </c>
      <c r="B93" s="299">
        <v>1059.9000000000001</v>
      </c>
      <c r="C93" s="283">
        <v>300</v>
      </c>
      <c r="D93" s="283"/>
      <c r="E93" s="283"/>
      <c r="F93" s="283"/>
    </row>
    <row r="94" spans="1:6" x14ac:dyDescent="0.25">
      <c r="A94" s="32" t="s">
        <v>422</v>
      </c>
      <c r="B94" s="299">
        <v>718.5</v>
      </c>
      <c r="C94" s="283">
        <v>300</v>
      </c>
      <c r="D94" s="283"/>
      <c r="E94" s="283"/>
      <c r="F94" s="283"/>
    </row>
    <row r="95" spans="1:6" x14ac:dyDescent="0.25">
      <c r="A95" s="300" t="s">
        <v>419</v>
      </c>
      <c r="B95" s="299">
        <v>718.5</v>
      </c>
      <c r="C95" s="283">
        <v>300</v>
      </c>
      <c r="D95" s="283"/>
      <c r="E95" s="283"/>
      <c r="F95" s="283"/>
    </row>
    <row r="96" spans="1:6" x14ac:dyDescent="0.25">
      <c r="A96" s="32" t="s">
        <v>426</v>
      </c>
      <c r="B96" s="299">
        <v>1297.6799999999998</v>
      </c>
      <c r="C96" s="283">
        <v>1200</v>
      </c>
      <c r="D96" s="283"/>
      <c r="E96" s="283"/>
      <c r="F96" s="283"/>
    </row>
    <row r="97" spans="1:6" x14ac:dyDescent="0.25">
      <c r="A97" s="300" t="s">
        <v>502</v>
      </c>
      <c r="B97" s="299">
        <v>1297.6799999999998</v>
      </c>
      <c r="C97" s="283">
        <v>1200</v>
      </c>
      <c r="D97" s="283"/>
      <c r="E97" s="283"/>
      <c r="F97" s="283"/>
    </row>
    <row r="98" spans="1:6" x14ac:dyDescent="0.25">
      <c r="A98" s="32" t="s">
        <v>437</v>
      </c>
      <c r="B98" s="299">
        <v>3534.4</v>
      </c>
      <c r="C98" s="283">
        <v>1600</v>
      </c>
      <c r="D98" s="283"/>
      <c r="E98" s="283"/>
      <c r="F98" s="283"/>
    </row>
    <row r="99" spans="1:6" x14ac:dyDescent="0.25">
      <c r="A99" s="300" t="s">
        <v>674</v>
      </c>
      <c r="B99" s="299">
        <v>1192.8600000000001</v>
      </c>
      <c r="C99" s="283">
        <v>540</v>
      </c>
      <c r="D99" s="283"/>
      <c r="E99" s="283"/>
      <c r="F99" s="283"/>
    </row>
    <row r="100" spans="1:6" x14ac:dyDescent="0.25">
      <c r="A100" s="300" t="s">
        <v>689</v>
      </c>
      <c r="B100" s="299">
        <v>2341.54</v>
      </c>
      <c r="C100" s="283">
        <v>1060</v>
      </c>
      <c r="D100" s="283"/>
      <c r="E100" s="283"/>
      <c r="F100" s="283"/>
    </row>
    <row r="101" spans="1:6" x14ac:dyDescent="0.25">
      <c r="A101" s="32" t="s">
        <v>453</v>
      </c>
      <c r="B101" s="299">
        <v>816.97</v>
      </c>
      <c r="C101" s="283">
        <v>700</v>
      </c>
      <c r="D101" s="283"/>
      <c r="E101" s="283"/>
      <c r="F101" s="283"/>
    </row>
    <row r="102" spans="1:6" x14ac:dyDescent="0.25">
      <c r="A102" s="300" t="s">
        <v>573</v>
      </c>
      <c r="B102" s="299">
        <v>816.97</v>
      </c>
      <c r="C102" s="283">
        <v>700</v>
      </c>
      <c r="D102" s="283"/>
      <c r="E102" s="283"/>
      <c r="F102" s="283"/>
    </row>
    <row r="103" spans="1:6" x14ac:dyDescent="0.25">
      <c r="A103" s="32" t="s">
        <v>459</v>
      </c>
      <c r="B103" s="299">
        <v>823.44</v>
      </c>
      <c r="C103" s="283">
        <v>800</v>
      </c>
      <c r="D103" s="283"/>
      <c r="E103" s="283"/>
      <c r="F103" s="283"/>
    </row>
    <row r="104" spans="1:6" x14ac:dyDescent="0.25">
      <c r="A104" s="300" t="s">
        <v>457</v>
      </c>
      <c r="B104" s="299">
        <v>823.44</v>
      </c>
      <c r="C104" s="283">
        <v>800</v>
      </c>
      <c r="D104" s="283"/>
      <c r="E104" s="283"/>
      <c r="F104" s="283"/>
    </row>
    <row r="105" spans="1:6" x14ac:dyDescent="0.25">
      <c r="A105" s="32" t="s">
        <v>462</v>
      </c>
      <c r="B105" s="299">
        <v>4500.5999999999995</v>
      </c>
      <c r="C105" s="283">
        <v>6000</v>
      </c>
      <c r="D105" s="283"/>
      <c r="E105" s="283"/>
      <c r="F105" s="283"/>
    </row>
    <row r="106" spans="1:6" x14ac:dyDescent="0.25">
      <c r="A106" s="300" t="s">
        <v>457</v>
      </c>
      <c r="B106" s="299">
        <v>4500.5999999999995</v>
      </c>
      <c r="C106" s="283">
        <v>6000</v>
      </c>
      <c r="D106" s="283"/>
      <c r="E106" s="283"/>
      <c r="F106" s="283"/>
    </row>
    <row r="107" spans="1:6" x14ac:dyDescent="0.25">
      <c r="A107" s="32" t="s">
        <v>464</v>
      </c>
      <c r="B107" s="299">
        <v>1305.3</v>
      </c>
      <c r="C107" s="283">
        <v>1500</v>
      </c>
      <c r="D107" s="283"/>
      <c r="E107" s="283"/>
      <c r="F107" s="283"/>
    </row>
    <row r="108" spans="1:6" x14ac:dyDescent="0.25">
      <c r="A108" s="300" t="s">
        <v>457</v>
      </c>
      <c r="B108" s="299">
        <v>1305.3</v>
      </c>
      <c r="C108" s="283">
        <v>1500</v>
      </c>
      <c r="D108" s="283"/>
      <c r="E108" s="283"/>
      <c r="F108" s="283"/>
    </row>
    <row r="109" spans="1:6" x14ac:dyDescent="0.25">
      <c r="A109" s="32" t="s">
        <v>468</v>
      </c>
      <c r="B109" s="299">
        <v>750.87000000000012</v>
      </c>
      <c r="C109" s="283">
        <v>675</v>
      </c>
      <c r="D109" s="283"/>
      <c r="E109" s="283"/>
      <c r="F109" s="283"/>
    </row>
    <row r="110" spans="1:6" x14ac:dyDescent="0.25">
      <c r="A110" s="300" t="s">
        <v>457</v>
      </c>
      <c r="B110" s="299">
        <v>750.87000000000012</v>
      </c>
      <c r="C110" s="283">
        <v>675</v>
      </c>
      <c r="D110" s="283"/>
      <c r="E110" s="283"/>
      <c r="F110" s="283"/>
    </row>
    <row r="111" spans="1:6" x14ac:dyDescent="0.25">
      <c r="A111" s="32" t="s">
        <v>470</v>
      </c>
      <c r="B111" s="299">
        <v>829.2</v>
      </c>
      <c r="C111" s="283">
        <v>800</v>
      </c>
      <c r="D111" s="283"/>
      <c r="E111" s="283"/>
      <c r="F111" s="283"/>
    </row>
    <row r="112" spans="1:6" x14ac:dyDescent="0.25">
      <c r="A112" s="300" t="s">
        <v>457</v>
      </c>
      <c r="B112" s="299">
        <v>829.2</v>
      </c>
      <c r="C112" s="283">
        <v>800</v>
      </c>
      <c r="D112" s="283"/>
      <c r="E112" s="283"/>
      <c r="F112" s="283"/>
    </row>
    <row r="113" spans="1:6" x14ac:dyDescent="0.25">
      <c r="A113" s="32" t="s">
        <v>474</v>
      </c>
      <c r="B113" s="299">
        <v>756.01</v>
      </c>
      <c r="C113" s="283">
        <v>950</v>
      </c>
      <c r="D113" s="283"/>
      <c r="E113" s="283"/>
      <c r="F113" s="283"/>
    </row>
    <row r="114" spans="1:6" x14ac:dyDescent="0.25">
      <c r="A114" s="300" t="s">
        <v>457</v>
      </c>
      <c r="B114" s="299">
        <v>756.01</v>
      </c>
      <c r="C114" s="283">
        <v>950</v>
      </c>
      <c r="D114" s="283"/>
      <c r="E114" s="283"/>
      <c r="F114" s="283"/>
    </row>
    <row r="115" spans="1:6" x14ac:dyDescent="0.25">
      <c r="A115" s="32" t="s">
        <v>476</v>
      </c>
      <c r="B115" s="299">
        <v>397.9</v>
      </c>
      <c r="C115" s="283">
        <v>500</v>
      </c>
      <c r="D115" s="283"/>
      <c r="E115" s="283"/>
      <c r="F115" s="283"/>
    </row>
    <row r="116" spans="1:6" x14ac:dyDescent="0.25">
      <c r="A116" s="300" t="s">
        <v>457</v>
      </c>
      <c r="B116" s="299">
        <v>397.9</v>
      </c>
      <c r="C116" s="283">
        <v>500</v>
      </c>
      <c r="D116" s="283"/>
      <c r="E116" s="283"/>
      <c r="F116" s="283"/>
    </row>
    <row r="117" spans="1:6" x14ac:dyDescent="0.25">
      <c r="A117" s="32" t="s">
        <v>484</v>
      </c>
      <c r="B117" s="299">
        <v>414.75</v>
      </c>
      <c r="C117" s="283">
        <v>500</v>
      </c>
      <c r="D117" s="283"/>
      <c r="E117" s="283"/>
      <c r="F117" s="283"/>
    </row>
    <row r="118" spans="1:6" x14ac:dyDescent="0.25">
      <c r="A118" s="300" t="s">
        <v>457</v>
      </c>
      <c r="B118" s="299">
        <v>414.75</v>
      </c>
      <c r="C118" s="283">
        <v>500</v>
      </c>
      <c r="D118" s="283"/>
      <c r="E118" s="283"/>
      <c r="F118" s="283"/>
    </row>
    <row r="119" spans="1:6" x14ac:dyDescent="0.25">
      <c r="A119" s="32" t="s">
        <v>486</v>
      </c>
      <c r="B119" s="299">
        <v>1127.2530000000002</v>
      </c>
      <c r="C119" s="283">
        <v>510</v>
      </c>
      <c r="D119" s="283"/>
      <c r="E119" s="283"/>
      <c r="F119" s="283"/>
    </row>
    <row r="120" spans="1:6" x14ac:dyDescent="0.25">
      <c r="A120" s="300" t="s">
        <v>457</v>
      </c>
      <c r="B120" s="299">
        <v>1127.2530000000002</v>
      </c>
      <c r="C120" s="283">
        <v>510</v>
      </c>
      <c r="D120" s="283"/>
      <c r="E120" s="283"/>
      <c r="F120" s="283"/>
    </row>
    <row r="121" spans="1:6" x14ac:dyDescent="0.25">
      <c r="A121" s="32" t="s">
        <v>488</v>
      </c>
      <c r="B121" s="299">
        <v>382.9</v>
      </c>
      <c r="C121" s="283">
        <v>500</v>
      </c>
      <c r="D121" s="283"/>
      <c r="E121" s="283"/>
      <c r="F121" s="283"/>
    </row>
    <row r="122" spans="1:6" x14ac:dyDescent="0.25">
      <c r="A122" s="300" t="s">
        <v>457</v>
      </c>
      <c r="B122" s="299">
        <v>382.9</v>
      </c>
      <c r="C122" s="283">
        <v>500</v>
      </c>
      <c r="D122" s="283"/>
      <c r="E122" s="283"/>
      <c r="F122" s="283"/>
    </row>
    <row r="123" spans="1:6" x14ac:dyDescent="0.25">
      <c r="A123" s="32" t="s">
        <v>492</v>
      </c>
      <c r="B123" s="299">
        <v>826.09999999999991</v>
      </c>
      <c r="C123" s="283">
        <v>200</v>
      </c>
      <c r="D123" s="283"/>
      <c r="E123" s="283"/>
      <c r="F123" s="283"/>
    </row>
    <row r="124" spans="1:6" x14ac:dyDescent="0.25">
      <c r="A124" s="300" t="s">
        <v>457</v>
      </c>
      <c r="B124" s="299">
        <v>826.09999999999991</v>
      </c>
      <c r="C124" s="283">
        <v>200</v>
      </c>
      <c r="D124" s="283"/>
      <c r="E124" s="283"/>
      <c r="F124" s="283"/>
    </row>
    <row r="125" spans="1:6" x14ac:dyDescent="0.25">
      <c r="A125" s="32" t="s">
        <v>507</v>
      </c>
      <c r="B125" s="299">
        <v>570.97500000000002</v>
      </c>
      <c r="C125" s="283">
        <v>250</v>
      </c>
      <c r="D125" s="283"/>
      <c r="E125" s="283"/>
      <c r="F125" s="283"/>
    </row>
    <row r="126" spans="1:6" x14ac:dyDescent="0.25">
      <c r="A126" s="300" t="s">
        <v>162</v>
      </c>
      <c r="B126" s="299">
        <v>570.97500000000002</v>
      </c>
      <c r="C126" s="283">
        <v>250</v>
      </c>
      <c r="D126" s="283"/>
      <c r="E126" s="283"/>
      <c r="F126" s="283"/>
    </row>
    <row r="127" spans="1:6" x14ac:dyDescent="0.25">
      <c r="A127" s="32" t="s">
        <v>512</v>
      </c>
      <c r="B127" s="299">
        <v>795.8</v>
      </c>
      <c r="C127" s="283">
        <v>1000</v>
      </c>
      <c r="D127" s="283"/>
      <c r="E127" s="283"/>
      <c r="F127" s="283"/>
    </row>
    <row r="128" spans="1:6" x14ac:dyDescent="0.25">
      <c r="A128" s="300" t="s">
        <v>457</v>
      </c>
      <c r="B128" s="299">
        <v>795.8</v>
      </c>
      <c r="C128" s="283">
        <v>1000</v>
      </c>
      <c r="D128" s="283"/>
      <c r="E128" s="283"/>
      <c r="F128" s="283"/>
    </row>
    <row r="129" spans="1:6" x14ac:dyDescent="0.25">
      <c r="A129" s="32" t="s">
        <v>516</v>
      </c>
      <c r="B129" s="299">
        <v>1173.7750000000001</v>
      </c>
      <c r="C129" s="283">
        <v>1450</v>
      </c>
      <c r="D129" s="283"/>
      <c r="E129" s="283"/>
      <c r="F129" s="283"/>
    </row>
    <row r="130" spans="1:6" x14ac:dyDescent="0.25">
      <c r="A130" s="300" t="s">
        <v>457</v>
      </c>
      <c r="B130" s="299">
        <v>1173.7750000000001</v>
      </c>
      <c r="C130" s="283">
        <v>1450</v>
      </c>
      <c r="D130" s="283"/>
      <c r="E130" s="283"/>
      <c r="F130" s="283"/>
    </row>
    <row r="131" spans="1:6" x14ac:dyDescent="0.25">
      <c r="A131" s="32" t="s">
        <v>532</v>
      </c>
      <c r="B131" s="299">
        <v>427.42699999999996</v>
      </c>
      <c r="C131" s="283">
        <v>245</v>
      </c>
      <c r="D131" s="283"/>
      <c r="E131" s="283"/>
      <c r="F131" s="283"/>
    </row>
    <row r="132" spans="1:6" x14ac:dyDescent="0.25">
      <c r="A132" s="300" t="s">
        <v>457</v>
      </c>
      <c r="B132" s="299">
        <v>427.42699999999996</v>
      </c>
      <c r="C132" s="283">
        <v>245</v>
      </c>
      <c r="D132" s="283"/>
      <c r="E132" s="283"/>
      <c r="F132" s="283"/>
    </row>
    <row r="133" spans="1:6" x14ac:dyDescent="0.25">
      <c r="A133" s="32" t="s">
        <v>534</v>
      </c>
      <c r="B133" s="299">
        <v>431.90650000000005</v>
      </c>
      <c r="C133" s="283">
        <v>235</v>
      </c>
      <c r="D133" s="283"/>
      <c r="E133" s="283"/>
      <c r="F133" s="283"/>
    </row>
    <row r="134" spans="1:6" x14ac:dyDescent="0.25">
      <c r="A134" s="300" t="s">
        <v>457</v>
      </c>
      <c r="B134" s="299">
        <v>431.90650000000005</v>
      </c>
      <c r="C134" s="283">
        <v>235</v>
      </c>
      <c r="D134" s="283"/>
      <c r="E134" s="283"/>
      <c r="F134" s="283"/>
    </row>
    <row r="135" spans="1:6" x14ac:dyDescent="0.25">
      <c r="A135" s="32" t="s">
        <v>536</v>
      </c>
      <c r="B135" s="299">
        <v>1487.4780000000001</v>
      </c>
      <c r="C135" s="283">
        <v>840</v>
      </c>
      <c r="D135" s="283"/>
      <c r="E135" s="283"/>
      <c r="F135" s="283"/>
    </row>
    <row r="136" spans="1:6" x14ac:dyDescent="0.25">
      <c r="A136" s="300" t="s">
        <v>457</v>
      </c>
      <c r="B136" s="299">
        <v>1487.4780000000001</v>
      </c>
      <c r="C136" s="283">
        <v>840</v>
      </c>
      <c r="D136" s="283"/>
      <c r="E136" s="283"/>
      <c r="F136" s="283"/>
    </row>
    <row r="137" spans="1:6" x14ac:dyDescent="0.25">
      <c r="A137" s="32" t="s">
        <v>544</v>
      </c>
      <c r="B137" s="299">
        <v>826.68999999999994</v>
      </c>
      <c r="C137" s="283">
        <v>950</v>
      </c>
      <c r="D137" s="283"/>
      <c r="E137" s="283"/>
      <c r="F137" s="283"/>
    </row>
    <row r="138" spans="1:6" x14ac:dyDescent="0.25">
      <c r="A138" s="300" t="s">
        <v>457</v>
      </c>
      <c r="B138" s="299">
        <v>826.68999999999994</v>
      </c>
      <c r="C138" s="283">
        <v>950</v>
      </c>
      <c r="D138" s="283"/>
      <c r="E138" s="283"/>
      <c r="F138" s="283"/>
    </row>
    <row r="139" spans="1:6" x14ac:dyDescent="0.25">
      <c r="A139" s="32" t="s">
        <v>546</v>
      </c>
      <c r="B139" s="299">
        <v>438.96</v>
      </c>
      <c r="C139" s="283">
        <v>300</v>
      </c>
      <c r="D139" s="283"/>
      <c r="E139" s="283"/>
      <c r="F139" s="283"/>
    </row>
    <row r="140" spans="1:6" x14ac:dyDescent="0.25">
      <c r="A140" s="300" t="s">
        <v>457</v>
      </c>
      <c r="B140" s="299">
        <v>438.96</v>
      </c>
      <c r="C140" s="283">
        <v>300</v>
      </c>
      <c r="D140" s="283"/>
      <c r="E140" s="283"/>
      <c r="F140" s="283"/>
    </row>
    <row r="141" spans="1:6" x14ac:dyDescent="0.25">
      <c r="A141" s="32" t="s">
        <v>548</v>
      </c>
      <c r="B141" s="299">
        <v>2157.5250000000001</v>
      </c>
      <c r="C141" s="283">
        <v>1125</v>
      </c>
      <c r="D141" s="283"/>
      <c r="E141" s="283"/>
      <c r="F141" s="283"/>
    </row>
    <row r="142" spans="1:6" x14ac:dyDescent="0.25">
      <c r="A142" s="300" t="s">
        <v>457</v>
      </c>
      <c r="B142" s="299">
        <v>2157.5250000000001</v>
      </c>
      <c r="C142" s="283">
        <v>1125</v>
      </c>
      <c r="D142" s="283"/>
      <c r="E142" s="283"/>
      <c r="F142" s="283"/>
    </row>
    <row r="143" spans="1:6" x14ac:dyDescent="0.25">
      <c r="A143" s="32" t="s">
        <v>554</v>
      </c>
      <c r="B143" s="299">
        <v>273.50400000000002</v>
      </c>
      <c r="C143" s="283">
        <v>280</v>
      </c>
      <c r="D143" s="283"/>
      <c r="E143" s="283"/>
      <c r="F143" s="283"/>
    </row>
    <row r="144" spans="1:6" x14ac:dyDescent="0.25">
      <c r="A144" s="300" t="s">
        <v>457</v>
      </c>
      <c r="B144" s="299">
        <v>273.50400000000002</v>
      </c>
      <c r="C144" s="283">
        <v>280</v>
      </c>
      <c r="D144" s="283"/>
      <c r="E144" s="283"/>
      <c r="F144" s="283"/>
    </row>
    <row r="145" spans="1:6" x14ac:dyDescent="0.25">
      <c r="A145" s="32" t="s">
        <v>563</v>
      </c>
      <c r="B145" s="299">
        <v>686</v>
      </c>
      <c r="C145" s="283">
        <v>245</v>
      </c>
      <c r="D145" s="283"/>
      <c r="E145" s="283"/>
      <c r="F145" s="283"/>
    </row>
    <row r="146" spans="1:6" x14ac:dyDescent="0.25">
      <c r="A146" s="300" t="s">
        <v>683</v>
      </c>
      <c r="B146" s="299">
        <v>686</v>
      </c>
      <c r="C146" s="283">
        <v>245</v>
      </c>
      <c r="D146" s="283"/>
      <c r="E146" s="283"/>
      <c r="F146" s="283"/>
    </row>
    <row r="147" spans="1:6" x14ac:dyDescent="0.25">
      <c r="A147" s="32" t="s">
        <v>596</v>
      </c>
      <c r="B147" s="299">
        <v>523.77</v>
      </c>
      <c r="C147" s="283">
        <v>650</v>
      </c>
      <c r="D147" s="283"/>
      <c r="E147" s="283"/>
      <c r="F147" s="283"/>
    </row>
    <row r="148" spans="1:6" x14ac:dyDescent="0.25">
      <c r="A148" s="300" t="s">
        <v>504</v>
      </c>
      <c r="B148" s="299">
        <v>523.77</v>
      </c>
      <c r="C148" s="283">
        <v>650</v>
      </c>
      <c r="D148" s="283"/>
      <c r="E148" s="283"/>
      <c r="F148" s="283"/>
    </row>
    <row r="149" spans="1:6" x14ac:dyDescent="0.25">
      <c r="A149" s="32" t="s">
        <v>652</v>
      </c>
      <c r="B149" s="299">
        <v>839.50000000000011</v>
      </c>
      <c r="C149" s="283">
        <v>1000</v>
      </c>
      <c r="D149" s="283"/>
      <c r="E149" s="283"/>
      <c r="F149" s="283"/>
    </row>
    <row r="150" spans="1:6" x14ac:dyDescent="0.25">
      <c r="A150" s="300" t="s">
        <v>457</v>
      </c>
      <c r="B150" s="299">
        <v>839.50000000000011</v>
      </c>
      <c r="C150" s="283">
        <v>1000</v>
      </c>
      <c r="D150" s="283"/>
      <c r="E150" s="283"/>
      <c r="F150" s="283"/>
    </row>
    <row r="151" spans="1:6" x14ac:dyDescent="0.25">
      <c r="A151" s="32" t="s">
        <v>654</v>
      </c>
      <c r="B151" s="299">
        <v>75.86</v>
      </c>
      <c r="C151" s="283">
        <v>100</v>
      </c>
      <c r="D151" s="283"/>
      <c r="E151" s="283"/>
      <c r="F151" s="283"/>
    </row>
    <row r="152" spans="1:6" x14ac:dyDescent="0.25">
      <c r="A152" s="300" t="s">
        <v>457</v>
      </c>
      <c r="B152" s="299">
        <v>75.86</v>
      </c>
      <c r="C152" s="283">
        <v>100</v>
      </c>
      <c r="D152" s="283"/>
      <c r="E152" s="283"/>
      <c r="F152" s="283"/>
    </row>
    <row r="153" spans="1:6" x14ac:dyDescent="0.25">
      <c r="A153" s="32" t="s">
        <v>682</v>
      </c>
      <c r="B153" s="299">
        <v>389.58</v>
      </c>
      <c r="C153" s="283">
        <v>200</v>
      </c>
      <c r="D153" s="283"/>
      <c r="E153" s="283"/>
      <c r="F153" s="283"/>
    </row>
    <row r="154" spans="1:6" x14ac:dyDescent="0.25">
      <c r="A154" s="300" t="s">
        <v>681</v>
      </c>
      <c r="B154" s="299">
        <v>389.58</v>
      </c>
      <c r="C154" s="283">
        <v>200</v>
      </c>
      <c r="D154" s="283"/>
      <c r="E154" s="283"/>
      <c r="F154" s="283"/>
    </row>
    <row r="155" spans="1:6" x14ac:dyDescent="0.25">
      <c r="A155" s="32" t="s">
        <v>229</v>
      </c>
      <c r="B155" s="299">
        <v>154752.99049999993</v>
      </c>
      <c r="C155" s="283">
        <v>128360</v>
      </c>
      <c r="D155" s="283"/>
      <c r="E155" s="283"/>
      <c r="F155" s="283"/>
    </row>
    <row r="156" spans="1:6" x14ac:dyDescent="0.25">
      <c r="B156"/>
    </row>
    <row r="157" spans="1:6" x14ac:dyDescent="0.25">
      <c r="B157"/>
    </row>
    <row r="158" spans="1:6" x14ac:dyDescent="0.25">
      <c r="B158"/>
    </row>
    <row r="159" spans="1:6" x14ac:dyDescent="0.25">
      <c r="B159"/>
    </row>
    <row r="160" spans="1:6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64F3-FB22-42D8-9C30-9A07B7F3A6F7}">
  <dimension ref="A2:U160"/>
  <sheetViews>
    <sheetView topLeftCell="A145" workbookViewId="0">
      <selection activeCell="C165" sqref="C165"/>
    </sheetView>
  </sheetViews>
  <sheetFormatPr defaultRowHeight="12.5" x14ac:dyDescent="0.25"/>
  <cols>
    <col min="1" max="1" width="13.81640625" bestFit="1" customWidth="1"/>
    <col min="2" max="2" width="18.90625" bestFit="1" customWidth="1"/>
    <col min="3" max="3" width="12" bestFit="1" customWidth="1"/>
    <col min="4" max="4" width="38.90625" bestFit="1" customWidth="1"/>
    <col min="5" max="5" width="44.1796875" bestFit="1" customWidth="1"/>
    <col min="6" max="6" width="17.54296875" bestFit="1" customWidth="1"/>
    <col min="7" max="7" width="14.54296875" bestFit="1" customWidth="1"/>
    <col min="8" max="8" width="15.1796875" bestFit="1" customWidth="1"/>
    <col min="9" max="9" width="11.453125" bestFit="1" customWidth="1"/>
    <col min="10" max="10" width="11.453125" customWidth="1"/>
    <col min="11" max="11" width="15" bestFit="1" customWidth="1"/>
    <col min="12" max="12" width="23.08984375" bestFit="1" customWidth="1"/>
    <col min="13" max="13" width="15.453125" bestFit="1" customWidth="1"/>
    <col min="14" max="14" width="35.1796875" bestFit="1" customWidth="1"/>
    <col min="15" max="15" width="15.90625" bestFit="1" customWidth="1"/>
    <col min="16" max="16" width="11.36328125" bestFit="1" customWidth="1"/>
    <col min="17" max="17" width="18.08984375" hidden="1" customWidth="1"/>
    <col min="18" max="18" width="12.08984375" bestFit="1" customWidth="1"/>
    <col min="19" max="19" width="14" bestFit="1" customWidth="1"/>
    <col min="20" max="20" width="14.54296875" bestFit="1" customWidth="1"/>
  </cols>
  <sheetData>
    <row r="2" spans="1:20" x14ac:dyDescent="0.25">
      <c r="A2" t="s">
        <v>39</v>
      </c>
    </row>
    <row r="4" spans="1:20" ht="13" x14ac:dyDescent="0.25">
      <c r="A4" s="12" t="s">
        <v>40</v>
      </c>
      <c r="B4" s="12" t="s">
        <v>41</v>
      </c>
      <c r="C4" s="12" t="s">
        <v>42</v>
      </c>
      <c r="D4" s="12" t="s">
        <v>43</v>
      </c>
      <c r="E4" s="12" t="s">
        <v>44</v>
      </c>
      <c r="F4" s="12" t="s">
        <v>45</v>
      </c>
      <c r="G4" s="12" t="s">
        <v>46</v>
      </c>
      <c r="H4" s="12" t="s">
        <v>47</v>
      </c>
      <c r="I4" s="12" t="s">
        <v>48</v>
      </c>
      <c r="J4" s="12"/>
      <c r="K4" s="12" t="s">
        <v>49</v>
      </c>
      <c r="L4" s="13" t="s">
        <v>148</v>
      </c>
      <c r="M4" s="12" t="s">
        <v>147</v>
      </c>
      <c r="N4" s="12" t="s">
        <v>50</v>
      </c>
      <c r="O4" s="2" t="s">
        <v>51</v>
      </c>
      <c r="P4" s="2" t="s">
        <v>52</v>
      </c>
      <c r="Q4" s="2" t="s">
        <v>53</v>
      </c>
      <c r="R4" s="12" t="s">
        <v>54</v>
      </c>
      <c r="S4" s="2" t="s">
        <v>55</v>
      </c>
      <c r="T4" s="2" t="s">
        <v>56</v>
      </c>
    </row>
    <row r="5" spans="1:20" x14ac:dyDescent="0.25">
      <c r="A5" s="6">
        <v>46102</v>
      </c>
      <c r="B5" s="3" t="s">
        <v>64</v>
      </c>
      <c r="C5" s="3" t="s">
        <v>154</v>
      </c>
      <c r="D5" s="3" t="s">
        <v>75</v>
      </c>
      <c r="E5" s="3" t="s">
        <v>155</v>
      </c>
      <c r="F5" s="3" t="s">
        <v>156</v>
      </c>
      <c r="G5" s="3">
        <v>2400</v>
      </c>
      <c r="H5" s="3">
        <v>2400</v>
      </c>
      <c r="I5" s="3">
        <v>7.78</v>
      </c>
      <c r="J5" s="3"/>
      <c r="K5" s="3">
        <v>18.670000000000002</v>
      </c>
      <c r="L5" s="5">
        <v>0</v>
      </c>
      <c r="M5" s="3">
        <f t="shared" ref="M5:M36" si="0">(L5*I5)/1000</f>
        <v>0</v>
      </c>
      <c r="N5" s="3" t="s">
        <v>157</v>
      </c>
      <c r="O5" s="3" t="s">
        <v>59</v>
      </c>
      <c r="P5" s="3" t="s">
        <v>60</v>
      </c>
      <c r="Q5" s="3" t="s">
        <v>78</v>
      </c>
      <c r="R5" s="3" t="s">
        <v>62</v>
      </c>
      <c r="S5" s="3" t="s">
        <v>63</v>
      </c>
      <c r="T5" s="3" t="s">
        <v>153</v>
      </c>
    </row>
    <row r="6" spans="1:20" ht="13" x14ac:dyDescent="0.25">
      <c r="A6" s="4">
        <v>46135</v>
      </c>
      <c r="B6" s="2" t="s">
        <v>209</v>
      </c>
      <c r="C6" s="2" t="s">
        <v>210</v>
      </c>
      <c r="D6" s="2" t="s">
        <v>171</v>
      </c>
      <c r="E6" s="2" t="s">
        <v>211</v>
      </c>
      <c r="F6" s="2" t="s">
        <v>212</v>
      </c>
      <c r="G6" s="2">
        <v>15000</v>
      </c>
      <c r="H6" s="2">
        <v>15000</v>
      </c>
      <c r="I6" s="2">
        <v>0.67</v>
      </c>
      <c r="J6" s="2"/>
      <c r="K6" s="2">
        <v>10.050000000000001</v>
      </c>
      <c r="L6" s="2">
        <v>0</v>
      </c>
      <c r="M6" s="3">
        <f t="shared" si="0"/>
        <v>0</v>
      </c>
      <c r="N6" s="2" t="s">
        <v>69</v>
      </c>
      <c r="O6" s="2" t="s">
        <v>96</v>
      </c>
      <c r="P6" s="2" t="s">
        <v>60</v>
      </c>
      <c r="Q6" s="2" t="s">
        <v>213</v>
      </c>
      <c r="R6" s="2" t="s">
        <v>195</v>
      </c>
      <c r="S6" s="2" t="s">
        <v>63</v>
      </c>
      <c r="T6" s="2" t="s">
        <v>214</v>
      </c>
    </row>
    <row r="7" spans="1:20" ht="13" x14ac:dyDescent="0.25">
      <c r="A7" s="4">
        <v>46135</v>
      </c>
      <c r="B7" s="2" t="s">
        <v>209</v>
      </c>
      <c r="C7" s="2" t="s">
        <v>215</v>
      </c>
      <c r="D7" s="2" t="s">
        <v>171</v>
      </c>
      <c r="E7" s="2" t="s">
        <v>216</v>
      </c>
      <c r="F7" s="2" t="s">
        <v>212</v>
      </c>
      <c r="G7" s="2">
        <v>1800</v>
      </c>
      <c r="H7" s="2">
        <v>1800</v>
      </c>
      <c r="I7" s="2">
        <v>0.67</v>
      </c>
      <c r="J7" s="2"/>
      <c r="K7" s="2">
        <v>1.21</v>
      </c>
      <c r="L7" s="2">
        <v>0</v>
      </c>
      <c r="M7" s="3">
        <f t="shared" si="0"/>
        <v>0</v>
      </c>
      <c r="N7" s="2" t="s">
        <v>69</v>
      </c>
      <c r="O7" s="2" t="s">
        <v>96</v>
      </c>
      <c r="P7" s="2" t="s">
        <v>60</v>
      </c>
      <c r="Q7" s="2" t="s">
        <v>213</v>
      </c>
      <c r="R7" s="2" t="s">
        <v>195</v>
      </c>
      <c r="S7" s="2" t="s">
        <v>63</v>
      </c>
      <c r="T7" s="2" t="s">
        <v>214</v>
      </c>
    </row>
    <row r="8" spans="1:20" ht="13" x14ac:dyDescent="0.25">
      <c r="A8" s="4">
        <v>46135</v>
      </c>
      <c r="B8" s="2" t="s">
        <v>209</v>
      </c>
      <c r="C8" s="2" t="s">
        <v>217</v>
      </c>
      <c r="D8" s="2" t="s">
        <v>171</v>
      </c>
      <c r="E8" s="2" t="s">
        <v>218</v>
      </c>
      <c r="F8" s="2" t="s">
        <v>212</v>
      </c>
      <c r="G8" s="2">
        <v>9600</v>
      </c>
      <c r="H8" s="2">
        <v>9600</v>
      </c>
      <c r="I8" s="2">
        <v>0.67</v>
      </c>
      <c r="J8" s="2"/>
      <c r="K8" s="2">
        <v>6.43</v>
      </c>
      <c r="L8" s="2">
        <v>0</v>
      </c>
      <c r="M8" s="3">
        <f t="shared" si="0"/>
        <v>0</v>
      </c>
      <c r="N8" s="2" t="s">
        <v>69</v>
      </c>
      <c r="O8" s="2" t="s">
        <v>96</v>
      </c>
      <c r="P8" s="2" t="s">
        <v>60</v>
      </c>
      <c r="Q8" s="2" t="s">
        <v>213</v>
      </c>
      <c r="R8" s="2" t="s">
        <v>195</v>
      </c>
      <c r="S8" s="2" t="s">
        <v>63</v>
      </c>
      <c r="T8" s="2" t="s">
        <v>214</v>
      </c>
    </row>
    <row r="9" spans="1:20" ht="13" x14ac:dyDescent="0.25">
      <c r="A9" s="4">
        <v>46135</v>
      </c>
      <c r="B9" s="2" t="s">
        <v>209</v>
      </c>
      <c r="C9" s="2" t="s">
        <v>219</v>
      </c>
      <c r="D9" s="2" t="s">
        <v>171</v>
      </c>
      <c r="E9" s="2" t="s">
        <v>220</v>
      </c>
      <c r="F9" s="2" t="s">
        <v>212</v>
      </c>
      <c r="G9" s="2">
        <v>1200</v>
      </c>
      <c r="H9" s="2">
        <v>1200</v>
      </c>
      <c r="I9" s="2">
        <v>0.67</v>
      </c>
      <c r="J9" s="2"/>
      <c r="K9" s="2">
        <v>0.8</v>
      </c>
      <c r="L9" s="2">
        <v>0</v>
      </c>
      <c r="M9" s="3">
        <f t="shared" si="0"/>
        <v>0</v>
      </c>
      <c r="N9" s="2" t="s">
        <v>69</v>
      </c>
      <c r="O9" s="2" t="s">
        <v>96</v>
      </c>
      <c r="P9" s="2" t="s">
        <v>60</v>
      </c>
      <c r="Q9" s="2" t="s">
        <v>213</v>
      </c>
      <c r="R9" s="2" t="s">
        <v>195</v>
      </c>
      <c r="S9" s="2" t="s">
        <v>63</v>
      </c>
      <c r="T9" s="2" t="s">
        <v>214</v>
      </c>
    </row>
    <row r="10" spans="1:20" ht="13" x14ac:dyDescent="0.25">
      <c r="A10" s="4">
        <v>46135</v>
      </c>
      <c r="B10" s="2" t="s">
        <v>209</v>
      </c>
      <c r="C10" s="2" t="s">
        <v>221</v>
      </c>
      <c r="D10" s="2" t="s">
        <v>171</v>
      </c>
      <c r="E10" s="2" t="s">
        <v>222</v>
      </c>
      <c r="F10" s="2" t="s">
        <v>212</v>
      </c>
      <c r="G10" s="2">
        <v>1200</v>
      </c>
      <c r="H10" s="2">
        <v>1200</v>
      </c>
      <c r="I10" s="2">
        <v>0.67</v>
      </c>
      <c r="J10" s="2"/>
      <c r="K10" s="2">
        <v>0.8</v>
      </c>
      <c r="L10" s="2">
        <v>0</v>
      </c>
      <c r="M10" s="3">
        <f t="shared" si="0"/>
        <v>0</v>
      </c>
      <c r="N10" s="2" t="s">
        <v>69</v>
      </c>
      <c r="O10" s="2" t="s">
        <v>96</v>
      </c>
      <c r="P10" s="2" t="s">
        <v>60</v>
      </c>
      <c r="Q10" s="2" t="s">
        <v>213</v>
      </c>
      <c r="R10" s="2" t="s">
        <v>195</v>
      </c>
      <c r="S10" s="2" t="s">
        <v>63</v>
      </c>
      <c r="T10" s="2" t="s">
        <v>214</v>
      </c>
    </row>
    <row r="11" spans="1:20" ht="13" x14ac:dyDescent="0.3">
      <c r="A11" s="10">
        <v>46147</v>
      </c>
      <c r="B11" s="11" t="s">
        <v>237</v>
      </c>
      <c r="C11" s="11" t="s">
        <v>238</v>
      </c>
      <c r="D11" s="11" t="s">
        <v>223</v>
      </c>
      <c r="E11" s="11" t="s">
        <v>239</v>
      </c>
      <c r="F11" s="11" t="s">
        <v>224</v>
      </c>
      <c r="G11" s="11">
        <v>800</v>
      </c>
      <c r="H11" s="11">
        <v>800</v>
      </c>
      <c r="I11" s="11">
        <v>1.76</v>
      </c>
      <c r="J11" s="11"/>
      <c r="K11" s="11">
        <v>1.41</v>
      </c>
      <c r="L11" s="11">
        <v>0</v>
      </c>
      <c r="M11" s="3">
        <f t="shared" si="0"/>
        <v>0</v>
      </c>
      <c r="N11" s="11" t="s">
        <v>225</v>
      </c>
      <c r="O11" s="11" t="s">
        <v>226</v>
      </c>
      <c r="P11" s="11" t="s">
        <v>60</v>
      </c>
      <c r="Q11" s="11" t="s">
        <v>63</v>
      </c>
      <c r="R11" s="11" t="s">
        <v>62</v>
      </c>
      <c r="S11" s="11" t="s">
        <v>63</v>
      </c>
      <c r="T11" s="11" t="s">
        <v>164</v>
      </c>
    </row>
    <row r="12" spans="1:20" ht="13" x14ac:dyDescent="0.3">
      <c r="A12" s="10">
        <v>46147</v>
      </c>
      <c r="B12" s="11" t="s">
        <v>237</v>
      </c>
      <c r="C12" s="11" t="s">
        <v>240</v>
      </c>
      <c r="D12" s="11" t="s">
        <v>241</v>
      </c>
      <c r="E12" s="11" t="s">
        <v>242</v>
      </c>
      <c r="F12" s="11" t="s">
        <v>193</v>
      </c>
      <c r="G12" s="11">
        <v>15500</v>
      </c>
      <c r="H12" s="11">
        <v>15500</v>
      </c>
      <c r="I12" s="11">
        <v>1.26</v>
      </c>
      <c r="J12" s="11"/>
      <c r="K12" s="11">
        <v>19.53</v>
      </c>
      <c r="L12" s="11">
        <v>0</v>
      </c>
      <c r="M12" s="3">
        <f t="shared" si="0"/>
        <v>0</v>
      </c>
      <c r="N12" s="11" t="s">
        <v>59</v>
      </c>
      <c r="O12" s="11" t="s">
        <v>96</v>
      </c>
      <c r="P12" s="11" t="s">
        <v>60</v>
      </c>
      <c r="Q12" s="11" t="s">
        <v>61</v>
      </c>
      <c r="R12" s="11" t="s">
        <v>62</v>
      </c>
      <c r="S12" s="11" t="s">
        <v>63</v>
      </c>
      <c r="T12" s="11" t="s">
        <v>164</v>
      </c>
    </row>
    <row r="13" spans="1:20" ht="13" x14ac:dyDescent="0.3">
      <c r="A13" s="10">
        <v>46151</v>
      </c>
      <c r="B13" s="11" t="s">
        <v>237</v>
      </c>
      <c r="C13" s="11" t="s">
        <v>246</v>
      </c>
      <c r="D13" s="11" t="s">
        <v>247</v>
      </c>
      <c r="E13" s="11" t="s">
        <v>248</v>
      </c>
      <c r="F13" s="11" t="s">
        <v>249</v>
      </c>
      <c r="G13" s="11">
        <v>3240</v>
      </c>
      <c r="H13" s="11">
        <v>3240</v>
      </c>
      <c r="I13" s="11">
        <v>1.63</v>
      </c>
      <c r="J13" s="11"/>
      <c r="K13" s="11">
        <v>5.28</v>
      </c>
      <c r="L13" s="11">
        <v>0</v>
      </c>
      <c r="M13" s="3">
        <f t="shared" si="0"/>
        <v>0</v>
      </c>
      <c r="N13" s="11" t="s">
        <v>69</v>
      </c>
      <c r="O13" s="11" t="s">
        <v>96</v>
      </c>
      <c r="P13" s="11" t="s">
        <v>60</v>
      </c>
      <c r="Q13" s="11" t="s">
        <v>78</v>
      </c>
      <c r="R13" s="11" t="s">
        <v>62</v>
      </c>
      <c r="S13" s="11" t="s">
        <v>196</v>
      </c>
      <c r="T13" s="11" t="s">
        <v>250</v>
      </c>
    </row>
    <row r="14" spans="1:20" ht="13" x14ac:dyDescent="0.3">
      <c r="A14" s="4">
        <v>46137</v>
      </c>
      <c r="B14" s="2" t="s">
        <v>209</v>
      </c>
      <c r="C14" s="2" t="s">
        <v>232</v>
      </c>
      <c r="D14" s="2" t="s">
        <v>162</v>
      </c>
      <c r="E14" s="2" t="s">
        <v>233</v>
      </c>
      <c r="F14" s="2" t="s">
        <v>163</v>
      </c>
      <c r="G14" s="2">
        <v>250</v>
      </c>
      <c r="H14" s="2">
        <v>250</v>
      </c>
      <c r="I14" s="2">
        <v>2.2799999999999998</v>
      </c>
      <c r="J14" s="2"/>
      <c r="K14" s="2">
        <v>0.56999999999999995</v>
      </c>
      <c r="L14" s="11">
        <v>0</v>
      </c>
      <c r="M14" s="3">
        <f t="shared" si="0"/>
        <v>0</v>
      </c>
      <c r="N14" s="2" t="s">
        <v>167</v>
      </c>
      <c r="O14" s="2" t="s">
        <v>96</v>
      </c>
      <c r="P14" s="2" t="s">
        <v>82</v>
      </c>
      <c r="Q14" s="2" t="s">
        <v>82</v>
      </c>
      <c r="R14" s="2" t="s">
        <v>62</v>
      </c>
      <c r="S14" s="2" t="s">
        <v>63</v>
      </c>
      <c r="T14" s="2" t="s">
        <v>164</v>
      </c>
    </row>
    <row r="15" spans="1:20" ht="13" x14ac:dyDescent="0.3">
      <c r="A15" s="4">
        <v>46158</v>
      </c>
      <c r="B15" s="2" t="s">
        <v>197</v>
      </c>
      <c r="C15" s="2" t="s">
        <v>316</v>
      </c>
      <c r="D15" s="2" t="s">
        <v>253</v>
      </c>
      <c r="E15" s="14" t="s">
        <v>315</v>
      </c>
      <c r="F15" s="2" t="s">
        <v>255</v>
      </c>
      <c r="G15" s="2">
        <v>5280</v>
      </c>
      <c r="H15" s="2">
        <v>5280</v>
      </c>
      <c r="I15" s="2">
        <v>1.37</v>
      </c>
      <c r="J15" s="2"/>
      <c r="K15" s="2">
        <v>7.23</v>
      </c>
      <c r="L15" s="11">
        <v>0</v>
      </c>
      <c r="M15" s="3">
        <f t="shared" si="0"/>
        <v>0</v>
      </c>
      <c r="N15" s="2" t="s">
        <v>69</v>
      </c>
      <c r="O15" s="2" t="s">
        <v>96</v>
      </c>
      <c r="P15" s="2" t="s">
        <v>60</v>
      </c>
      <c r="Q15" s="2" t="s">
        <v>256</v>
      </c>
      <c r="R15" s="2" t="s">
        <v>62</v>
      </c>
      <c r="S15" s="2" t="s">
        <v>63</v>
      </c>
      <c r="T15" s="2" t="s">
        <v>257</v>
      </c>
    </row>
    <row r="16" spans="1:20" ht="13" x14ac:dyDescent="0.3">
      <c r="A16" s="4">
        <v>46158</v>
      </c>
      <c r="B16" s="2" t="s">
        <v>197</v>
      </c>
      <c r="C16" s="2" t="s">
        <v>258</v>
      </c>
      <c r="D16" s="2" t="s">
        <v>253</v>
      </c>
      <c r="E16" s="2" t="s">
        <v>259</v>
      </c>
      <c r="F16" s="2" t="s">
        <v>255</v>
      </c>
      <c r="G16" s="2">
        <v>9900</v>
      </c>
      <c r="H16" s="2">
        <v>9900</v>
      </c>
      <c r="I16" s="2">
        <v>1.37</v>
      </c>
      <c r="J16" s="2"/>
      <c r="K16" s="2">
        <v>13.56</v>
      </c>
      <c r="L16" s="11">
        <v>0</v>
      </c>
      <c r="M16" s="3">
        <f t="shared" si="0"/>
        <v>0</v>
      </c>
      <c r="N16" s="2" t="s">
        <v>69</v>
      </c>
      <c r="O16" s="2" t="s">
        <v>96</v>
      </c>
      <c r="P16" s="2" t="s">
        <v>60</v>
      </c>
      <c r="Q16" s="2" t="s">
        <v>256</v>
      </c>
      <c r="R16" s="2" t="s">
        <v>201</v>
      </c>
      <c r="S16" s="2" t="s">
        <v>63</v>
      </c>
      <c r="T16" s="2" t="s">
        <v>257</v>
      </c>
    </row>
    <row r="17" spans="1:20" ht="13" x14ac:dyDescent="0.3">
      <c r="A17" s="4">
        <v>46158</v>
      </c>
      <c r="B17" s="2" t="s">
        <v>197</v>
      </c>
      <c r="C17" s="2" t="s">
        <v>260</v>
      </c>
      <c r="D17" s="2" t="s">
        <v>253</v>
      </c>
      <c r="E17" s="2" t="s">
        <v>261</v>
      </c>
      <c r="F17" s="2" t="s">
        <v>262</v>
      </c>
      <c r="G17" s="2">
        <v>1140</v>
      </c>
      <c r="H17" s="2">
        <v>1140</v>
      </c>
      <c r="I17" s="2">
        <v>0.81</v>
      </c>
      <c r="J17" s="2"/>
      <c r="K17" s="2">
        <v>0.92</v>
      </c>
      <c r="L17" s="11">
        <v>0</v>
      </c>
      <c r="M17" s="3">
        <f t="shared" si="0"/>
        <v>0</v>
      </c>
      <c r="N17" s="2" t="s">
        <v>69</v>
      </c>
      <c r="O17" s="2" t="s">
        <v>96</v>
      </c>
      <c r="P17" s="2" t="s">
        <v>60</v>
      </c>
      <c r="Q17" s="2" t="s">
        <v>256</v>
      </c>
      <c r="R17" s="2" t="s">
        <v>62</v>
      </c>
      <c r="S17" s="2" t="s">
        <v>63</v>
      </c>
      <c r="T17" s="2" t="s">
        <v>257</v>
      </c>
    </row>
    <row r="18" spans="1:20" ht="13" x14ac:dyDescent="0.3">
      <c r="A18" s="4">
        <v>46165</v>
      </c>
      <c r="B18" s="2" t="s">
        <v>214</v>
      </c>
      <c r="C18" s="2" t="s">
        <v>269</v>
      </c>
      <c r="D18" s="2" t="s">
        <v>270</v>
      </c>
      <c r="E18" s="2" t="s">
        <v>271</v>
      </c>
      <c r="F18" s="2" t="s">
        <v>272</v>
      </c>
      <c r="G18" s="2">
        <v>10000</v>
      </c>
      <c r="H18" s="2">
        <v>10000</v>
      </c>
      <c r="I18" s="2">
        <v>2.1</v>
      </c>
      <c r="J18" s="2"/>
      <c r="K18" s="2">
        <v>21</v>
      </c>
      <c r="L18" s="11">
        <v>0</v>
      </c>
      <c r="M18" s="3">
        <f t="shared" si="0"/>
        <v>0</v>
      </c>
      <c r="N18" s="2" t="s">
        <v>273</v>
      </c>
      <c r="O18" s="2" t="s">
        <v>274</v>
      </c>
      <c r="P18" s="2" t="s">
        <v>275</v>
      </c>
      <c r="Q18" s="2" t="s">
        <v>82</v>
      </c>
      <c r="R18" s="2" t="s">
        <v>62</v>
      </c>
      <c r="S18" s="2" t="s">
        <v>63</v>
      </c>
      <c r="T18" s="2" t="s">
        <v>164</v>
      </c>
    </row>
    <row r="19" spans="1:20" ht="13" x14ac:dyDescent="0.3">
      <c r="A19" s="4">
        <v>46163</v>
      </c>
      <c r="B19" s="2" t="s">
        <v>214</v>
      </c>
      <c r="C19" s="2" t="s">
        <v>276</v>
      </c>
      <c r="D19" s="2" t="s">
        <v>277</v>
      </c>
      <c r="E19" s="2" t="s">
        <v>278</v>
      </c>
      <c r="F19" s="2" t="s">
        <v>279</v>
      </c>
      <c r="G19" s="2">
        <v>2400</v>
      </c>
      <c r="H19" s="2">
        <v>2400</v>
      </c>
      <c r="I19" s="2">
        <v>0.71</v>
      </c>
      <c r="J19" s="2"/>
      <c r="K19" s="2">
        <v>1.7</v>
      </c>
      <c r="L19" s="11">
        <v>0</v>
      </c>
      <c r="M19" s="3">
        <f t="shared" si="0"/>
        <v>0</v>
      </c>
      <c r="N19" s="2" t="s">
        <v>280</v>
      </c>
      <c r="O19" s="2" t="s">
        <v>226</v>
      </c>
      <c r="P19" s="2" t="s">
        <v>60</v>
      </c>
      <c r="Q19" s="2" t="s">
        <v>281</v>
      </c>
      <c r="R19" s="2" t="s">
        <v>62</v>
      </c>
      <c r="S19" s="2" t="s">
        <v>63</v>
      </c>
      <c r="T19" s="2" t="s">
        <v>282</v>
      </c>
    </row>
    <row r="20" spans="1:20" ht="13" x14ac:dyDescent="0.3">
      <c r="A20" s="4">
        <v>46163</v>
      </c>
      <c r="B20" s="2" t="s">
        <v>214</v>
      </c>
      <c r="C20" s="2" t="s">
        <v>283</v>
      </c>
      <c r="D20" s="2" t="s">
        <v>277</v>
      </c>
      <c r="E20" s="2" t="s">
        <v>284</v>
      </c>
      <c r="F20" s="2" t="s">
        <v>169</v>
      </c>
      <c r="G20" s="2">
        <v>6820</v>
      </c>
      <c r="H20" s="2">
        <v>6820</v>
      </c>
      <c r="I20" s="2">
        <v>1.35</v>
      </c>
      <c r="J20" s="2"/>
      <c r="K20" s="2">
        <v>9.2100000000000009</v>
      </c>
      <c r="L20" s="11">
        <v>0</v>
      </c>
      <c r="M20" s="3">
        <f t="shared" si="0"/>
        <v>0</v>
      </c>
      <c r="N20" s="2" t="s">
        <v>280</v>
      </c>
      <c r="O20" s="2" t="s">
        <v>226</v>
      </c>
      <c r="P20" s="2" t="s">
        <v>60</v>
      </c>
      <c r="Q20" s="2" t="s">
        <v>281</v>
      </c>
      <c r="R20" s="2" t="s">
        <v>62</v>
      </c>
      <c r="S20" s="2" t="s">
        <v>63</v>
      </c>
      <c r="T20" s="2" t="s">
        <v>282</v>
      </c>
    </row>
    <row r="21" spans="1:20" ht="13" x14ac:dyDescent="0.3">
      <c r="A21" s="4">
        <v>46163</v>
      </c>
      <c r="B21" s="2" t="s">
        <v>214</v>
      </c>
      <c r="C21" s="2" t="s">
        <v>285</v>
      </c>
      <c r="D21" s="2" t="s">
        <v>277</v>
      </c>
      <c r="E21" s="2" t="s">
        <v>286</v>
      </c>
      <c r="F21" s="2" t="s">
        <v>287</v>
      </c>
      <c r="G21" s="2">
        <v>1050</v>
      </c>
      <c r="H21" s="2">
        <v>1050</v>
      </c>
      <c r="I21" s="2">
        <v>1.94</v>
      </c>
      <c r="J21" s="2"/>
      <c r="K21" s="2">
        <v>2.04</v>
      </c>
      <c r="L21" s="11">
        <v>0</v>
      </c>
      <c r="M21" s="3">
        <f t="shared" si="0"/>
        <v>0</v>
      </c>
      <c r="N21" s="2" t="s">
        <v>280</v>
      </c>
      <c r="O21" s="2" t="s">
        <v>226</v>
      </c>
      <c r="P21" s="2" t="s">
        <v>60</v>
      </c>
      <c r="Q21" s="2" t="s">
        <v>281</v>
      </c>
      <c r="R21" s="2" t="s">
        <v>62</v>
      </c>
      <c r="S21" s="2" t="s">
        <v>63</v>
      </c>
      <c r="T21" s="2" t="s">
        <v>282</v>
      </c>
    </row>
    <row r="22" spans="1:20" ht="13" x14ac:dyDescent="0.3">
      <c r="A22" s="4">
        <v>46163</v>
      </c>
      <c r="B22" s="2" t="s">
        <v>214</v>
      </c>
      <c r="C22" s="2" t="s">
        <v>288</v>
      </c>
      <c r="D22" s="2" t="s">
        <v>277</v>
      </c>
      <c r="E22" s="2" t="s">
        <v>289</v>
      </c>
      <c r="F22" s="2" t="s">
        <v>193</v>
      </c>
      <c r="G22" s="2">
        <v>2160</v>
      </c>
      <c r="H22" s="2">
        <v>2160</v>
      </c>
      <c r="I22" s="2">
        <v>1.59</v>
      </c>
      <c r="J22" s="2"/>
      <c r="K22" s="2">
        <v>3.43</v>
      </c>
      <c r="L22" s="11">
        <v>0</v>
      </c>
      <c r="M22" s="3">
        <f t="shared" si="0"/>
        <v>0</v>
      </c>
      <c r="N22" s="2" t="s">
        <v>280</v>
      </c>
      <c r="O22" s="2" t="s">
        <v>226</v>
      </c>
      <c r="P22" s="2" t="s">
        <v>60</v>
      </c>
      <c r="Q22" s="2" t="s">
        <v>281</v>
      </c>
      <c r="R22" s="2" t="s">
        <v>62</v>
      </c>
      <c r="S22" s="2" t="s">
        <v>63</v>
      </c>
      <c r="T22" s="2" t="s">
        <v>282</v>
      </c>
    </row>
    <row r="23" spans="1:20" ht="13" x14ac:dyDescent="0.3">
      <c r="A23" s="4">
        <v>46163</v>
      </c>
      <c r="B23" s="2" t="s">
        <v>214</v>
      </c>
      <c r="C23" s="2" t="s">
        <v>290</v>
      </c>
      <c r="D23" s="2" t="s">
        <v>277</v>
      </c>
      <c r="E23" s="2" t="s">
        <v>291</v>
      </c>
      <c r="F23" s="2" t="s">
        <v>292</v>
      </c>
      <c r="G23" s="2">
        <v>3200</v>
      </c>
      <c r="H23" s="2">
        <v>3200</v>
      </c>
      <c r="I23" s="2">
        <v>1.08</v>
      </c>
      <c r="J23" s="2"/>
      <c r="K23" s="2">
        <v>3.46</v>
      </c>
      <c r="L23" s="11">
        <v>0</v>
      </c>
      <c r="M23" s="3">
        <f t="shared" si="0"/>
        <v>0</v>
      </c>
      <c r="N23" s="2" t="s">
        <v>280</v>
      </c>
      <c r="O23" s="2" t="s">
        <v>226</v>
      </c>
      <c r="P23" s="2" t="s">
        <v>60</v>
      </c>
      <c r="Q23" s="2" t="s">
        <v>281</v>
      </c>
      <c r="R23" s="2" t="s">
        <v>62</v>
      </c>
      <c r="S23" s="2" t="s">
        <v>63</v>
      </c>
      <c r="T23" s="2" t="s">
        <v>282</v>
      </c>
    </row>
    <row r="24" spans="1:20" ht="13" x14ac:dyDescent="0.3">
      <c r="A24" s="4">
        <v>46163</v>
      </c>
      <c r="B24" s="2" t="s">
        <v>214</v>
      </c>
      <c r="C24" s="2" t="s">
        <v>293</v>
      </c>
      <c r="D24" s="2" t="s">
        <v>277</v>
      </c>
      <c r="E24" s="2" t="s">
        <v>294</v>
      </c>
      <c r="F24" s="2" t="s">
        <v>193</v>
      </c>
      <c r="G24" s="2">
        <v>125</v>
      </c>
      <c r="H24" s="2">
        <v>125</v>
      </c>
      <c r="I24" s="2">
        <v>3.36</v>
      </c>
      <c r="J24" s="2"/>
      <c r="K24" s="2">
        <v>0.42</v>
      </c>
      <c r="L24" s="11">
        <v>0</v>
      </c>
      <c r="M24" s="3">
        <f t="shared" si="0"/>
        <v>0</v>
      </c>
      <c r="N24" s="2" t="s">
        <v>280</v>
      </c>
      <c r="O24" s="2" t="s">
        <v>226</v>
      </c>
      <c r="P24" s="2" t="s">
        <v>60</v>
      </c>
      <c r="Q24" s="2" t="s">
        <v>281</v>
      </c>
      <c r="R24" s="2" t="s">
        <v>62</v>
      </c>
      <c r="S24" s="2" t="s">
        <v>63</v>
      </c>
      <c r="T24" s="2" t="s">
        <v>282</v>
      </c>
    </row>
    <row r="25" spans="1:20" ht="13.5" thickBot="1" x14ac:dyDescent="0.35">
      <c r="A25" s="16">
        <v>46169</v>
      </c>
      <c r="B25" s="17" t="s">
        <v>250</v>
      </c>
      <c r="C25" s="17" t="s">
        <v>300</v>
      </c>
      <c r="D25" s="17" t="s">
        <v>223</v>
      </c>
      <c r="E25" s="17" t="s">
        <v>301</v>
      </c>
      <c r="F25" s="17" t="s">
        <v>224</v>
      </c>
      <c r="G25" s="17">
        <v>200</v>
      </c>
      <c r="H25" s="17">
        <v>200</v>
      </c>
      <c r="I25" s="17">
        <v>1.76</v>
      </c>
      <c r="J25" s="17"/>
      <c r="K25" s="17">
        <v>0.35</v>
      </c>
      <c r="L25" s="11">
        <v>0</v>
      </c>
      <c r="M25" s="3">
        <f t="shared" si="0"/>
        <v>0</v>
      </c>
      <c r="N25" s="17" t="s">
        <v>225</v>
      </c>
      <c r="O25" s="17" t="s">
        <v>302</v>
      </c>
      <c r="P25" s="17" t="s">
        <v>82</v>
      </c>
      <c r="Q25" s="17" t="s">
        <v>82</v>
      </c>
      <c r="R25" s="17" t="s">
        <v>62</v>
      </c>
      <c r="S25" s="17" t="s">
        <v>63</v>
      </c>
      <c r="T25" s="18" t="s">
        <v>164</v>
      </c>
    </row>
    <row r="26" spans="1:20" ht="14" thickTop="1" thickBot="1" x14ac:dyDescent="0.35">
      <c r="A26" s="19">
        <v>46179</v>
      </c>
      <c r="B26" s="20" t="s">
        <v>303</v>
      </c>
      <c r="C26" s="20" t="s">
        <v>304</v>
      </c>
      <c r="D26" s="20" t="s">
        <v>223</v>
      </c>
      <c r="E26" s="20" t="s">
        <v>305</v>
      </c>
      <c r="F26" s="20" t="s">
        <v>224</v>
      </c>
      <c r="G26" s="20">
        <v>800</v>
      </c>
      <c r="H26" s="20">
        <v>800</v>
      </c>
      <c r="I26" s="11">
        <v>1.76</v>
      </c>
      <c r="J26" s="11"/>
      <c r="K26" s="11">
        <v>1.41</v>
      </c>
      <c r="L26" s="11">
        <v>0</v>
      </c>
      <c r="M26" s="3">
        <f t="shared" si="0"/>
        <v>0</v>
      </c>
      <c r="N26" s="20" t="s">
        <v>225</v>
      </c>
      <c r="O26" s="20" t="s">
        <v>302</v>
      </c>
      <c r="P26" s="2" t="s">
        <v>60</v>
      </c>
      <c r="R26" s="20" t="s">
        <v>62</v>
      </c>
      <c r="S26" s="20" t="s">
        <v>196</v>
      </c>
      <c r="T26" s="21" t="s">
        <v>164</v>
      </c>
    </row>
    <row r="27" spans="1:20" ht="13.5" thickBot="1" x14ac:dyDescent="0.35">
      <c r="A27" s="22">
        <v>46179</v>
      </c>
      <c r="B27" s="23" t="s">
        <v>303</v>
      </c>
      <c r="C27" s="23" t="s">
        <v>306</v>
      </c>
      <c r="D27" s="23" t="s">
        <v>223</v>
      </c>
      <c r="E27" s="23" t="s">
        <v>307</v>
      </c>
      <c r="F27" s="23" t="s">
        <v>224</v>
      </c>
      <c r="G27" s="23">
        <v>4200</v>
      </c>
      <c r="H27" s="23">
        <v>4200</v>
      </c>
      <c r="I27" s="11">
        <v>1.76</v>
      </c>
      <c r="J27" s="11"/>
      <c r="K27" s="11">
        <v>1.41</v>
      </c>
      <c r="L27" s="11">
        <v>0</v>
      </c>
      <c r="M27" s="3">
        <f t="shared" si="0"/>
        <v>0</v>
      </c>
      <c r="N27" s="23" t="s">
        <v>225</v>
      </c>
      <c r="O27" s="23" t="s">
        <v>226</v>
      </c>
      <c r="P27" s="2" t="s">
        <v>60</v>
      </c>
      <c r="R27" s="23" t="s">
        <v>62</v>
      </c>
      <c r="S27" s="23" t="s">
        <v>196</v>
      </c>
      <c r="T27" s="24" t="s">
        <v>164</v>
      </c>
    </row>
    <row r="28" spans="1:20" ht="14" thickTop="1" thickBot="1" x14ac:dyDescent="0.35">
      <c r="A28" s="22">
        <v>46188</v>
      </c>
      <c r="B28" s="23" t="s">
        <v>257</v>
      </c>
      <c r="C28" s="23" t="s">
        <v>313</v>
      </c>
      <c r="D28" s="23" t="s">
        <v>270</v>
      </c>
      <c r="E28" s="23" t="s">
        <v>314</v>
      </c>
      <c r="F28" s="23" t="s">
        <v>272</v>
      </c>
      <c r="G28" s="23">
        <v>10000</v>
      </c>
      <c r="H28" s="23">
        <v>10000</v>
      </c>
      <c r="I28" s="23">
        <v>2.1</v>
      </c>
      <c r="J28" s="23"/>
      <c r="K28" s="23">
        <v>21</v>
      </c>
      <c r="L28" s="11">
        <v>0</v>
      </c>
      <c r="M28" s="3">
        <f t="shared" si="0"/>
        <v>0</v>
      </c>
      <c r="N28" s="23" t="s">
        <v>273</v>
      </c>
      <c r="O28" s="23" t="s">
        <v>274</v>
      </c>
      <c r="P28" s="2" t="s">
        <v>60</v>
      </c>
      <c r="R28" s="23" t="s">
        <v>62</v>
      </c>
      <c r="S28" s="23" t="s">
        <v>196</v>
      </c>
      <c r="T28" s="24" t="s">
        <v>164</v>
      </c>
    </row>
    <row r="29" spans="1:20" ht="14" thickTop="1" thickBot="1" x14ac:dyDescent="0.35">
      <c r="A29" s="22">
        <v>46196</v>
      </c>
      <c r="B29" s="23" t="s">
        <v>282</v>
      </c>
      <c r="C29" s="23" t="s">
        <v>322</v>
      </c>
      <c r="D29" s="23" t="s">
        <v>323</v>
      </c>
      <c r="E29" s="23" t="s">
        <v>324</v>
      </c>
      <c r="F29" s="23" t="s">
        <v>325</v>
      </c>
      <c r="G29" s="23">
        <v>500</v>
      </c>
      <c r="H29" s="23">
        <v>500</v>
      </c>
      <c r="I29" s="23">
        <v>1.99</v>
      </c>
      <c r="J29" s="23"/>
      <c r="K29" s="23">
        <f>+I29*H29</f>
        <v>995</v>
      </c>
      <c r="L29" s="11">
        <v>0</v>
      </c>
      <c r="M29" s="3">
        <f t="shared" si="0"/>
        <v>0</v>
      </c>
      <c r="N29" s="23" t="s">
        <v>194</v>
      </c>
      <c r="O29" s="23" t="s">
        <v>226</v>
      </c>
      <c r="P29" s="2" t="s">
        <v>60</v>
      </c>
      <c r="R29" s="25" t="s">
        <v>326</v>
      </c>
      <c r="S29" s="23" t="s">
        <v>196</v>
      </c>
      <c r="T29" s="24" t="s">
        <v>164</v>
      </c>
    </row>
    <row r="30" spans="1:20" ht="14" thickTop="1" thickBot="1" x14ac:dyDescent="0.35">
      <c r="A30" s="45">
        <v>46198</v>
      </c>
      <c r="B30" s="46" t="s">
        <v>282</v>
      </c>
      <c r="C30" s="46" t="s">
        <v>329</v>
      </c>
      <c r="D30" s="46" t="s">
        <v>330</v>
      </c>
      <c r="E30" s="46" t="s">
        <v>331</v>
      </c>
      <c r="F30" s="46" t="s">
        <v>332</v>
      </c>
      <c r="G30" s="46">
        <v>5000</v>
      </c>
      <c r="H30" s="46">
        <v>5000</v>
      </c>
      <c r="I30" s="46">
        <v>1.81</v>
      </c>
      <c r="J30" s="46"/>
      <c r="K30" s="46">
        <v>9.0500000000000007</v>
      </c>
      <c r="L30" s="11">
        <v>0</v>
      </c>
      <c r="M30" s="3">
        <f t="shared" si="0"/>
        <v>0</v>
      </c>
      <c r="N30" s="46" t="s">
        <v>59</v>
      </c>
      <c r="O30" s="46" t="s">
        <v>96</v>
      </c>
      <c r="P30" s="2" t="s">
        <v>60</v>
      </c>
      <c r="R30" s="46" t="s">
        <v>62</v>
      </c>
      <c r="S30" s="46" t="s">
        <v>196</v>
      </c>
      <c r="T30" s="47" t="s">
        <v>333</v>
      </c>
    </row>
    <row r="31" spans="1:20" ht="13.5" thickBot="1" x14ac:dyDescent="0.35">
      <c r="A31" s="45">
        <v>46198</v>
      </c>
      <c r="B31" s="46" t="s">
        <v>282</v>
      </c>
      <c r="C31" s="46" t="s">
        <v>334</v>
      </c>
      <c r="D31" s="46" t="s">
        <v>330</v>
      </c>
      <c r="E31" s="46" t="s">
        <v>335</v>
      </c>
      <c r="F31" s="46" t="s">
        <v>336</v>
      </c>
      <c r="G31" s="46">
        <v>175</v>
      </c>
      <c r="H31" s="46">
        <v>175</v>
      </c>
      <c r="I31" s="46">
        <v>2.4500000000000002</v>
      </c>
      <c r="J31" s="46"/>
      <c r="K31" s="46">
        <v>0.43</v>
      </c>
      <c r="L31" s="11">
        <f>H31-175</f>
        <v>0</v>
      </c>
      <c r="M31" s="3">
        <f t="shared" si="0"/>
        <v>0</v>
      </c>
      <c r="N31" s="46" t="s">
        <v>194</v>
      </c>
      <c r="O31" s="46" t="s">
        <v>226</v>
      </c>
      <c r="P31" s="2" t="s">
        <v>60</v>
      </c>
      <c r="R31" s="46" t="s">
        <v>62</v>
      </c>
      <c r="S31" s="46" t="s">
        <v>196</v>
      </c>
      <c r="T31" s="47" t="s">
        <v>333</v>
      </c>
    </row>
    <row r="32" spans="1:20" ht="13.5" thickBot="1" x14ac:dyDescent="0.35">
      <c r="A32" s="45">
        <v>46198</v>
      </c>
      <c r="B32" s="46" t="s">
        <v>282</v>
      </c>
      <c r="C32" s="46" t="s">
        <v>337</v>
      </c>
      <c r="D32" s="46" t="s">
        <v>330</v>
      </c>
      <c r="E32" s="46" t="s">
        <v>338</v>
      </c>
      <c r="F32" s="46" t="s">
        <v>118</v>
      </c>
      <c r="G32" s="46">
        <v>1050</v>
      </c>
      <c r="H32" s="46">
        <v>1050</v>
      </c>
      <c r="I32" s="46">
        <v>1.1599999999999999</v>
      </c>
      <c r="J32" s="46"/>
      <c r="K32" s="46">
        <v>1.22</v>
      </c>
      <c r="L32" s="11">
        <v>0</v>
      </c>
      <c r="M32" s="3">
        <f t="shared" si="0"/>
        <v>0</v>
      </c>
      <c r="N32" s="46" t="s">
        <v>59</v>
      </c>
      <c r="O32" s="46" t="s">
        <v>96</v>
      </c>
      <c r="P32" s="2" t="s">
        <v>60</v>
      </c>
      <c r="R32" s="46" t="s">
        <v>339</v>
      </c>
      <c r="S32" s="46" t="s">
        <v>196</v>
      </c>
      <c r="T32" s="47" t="s">
        <v>333</v>
      </c>
    </row>
    <row r="33" spans="1:20" ht="13.5" thickBot="1" x14ac:dyDescent="0.35">
      <c r="A33" s="45">
        <v>46198</v>
      </c>
      <c r="B33" s="46" t="s">
        <v>282</v>
      </c>
      <c r="C33" s="46" t="s">
        <v>340</v>
      </c>
      <c r="D33" s="46" t="s">
        <v>330</v>
      </c>
      <c r="E33" s="46" t="s">
        <v>341</v>
      </c>
      <c r="F33" s="46" t="s">
        <v>110</v>
      </c>
      <c r="G33" s="46">
        <v>650</v>
      </c>
      <c r="H33" s="46">
        <v>650</v>
      </c>
      <c r="I33" s="46">
        <v>1.29</v>
      </c>
      <c r="J33" s="46"/>
      <c r="K33" s="46">
        <v>0.84</v>
      </c>
      <c r="L33" s="11">
        <v>0</v>
      </c>
      <c r="M33" s="3">
        <f t="shared" si="0"/>
        <v>0</v>
      </c>
      <c r="N33" s="46" t="s">
        <v>59</v>
      </c>
      <c r="O33" s="46" t="s">
        <v>96</v>
      </c>
      <c r="P33" s="2" t="s">
        <v>60</v>
      </c>
      <c r="R33" s="46" t="s">
        <v>62</v>
      </c>
      <c r="S33" s="46" t="s">
        <v>196</v>
      </c>
      <c r="T33" s="47" t="s">
        <v>333</v>
      </c>
    </row>
    <row r="34" spans="1:20" ht="13.5" thickBot="1" x14ac:dyDescent="0.35">
      <c r="A34" s="45">
        <v>46198</v>
      </c>
      <c r="B34" s="46" t="s">
        <v>282</v>
      </c>
      <c r="C34" s="46" t="s">
        <v>342</v>
      </c>
      <c r="D34" s="46" t="s">
        <v>330</v>
      </c>
      <c r="E34" s="46" t="s">
        <v>343</v>
      </c>
      <c r="F34" s="46" t="s">
        <v>344</v>
      </c>
      <c r="G34" s="46">
        <v>2500</v>
      </c>
      <c r="H34" s="46">
        <v>2500</v>
      </c>
      <c r="I34" s="46">
        <v>0.76</v>
      </c>
      <c r="J34" s="46"/>
      <c r="K34" s="46">
        <v>1.9</v>
      </c>
      <c r="L34" s="11">
        <v>0</v>
      </c>
      <c r="M34" s="3">
        <f t="shared" si="0"/>
        <v>0</v>
      </c>
      <c r="N34" s="46" t="s">
        <v>59</v>
      </c>
      <c r="O34" s="46" t="s">
        <v>96</v>
      </c>
      <c r="P34" s="2" t="s">
        <v>60</v>
      </c>
      <c r="R34" s="46" t="s">
        <v>339</v>
      </c>
      <c r="S34" s="46" t="s">
        <v>196</v>
      </c>
      <c r="T34" s="47" t="s">
        <v>333</v>
      </c>
    </row>
    <row r="35" spans="1:20" ht="13.5" thickBot="1" x14ac:dyDescent="0.35">
      <c r="A35" s="45">
        <v>46198</v>
      </c>
      <c r="B35" s="46" t="s">
        <v>282</v>
      </c>
      <c r="C35" s="46" t="s">
        <v>345</v>
      </c>
      <c r="D35" s="46" t="s">
        <v>330</v>
      </c>
      <c r="E35" s="46" t="s">
        <v>346</v>
      </c>
      <c r="F35" s="46" t="s">
        <v>347</v>
      </c>
      <c r="G35" s="46">
        <v>500</v>
      </c>
      <c r="H35" s="46">
        <v>500</v>
      </c>
      <c r="I35" s="46">
        <v>0.74</v>
      </c>
      <c r="J35" s="46"/>
      <c r="K35" s="46">
        <v>0.37</v>
      </c>
      <c r="L35" s="11">
        <v>0</v>
      </c>
      <c r="M35" s="3">
        <f t="shared" si="0"/>
        <v>0</v>
      </c>
      <c r="N35" s="46" t="s">
        <v>69</v>
      </c>
      <c r="O35" s="46" t="s">
        <v>96</v>
      </c>
      <c r="P35" s="2" t="s">
        <v>60</v>
      </c>
      <c r="R35" s="46" t="s">
        <v>201</v>
      </c>
      <c r="S35" s="46" t="s">
        <v>196</v>
      </c>
      <c r="T35" s="47" t="s">
        <v>333</v>
      </c>
    </row>
    <row r="36" spans="1:20" ht="13.5" thickBot="1" x14ac:dyDescent="0.35">
      <c r="A36" s="45">
        <v>46198</v>
      </c>
      <c r="B36" s="46" t="s">
        <v>282</v>
      </c>
      <c r="C36" s="46" t="s">
        <v>348</v>
      </c>
      <c r="D36" s="46" t="s">
        <v>330</v>
      </c>
      <c r="E36" s="46" t="s">
        <v>349</v>
      </c>
      <c r="F36" s="46" t="s">
        <v>344</v>
      </c>
      <c r="G36" s="46">
        <v>1000</v>
      </c>
      <c r="H36" s="46">
        <v>1000</v>
      </c>
      <c r="I36" s="46">
        <v>0.76</v>
      </c>
      <c r="J36" s="46"/>
      <c r="K36" s="46">
        <v>0.76</v>
      </c>
      <c r="L36" s="11">
        <v>0</v>
      </c>
      <c r="M36" s="3">
        <f t="shared" si="0"/>
        <v>0</v>
      </c>
      <c r="N36" s="46" t="s">
        <v>69</v>
      </c>
      <c r="O36" s="46" t="s">
        <v>96</v>
      </c>
      <c r="P36" s="2" t="s">
        <v>60</v>
      </c>
      <c r="R36" s="46" t="s">
        <v>339</v>
      </c>
      <c r="S36" s="46" t="s">
        <v>196</v>
      </c>
      <c r="T36" s="47" t="s">
        <v>333</v>
      </c>
    </row>
    <row r="37" spans="1:20" ht="13.5" thickBot="1" x14ac:dyDescent="0.35">
      <c r="A37" s="45">
        <v>46198</v>
      </c>
      <c r="B37" s="46" t="s">
        <v>282</v>
      </c>
      <c r="C37" s="46" t="s">
        <v>350</v>
      </c>
      <c r="D37" s="46" t="s">
        <v>330</v>
      </c>
      <c r="E37" s="46" t="s">
        <v>351</v>
      </c>
      <c r="F37" s="46" t="s">
        <v>347</v>
      </c>
      <c r="G37" s="46">
        <v>2400</v>
      </c>
      <c r="H37" s="46">
        <v>2400</v>
      </c>
      <c r="I37" s="46">
        <v>0.75</v>
      </c>
      <c r="J37" s="46"/>
      <c r="K37" s="46">
        <v>1.8</v>
      </c>
      <c r="L37" s="11">
        <v>0</v>
      </c>
      <c r="M37" s="3">
        <f t="shared" ref="M37:M68" si="1">(L37*I37)/1000</f>
        <v>0</v>
      </c>
      <c r="N37" s="46" t="s">
        <v>69</v>
      </c>
      <c r="O37" s="46" t="s">
        <v>96</v>
      </c>
      <c r="P37" s="2" t="s">
        <v>60</v>
      </c>
      <c r="R37" s="46" t="s">
        <v>352</v>
      </c>
      <c r="S37" s="46" t="s">
        <v>196</v>
      </c>
      <c r="T37" s="47" t="s">
        <v>333</v>
      </c>
    </row>
    <row r="38" spans="1:20" ht="13.5" thickBot="1" x14ac:dyDescent="0.35">
      <c r="A38" s="45">
        <v>46198</v>
      </c>
      <c r="B38" s="46" t="s">
        <v>282</v>
      </c>
      <c r="C38" s="46" t="s">
        <v>353</v>
      </c>
      <c r="D38" s="46" t="s">
        <v>330</v>
      </c>
      <c r="E38" s="46" t="s">
        <v>354</v>
      </c>
      <c r="F38" s="46" t="s">
        <v>344</v>
      </c>
      <c r="G38" s="46">
        <v>900</v>
      </c>
      <c r="H38" s="46">
        <v>900</v>
      </c>
      <c r="I38" s="46">
        <v>0.96</v>
      </c>
      <c r="J38" s="46"/>
      <c r="K38" s="46">
        <v>0.86</v>
      </c>
      <c r="L38" s="11">
        <v>0</v>
      </c>
      <c r="M38" s="3">
        <f t="shared" si="1"/>
        <v>0</v>
      </c>
      <c r="N38" s="46" t="s">
        <v>69</v>
      </c>
      <c r="O38" s="46" t="s">
        <v>96</v>
      </c>
      <c r="P38" s="2" t="s">
        <v>60</v>
      </c>
      <c r="R38" s="46" t="s">
        <v>355</v>
      </c>
      <c r="S38" s="46" t="s">
        <v>196</v>
      </c>
      <c r="T38" s="47" t="s">
        <v>333</v>
      </c>
    </row>
    <row r="39" spans="1:20" ht="13.5" thickBot="1" x14ac:dyDescent="0.35">
      <c r="A39" s="45">
        <v>46198</v>
      </c>
      <c r="B39" s="46" t="s">
        <v>282</v>
      </c>
      <c r="C39" s="46" t="s">
        <v>356</v>
      </c>
      <c r="D39" s="46" t="s">
        <v>330</v>
      </c>
      <c r="E39" s="46" t="s">
        <v>357</v>
      </c>
      <c r="F39" s="46" t="s">
        <v>358</v>
      </c>
      <c r="G39" s="46">
        <v>500</v>
      </c>
      <c r="H39" s="46">
        <v>500</v>
      </c>
      <c r="I39" s="46">
        <v>1.17</v>
      </c>
      <c r="J39" s="46"/>
      <c r="K39" s="46">
        <v>0.59</v>
      </c>
      <c r="L39" s="11">
        <v>0</v>
      </c>
      <c r="M39" s="3">
        <f t="shared" si="1"/>
        <v>0</v>
      </c>
      <c r="N39" s="46" t="s">
        <v>69</v>
      </c>
      <c r="O39" s="46" t="s">
        <v>96</v>
      </c>
      <c r="P39" s="2" t="s">
        <v>60</v>
      </c>
      <c r="R39" s="46" t="s">
        <v>355</v>
      </c>
      <c r="S39" s="46" t="s">
        <v>196</v>
      </c>
      <c r="T39" s="47" t="s">
        <v>333</v>
      </c>
    </row>
    <row r="40" spans="1:20" ht="13.5" thickBot="1" x14ac:dyDescent="0.35">
      <c r="A40" s="45">
        <v>46198</v>
      </c>
      <c r="B40" s="46" t="s">
        <v>282</v>
      </c>
      <c r="C40" s="46" t="s">
        <v>359</v>
      </c>
      <c r="D40" s="46" t="s">
        <v>330</v>
      </c>
      <c r="E40" s="46" t="s">
        <v>360</v>
      </c>
      <c r="F40" s="46" t="s">
        <v>116</v>
      </c>
      <c r="G40" s="46">
        <v>400</v>
      </c>
      <c r="H40" s="46">
        <v>400</v>
      </c>
      <c r="I40" s="46">
        <v>1.92</v>
      </c>
      <c r="J40" s="46"/>
      <c r="K40" s="46">
        <v>0.77</v>
      </c>
      <c r="L40" s="11">
        <v>0</v>
      </c>
      <c r="M40" s="3">
        <f t="shared" si="1"/>
        <v>0</v>
      </c>
      <c r="N40" s="46" t="s">
        <v>59</v>
      </c>
      <c r="O40" s="46" t="s">
        <v>96</v>
      </c>
      <c r="P40" s="2" t="s">
        <v>60</v>
      </c>
      <c r="R40" s="46" t="s">
        <v>339</v>
      </c>
      <c r="S40" s="46" t="s">
        <v>196</v>
      </c>
      <c r="T40" s="47" t="s">
        <v>333</v>
      </c>
    </row>
    <row r="41" spans="1:20" ht="13.5" thickBot="1" x14ac:dyDescent="0.35">
      <c r="A41" s="16">
        <v>46198</v>
      </c>
      <c r="B41" s="17" t="s">
        <v>282</v>
      </c>
      <c r="C41" s="17" t="s">
        <v>361</v>
      </c>
      <c r="D41" s="17" t="s">
        <v>330</v>
      </c>
      <c r="E41" s="17" t="s">
        <v>362</v>
      </c>
      <c r="F41" s="17" t="s">
        <v>332</v>
      </c>
      <c r="G41" s="17">
        <v>600</v>
      </c>
      <c r="H41" s="17">
        <v>600</v>
      </c>
      <c r="I41" s="17">
        <v>1.81</v>
      </c>
      <c r="J41" s="17"/>
      <c r="K41" s="17">
        <v>1.0900000000000001</v>
      </c>
      <c r="L41" s="11">
        <v>0</v>
      </c>
      <c r="M41" s="3">
        <f t="shared" si="1"/>
        <v>0</v>
      </c>
      <c r="N41" s="17" t="s">
        <v>59</v>
      </c>
      <c r="O41" s="17" t="s">
        <v>96</v>
      </c>
      <c r="P41" s="2" t="s">
        <v>60</v>
      </c>
      <c r="R41" s="17" t="s">
        <v>62</v>
      </c>
      <c r="S41" s="46" t="s">
        <v>196</v>
      </c>
      <c r="T41" s="18" t="s">
        <v>333</v>
      </c>
    </row>
    <row r="42" spans="1:20" ht="14" thickTop="1" thickBot="1" x14ac:dyDescent="0.35">
      <c r="A42" s="45">
        <v>46199</v>
      </c>
      <c r="B42" s="46" t="s">
        <v>282</v>
      </c>
      <c r="C42" s="46" t="s">
        <v>364</v>
      </c>
      <c r="D42" s="46" t="s">
        <v>365</v>
      </c>
      <c r="E42" s="46" t="s">
        <v>366</v>
      </c>
      <c r="F42" s="46" t="s">
        <v>367</v>
      </c>
      <c r="G42" s="46">
        <v>6000</v>
      </c>
      <c r="H42" s="46">
        <v>6000</v>
      </c>
      <c r="I42" s="46">
        <v>0.69</v>
      </c>
      <c r="J42" s="46"/>
      <c r="K42" s="46">
        <v>4.1399999999999997</v>
      </c>
      <c r="L42" s="11">
        <v>0</v>
      </c>
      <c r="M42" s="3">
        <f t="shared" si="1"/>
        <v>0</v>
      </c>
      <c r="N42" s="46" t="s">
        <v>69</v>
      </c>
      <c r="O42" s="46" t="s">
        <v>96</v>
      </c>
      <c r="P42" s="46" t="s">
        <v>60</v>
      </c>
      <c r="R42" s="46" t="s">
        <v>368</v>
      </c>
      <c r="S42" s="46" t="s">
        <v>196</v>
      </c>
      <c r="T42" s="47" t="s">
        <v>333</v>
      </c>
    </row>
    <row r="43" spans="1:20" ht="13.5" thickBot="1" x14ac:dyDescent="0.35">
      <c r="A43" s="45">
        <v>46199</v>
      </c>
      <c r="B43" s="46" t="s">
        <v>282</v>
      </c>
      <c r="C43" s="46" t="s">
        <v>369</v>
      </c>
      <c r="D43" s="46" t="s">
        <v>365</v>
      </c>
      <c r="E43" s="46" t="s">
        <v>370</v>
      </c>
      <c r="F43" s="46" t="s">
        <v>371</v>
      </c>
      <c r="G43" s="46">
        <v>1200</v>
      </c>
      <c r="H43" s="46">
        <v>1200</v>
      </c>
      <c r="I43" s="46">
        <v>0.61</v>
      </c>
      <c r="J43" s="46"/>
      <c r="K43" s="46">
        <v>0.73</v>
      </c>
      <c r="L43" s="11">
        <v>0</v>
      </c>
      <c r="M43" s="3">
        <f t="shared" si="1"/>
        <v>0</v>
      </c>
      <c r="N43" s="46" t="s">
        <v>69</v>
      </c>
      <c r="O43" s="46" t="s">
        <v>96</v>
      </c>
      <c r="P43" s="46" t="s">
        <v>60</v>
      </c>
      <c r="R43" s="46" t="s">
        <v>368</v>
      </c>
      <c r="S43" s="46" t="s">
        <v>196</v>
      </c>
      <c r="T43" s="47" t="s">
        <v>333</v>
      </c>
    </row>
    <row r="44" spans="1:20" ht="13.5" thickBot="1" x14ac:dyDescent="0.35">
      <c r="A44" s="45">
        <v>46199</v>
      </c>
      <c r="B44" s="46" t="s">
        <v>282</v>
      </c>
      <c r="C44" s="46" t="s">
        <v>372</v>
      </c>
      <c r="D44" s="46" t="s">
        <v>365</v>
      </c>
      <c r="E44" s="46" t="s">
        <v>373</v>
      </c>
      <c r="F44" s="46" t="s">
        <v>347</v>
      </c>
      <c r="G44" s="46">
        <v>1200</v>
      </c>
      <c r="H44" s="46">
        <v>1200</v>
      </c>
      <c r="I44" s="46">
        <v>0.73</v>
      </c>
      <c r="J44" s="46"/>
      <c r="K44" s="46">
        <v>0.88</v>
      </c>
      <c r="L44" s="11">
        <v>0</v>
      </c>
      <c r="M44" s="3">
        <f t="shared" si="1"/>
        <v>0</v>
      </c>
      <c r="N44" s="46" t="s">
        <v>69</v>
      </c>
      <c r="O44" s="46" t="s">
        <v>96</v>
      </c>
      <c r="P44" s="46" t="s">
        <v>60</v>
      </c>
      <c r="R44" s="46" t="s">
        <v>339</v>
      </c>
      <c r="S44" s="46" t="s">
        <v>196</v>
      </c>
      <c r="T44" s="47" t="s">
        <v>333</v>
      </c>
    </row>
    <row r="45" spans="1:20" ht="13.5" thickBot="1" x14ac:dyDescent="0.35">
      <c r="A45" s="45">
        <v>46199</v>
      </c>
      <c r="B45" s="46" t="s">
        <v>282</v>
      </c>
      <c r="C45" s="46" t="s">
        <v>374</v>
      </c>
      <c r="D45" s="46" t="s">
        <v>365</v>
      </c>
      <c r="E45" s="46" t="s">
        <v>375</v>
      </c>
      <c r="F45" s="46" t="s">
        <v>347</v>
      </c>
      <c r="G45" s="46">
        <v>2400</v>
      </c>
      <c r="H45" s="46">
        <v>2400</v>
      </c>
      <c r="I45" s="46">
        <v>0.73</v>
      </c>
      <c r="J45" s="46"/>
      <c r="K45" s="46">
        <v>1.75</v>
      </c>
      <c r="L45" s="11">
        <v>0</v>
      </c>
      <c r="M45" s="3">
        <f t="shared" si="1"/>
        <v>0</v>
      </c>
      <c r="N45" s="46" t="s">
        <v>69</v>
      </c>
      <c r="O45" s="46" t="s">
        <v>96</v>
      </c>
      <c r="P45" s="46" t="s">
        <v>60</v>
      </c>
      <c r="R45" s="46" t="s">
        <v>376</v>
      </c>
      <c r="S45" s="46" t="s">
        <v>196</v>
      </c>
      <c r="T45" s="47" t="s">
        <v>333</v>
      </c>
    </row>
    <row r="46" spans="1:20" ht="13.5" thickBot="1" x14ac:dyDescent="0.35">
      <c r="A46" s="45">
        <v>46199</v>
      </c>
      <c r="B46" s="46" t="s">
        <v>282</v>
      </c>
      <c r="C46" s="46" t="s">
        <v>377</v>
      </c>
      <c r="D46" s="46" t="s">
        <v>365</v>
      </c>
      <c r="E46" s="46" t="s">
        <v>378</v>
      </c>
      <c r="F46" s="46" t="s">
        <v>344</v>
      </c>
      <c r="G46" s="46">
        <v>4000</v>
      </c>
      <c r="H46" s="46">
        <v>4000</v>
      </c>
      <c r="I46" s="46">
        <v>0.81</v>
      </c>
      <c r="J46" s="46"/>
      <c r="K46" s="46">
        <v>3.24</v>
      </c>
      <c r="L46" s="11">
        <v>0</v>
      </c>
      <c r="M46" s="3">
        <f t="shared" si="1"/>
        <v>0</v>
      </c>
      <c r="N46" s="46" t="s">
        <v>69</v>
      </c>
      <c r="O46" s="46" t="s">
        <v>96</v>
      </c>
      <c r="P46" s="46" t="s">
        <v>60</v>
      </c>
      <c r="R46" s="46" t="s">
        <v>62</v>
      </c>
      <c r="S46" s="46" t="s">
        <v>196</v>
      </c>
      <c r="T46" s="47" t="s">
        <v>333</v>
      </c>
    </row>
    <row r="47" spans="1:20" ht="13.5" thickBot="1" x14ac:dyDescent="0.35">
      <c r="A47" s="45">
        <v>46199</v>
      </c>
      <c r="B47" s="46" t="s">
        <v>282</v>
      </c>
      <c r="C47" s="46" t="s">
        <v>379</v>
      </c>
      <c r="D47" s="46" t="s">
        <v>365</v>
      </c>
      <c r="E47" s="46" t="s">
        <v>380</v>
      </c>
      <c r="F47" s="46" t="s">
        <v>344</v>
      </c>
      <c r="G47" s="46">
        <v>1000</v>
      </c>
      <c r="H47" s="46">
        <v>1000</v>
      </c>
      <c r="I47" s="46">
        <v>0.81</v>
      </c>
      <c r="J47" s="46"/>
      <c r="K47" s="46">
        <v>0.81</v>
      </c>
      <c r="L47" s="11">
        <v>0</v>
      </c>
      <c r="M47" s="3">
        <f t="shared" si="1"/>
        <v>0</v>
      </c>
      <c r="N47" s="46" t="s">
        <v>69</v>
      </c>
      <c r="O47" s="46" t="s">
        <v>96</v>
      </c>
      <c r="P47" s="46" t="s">
        <v>60</v>
      </c>
      <c r="R47" s="46" t="s">
        <v>339</v>
      </c>
      <c r="S47" s="46" t="s">
        <v>196</v>
      </c>
      <c r="T47" s="47" t="s">
        <v>333</v>
      </c>
    </row>
    <row r="48" spans="1:20" ht="13.5" thickBot="1" x14ac:dyDescent="0.35">
      <c r="A48" s="45">
        <v>46199</v>
      </c>
      <c r="B48" s="46" t="s">
        <v>282</v>
      </c>
      <c r="C48" s="46" t="s">
        <v>381</v>
      </c>
      <c r="D48" s="46" t="s">
        <v>365</v>
      </c>
      <c r="E48" s="46" t="s">
        <v>382</v>
      </c>
      <c r="F48" s="46" t="s">
        <v>344</v>
      </c>
      <c r="G48" s="46">
        <v>500</v>
      </c>
      <c r="H48" s="46">
        <v>500</v>
      </c>
      <c r="I48" s="46">
        <v>0.81</v>
      </c>
      <c r="J48" s="46"/>
      <c r="K48" s="46">
        <v>0.41</v>
      </c>
      <c r="L48" s="11">
        <f>H48-500</f>
        <v>0</v>
      </c>
      <c r="M48" s="3">
        <f t="shared" si="1"/>
        <v>0</v>
      </c>
      <c r="N48" s="46" t="s">
        <v>69</v>
      </c>
      <c r="O48" s="46" t="s">
        <v>96</v>
      </c>
      <c r="P48" s="46" t="s">
        <v>60</v>
      </c>
      <c r="R48" s="46" t="s">
        <v>376</v>
      </c>
      <c r="S48" s="46" t="s">
        <v>196</v>
      </c>
      <c r="T48" s="47" t="s">
        <v>333</v>
      </c>
    </row>
    <row r="49" spans="1:20" ht="13.5" thickBot="1" x14ac:dyDescent="0.35">
      <c r="A49" s="45">
        <v>46199</v>
      </c>
      <c r="B49" s="46" t="s">
        <v>282</v>
      </c>
      <c r="C49" s="46" t="s">
        <v>383</v>
      </c>
      <c r="D49" s="46" t="s">
        <v>365</v>
      </c>
      <c r="E49" s="46" t="s">
        <v>384</v>
      </c>
      <c r="F49" s="46" t="s">
        <v>344</v>
      </c>
      <c r="G49" s="46">
        <v>1000</v>
      </c>
      <c r="H49" s="46">
        <v>1000</v>
      </c>
      <c r="I49" s="46">
        <v>0.81</v>
      </c>
      <c r="J49" s="46"/>
      <c r="K49" s="46">
        <v>0.81</v>
      </c>
      <c r="L49" s="11">
        <v>0</v>
      </c>
      <c r="M49" s="3">
        <f t="shared" si="1"/>
        <v>0</v>
      </c>
      <c r="N49" s="46" t="s">
        <v>69</v>
      </c>
      <c r="O49" s="46" t="s">
        <v>96</v>
      </c>
      <c r="P49" s="46" t="s">
        <v>60</v>
      </c>
      <c r="R49" s="46" t="s">
        <v>376</v>
      </c>
      <c r="S49" s="46" t="s">
        <v>196</v>
      </c>
      <c r="T49" s="47" t="s">
        <v>333</v>
      </c>
    </row>
    <row r="50" spans="1:20" ht="13.5" thickBot="1" x14ac:dyDescent="0.35">
      <c r="A50" s="45">
        <v>46199</v>
      </c>
      <c r="B50" s="46" t="s">
        <v>282</v>
      </c>
      <c r="C50" s="46" t="s">
        <v>385</v>
      </c>
      <c r="D50" s="46" t="s">
        <v>365</v>
      </c>
      <c r="E50" s="46" t="s">
        <v>386</v>
      </c>
      <c r="F50" s="46" t="s">
        <v>344</v>
      </c>
      <c r="G50" s="46">
        <v>500</v>
      </c>
      <c r="H50" s="46">
        <v>500</v>
      </c>
      <c r="I50" s="46">
        <v>0.8</v>
      </c>
      <c r="J50" s="46"/>
      <c r="K50" s="46">
        <v>0.4</v>
      </c>
      <c r="L50" s="11">
        <f>H50-500</f>
        <v>0</v>
      </c>
      <c r="M50" s="3">
        <f t="shared" si="1"/>
        <v>0</v>
      </c>
      <c r="N50" s="46" t="s">
        <v>69</v>
      </c>
      <c r="O50" s="46" t="s">
        <v>96</v>
      </c>
      <c r="P50" s="46" t="s">
        <v>60</v>
      </c>
      <c r="R50" s="46" t="s">
        <v>339</v>
      </c>
      <c r="S50" s="46" t="s">
        <v>196</v>
      </c>
      <c r="T50" s="47" t="s">
        <v>333</v>
      </c>
    </row>
    <row r="51" spans="1:20" ht="13.5" thickBot="1" x14ac:dyDescent="0.35">
      <c r="A51" s="16">
        <v>46199</v>
      </c>
      <c r="B51" s="17" t="s">
        <v>282</v>
      </c>
      <c r="C51" s="17" t="s">
        <v>387</v>
      </c>
      <c r="D51" s="17" t="s">
        <v>365</v>
      </c>
      <c r="E51" s="17" t="s">
        <v>388</v>
      </c>
      <c r="F51" s="17" t="s">
        <v>169</v>
      </c>
      <c r="G51" s="17">
        <v>900</v>
      </c>
      <c r="H51" s="17">
        <v>900</v>
      </c>
      <c r="I51" s="17">
        <v>0.97</v>
      </c>
      <c r="J51" s="17"/>
      <c r="K51" s="17">
        <v>0.87</v>
      </c>
      <c r="L51" s="11">
        <f>H51-75-825</f>
        <v>0</v>
      </c>
      <c r="M51" s="3">
        <f t="shared" si="1"/>
        <v>0</v>
      </c>
      <c r="N51" s="17" t="s">
        <v>59</v>
      </c>
      <c r="O51" s="17" t="s">
        <v>96</v>
      </c>
      <c r="P51" s="17" t="s">
        <v>60</v>
      </c>
      <c r="R51" s="17" t="s">
        <v>201</v>
      </c>
      <c r="S51" s="17" t="s">
        <v>196</v>
      </c>
      <c r="T51" s="18" t="s">
        <v>333</v>
      </c>
    </row>
    <row r="52" spans="1:20" ht="14" thickTop="1" thickBot="1" x14ac:dyDescent="0.35">
      <c r="A52" s="19">
        <v>46207</v>
      </c>
      <c r="B52" s="20" t="s">
        <v>389</v>
      </c>
      <c r="C52" s="20" t="s">
        <v>411</v>
      </c>
      <c r="D52" s="20" t="s">
        <v>270</v>
      </c>
      <c r="E52" s="20" t="s">
        <v>412</v>
      </c>
      <c r="F52" s="20" t="s">
        <v>413</v>
      </c>
      <c r="G52" s="20">
        <v>2000</v>
      </c>
      <c r="H52" s="20">
        <v>2000</v>
      </c>
      <c r="I52" s="20">
        <v>2.2200000000000002</v>
      </c>
      <c r="J52" s="20"/>
      <c r="K52" s="20">
        <v>4.4400000000000004</v>
      </c>
      <c r="L52" s="11">
        <v>0</v>
      </c>
      <c r="M52" s="3">
        <f t="shared" si="1"/>
        <v>0</v>
      </c>
      <c r="N52" s="20" t="s">
        <v>414</v>
      </c>
      <c r="O52" s="20" t="s">
        <v>302</v>
      </c>
      <c r="P52" s="20" t="s">
        <v>82</v>
      </c>
      <c r="Q52" s="20" t="s">
        <v>82</v>
      </c>
      <c r="R52" s="20" t="s">
        <v>62</v>
      </c>
      <c r="S52" s="20" t="s">
        <v>196</v>
      </c>
      <c r="T52" s="21" t="s">
        <v>164</v>
      </c>
    </row>
    <row r="53" spans="1:20" ht="13.5" thickBot="1" x14ac:dyDescent="0.35">
      <c r="A53" s="19">
        <v>46207</v>
      </c>
      <c r="B53" s="20" t="s">
        <v>389</v>
      </c>
      <c r="C53" s="20" t="s">
        <v>415</v>
      </c>
      <c r="D53" s="20" t="s">
        <v>416</v>
      </c>
      <c r="E53" s="20" t="s">
        <v>417</v>
      </c>
      <c r="F53" s="20" t="s">
        <v>262</v>
      </c>
      <c r="G53" s="20">
        <v>6600</v>
      </c>
      <c r="H53" s="20">
        <v>6600</v>
      </c>
      <c r="I53" s="20">
        <v>0.74</v>
      </c>
      <c r="J53" s="20"/>
      <c r="K53" s="20">
        <v>4.88</v>
      </c>
      <c r="L53" s="11">
        <f>H53-800-1250</f>
        <v>4550</v>
      </c>
      <c r="M53" s="3">
        <f t="shared" si="1"/>
        <v>3.367</v>
      </c>
      <c r="N53" s="20" t="s">
        <v>69</v>
      </c>
      <c r="O53" s="20" t="s">
        <v>96</v>
      </c>
      <c r="P53" s="20" t="s">
        <v>82</v>
      </c>
      <c r="Q53" s="20" t="s">
        <v>82</v>
      </c>
      <c r="R53" s="20" t="s">
        <v>376</v>
      </c>
      <c r="S53" s="20" t="s">
        <v>196</v>
      </c>
      <c r="T53" s="21" t="s">
        <v>333</v>
      </c>
    </row>
    <row r="54" spans="1:20" ht="13.5" thickBot="1" x14ac:dyDescent="0.35">
      <c r="A54" s="19">
        <v>46207</v>
      </c>
      <c r="B54" s="20" t="s">
        <v>389</v>
      </c>
      <c r="C54" s="20" t="s">
        <v>418</v>
      </c>
      <c r="D54" s="20" t="s">
        <v>419</v>
      </c>
      <c r="E54" s="20" t="s">
        <v>420</v>
      </c>
      <c r="F54" s="20" t="s">
        <v>193</v>
      </c>
      <c r="G54" s="20">
        <v>300</v>
      </c>
      <c r="H54" s="20">
        <v>300</v>
      </c>
      <c r="I54" s="20">
        <v>3.32</v>
      </c>
      <c r="J54" s="20"/>
      <c r="K54" s="20">
        <v>1</v>
      </c>
      <c r="L54" s="11">
        <v>0</v>
      </c>
      <c r="M54" s="3">
        <f t="shared" si="1"/>
        <v>0</v>
      </c>
      <c r="N54" s="20" t="s">
        <v>421</v>
      </c>
      <c r="O54" s="20" t="s">
        <v>96</v>
      </c>
      <c r="P54" s="20" t="s">
        <v>60</v>
      </c>
      <c r="Q54" s="20" t="s">
        <v>78</v>
      </c>
      <c r="R54" s="20" t="s">
        <v>376</v>
      </c>
      <c r="S54" s="20" t="s">
        <v>196</v>
      </c>
      <c r="T54" s="21" t="s">
        <v>164</v>
      </c>
    </row>
    <row r="55" spans="1:20" ht="13.5" thickBot="1" x14ac:dyDescent="0.35">
      <c r="A55" s="22">
        <v>46207</v>
      </c>
      <c r="B55" s="23" t="s">
        <v>389</v>
      </c>
      <c r="C55" s="23" t="s">
        <v>422</v>
      </c>
      <c r="D55" s="23" t="s">
        <v>419</v>
      </c>
      <c r="E55" s="23" t="s">
        <v>423</v>
      </c>
      <c r="F55" s="23" t="s">
        <v>413</v>
      </c>
      <c r="G55" s="23">
        <v>300</v>
      </c>
      <c r="H55" s="23">
        <v>300</v>
      </c>
      <c r="I55" s="23">
        <v>2.33</v>
      </c>
      <c r="J55" s="23"/>
      <c r="K55" s="23">
        <v>0.7</v>
      </c>
      <c r="L55" s="11">
        <v>0</v>
      </c>
      <c r="M55" s="3">
        <f t="shared" si="1"/>
        <v>0</v>
      </c>
      <c r="N55" s="23" t="s">
        <v>424</v>
      </c>
      <c r="O55" s="23" t="s">
        <v>302</v>
      </c>
      <c r="P55" s="23" t="s">
        <v>60</v>
      </c>
      <c r="Q55" s="23" t="s">
        <v>78</v>
      </c>
      <c r="R55" s="23" t="s">
        <v>62</v>
      </c>
      <c r="S55" s="23" t="s">
        <v>196</v>
      </c>
      <c r="T55" s="24" t="s">
        <v>164</v>
      </c>
    </row>
    <row r="56" spans="1:20" ht="14" thickTop="1" thickBot="1" x14ac:dyDescent="0.35">
      <c r="A56" s="16">
        <v>46210</v>
      </c>
      <c r="B56" s="17" t="s">
        <v>425</v>
      </c>
      <c r="C56" s="17" t="s">
        <v>426</v>
      </c>
      <c r="D56" s="17" t="s">
        <v>277</v>
      </c>
      <c r="E56" s="17" t="s">
        <v>427</v>
      </c>
      <c r="F56" s="17" t="s">
        <v>292</v>
      </c>
      <c r="G56" s="17">
        <v>6400</v>
      </c>
      <c r="H56" s="17">
        <v>6400</v>
      </c>
      <c r="I56" s="17">
        <v>1.08</v>
      </c>
      <c r="J56" s="17"/>
      <c r="K56" s="17">
        <v>6.91</v>
      </c>
      <c r="L56" s="11">
        <f>H56-150-50-700-100-200</f>
        <v>5200</v>
      </c>
      <c r="M56" s="3">
        <f t="shared" si="1"/>
        <v>5.6159999999999997</v>
      </c>
      <c r="N56" s="17" t="s">
        <v>194</v>
      </c>
      <c r="O56" s="17" t="s">
        <v>226</v>
      </c>
      <c r="P56" s="17" t="s">
        <v>60</v>
      </c>
      <c r="Q56" s="17" t="s">
        <v>196</v>
      </c>
      <c r="R56" s="17" t="s">
        <v>62</v>
      </c>
      <c r="S56" s="17" t="s">
        <v>196</v>
      </c>
      <c r="T56" s="18" t="s">
        <v>393</v>
      </c>
    </row>
    <row r="57" spans="1:20" ht="14" thickTop="1" thickBot="1" x14ac:dyDescent="0.35">
      <c r="A57" s="57">
        <v>46211</v>
      </c>
      <c r="B57" s="58" t="s">
        <v>425</v>
      </c>
      <c r="C57" s="58" t="s">
        <v>390</v>
      </c>
      <c r="D57" s="58" t="s">
        <v>391</v>
      </c>
      <c r="E57" s="58" t="s">
        <v>392</v>
      </c>
      <c r="F57" s="58" t="s">
        <v>169</v>
      </c>
      <c r="G57" s="58">
        <v>500</v>
      </c>
      <c r="H57" s="58">
        <v>500</v>
      </c>
      <c r="I57" s="58">
        <v>0.98</v>
      </c>
      <c r="J57" s="58"/>
      <c r="K57" s="58">
        <v>0.49</v>
      </c>
      <c r="L57" s="11">
        <v>0</v>
      </c>
      <c r="M57" s="3">
        <f t="shared" si="1"/>
        <v>0</v>
      </c>
      <c r="N57" s="58" t="s">
        <v>69</v>
      </c>
      <c r="O57" s="58" t="s">
        <v>96</v>
      </c>
      <c r="P57" s="58" t="s">
        <v>82</v>
      </c>
      <c r="Q57" s="58" t="s">
        <v>82</v>
      </c>
      <c r="R57" s="58" t="s">
        <v>339</v>
      </c>
      <c r="S57" s="58" t="s">
        <v>196</v>
      </c>
      <c r="T57" s="59" t="s">
        <v>393</v>
      </c>
    </row>
    <row r="58" spans="1:20" ht="13.5" thickBot="1" x14ac:dyDescent="0.35">
      <c r="A58" s="57">
        <v>46211</v>
      </c>
      <c r="B58" s="58" t="s">
        <v>425</v>
      </c>
      <c r="C58" s="58" t="s">
        <v>394</v>
      </c>
      <c r="D58" s="58" t="s">
        <v>391</v>
      </c>
      <c r="E58" s="58" t="s">
        <v>395</v>
      </c>
      <c r="F58" s="58" t="s">
        <v>169</v>
      </c>
      <c r="G58" s="58">
        <v>1500</v>
      </c>
      <c r="H58" s="58">
        <v>1500</v>
      </c>
      <c r="I58" s="58">
        <v>0.92</v>
      </c>
      <c r="J58" s="58"/>
      <c r="K58" s="58">
        <v>1.38</v>
      </c>
      <c r="L58" s="11">
        <f t="shared" ref="L58:L71" si="2">H58</f>
        <v>1500</v>
      </c>
      <c r="M58" s="3">
        <f t="shared" si="1"/>
        <v>1.38</v>
      </c>
      <c r="N58" s="58" t="s">
        <v>69</v>
      </c>
      <c r="O58" s="58" t="s">
        <v>96</v>
      </c>
      <c r="P58" s="58" t="s">
        <v>82</v>
      </c>
      <c r="Q58" s="58" t="s">
        <v>82</v>
      </c>
      <c r="R58" s="58" t="s">
        <v>339</v>
      </c>
      <c r="S58" s="58" t="s">
        <v>196</v>
      </c>
      <c r="T58" s="59" t="s">
        <v>393</v>
      </c>
    </row>
    <row r="59" spans="1:20" ht="13.5" thickBot="1" x14ac:dyDescent="0.35">
      <c r="A59" s="57">
        <v>46211</v>
      </c>
      <c r="B59" s="58" t="s">
        <v>425</v>
      </c>
      <c r="C59" s="58" t="s">
        <v>396</v>
      </c>
      <c r="D59" s="58" t="s">
        <v>391</v>
      </c>
      <c r="E59" s="58" t="s">
        <v>428</v>
      </c>
      <c r="F59" s="58" t="s">
        <v>262</v>
      </c>
      <c r="G59" s="58">
        <v>1740</v>
      </c>
      <c r="H59" s="58">
        <v>1740</v>
      </c>
      <c r="I59" s="58">
        <v>0.78</v>
      </c>
      <c r="J59" s="58"/>
      <c r="K59" s="58">
        <v>1.36</v>
      </c>
      <c r="L59" s="11">
        <f>H59-740-950</f>
        <v>50</v>
      </c>
      <c r="M59" s="3">
        <f t="shared" si="1"/>
        <v>3.9E-2</v>
      </c>
      <c r="N59" s="58" t="s">
        <v>59</v>
      </c>
      <c r="O59" s="58" t="s">
        <v>96</v>
      </c>
      <c r="P59" s="58" t="s">
        <v>82</v>
      </c>
      <c r="Q59" s="58" t="s">
        <v>82</v>
      </c>
      <c r="R59" s="58" t="s">
        <v>339</v>
      </c>
      <c r="S59" s="58" t="s">
        <v>196</v>
      </c>
      <c r="T59" s="59" t="s">
        <v>393</v>
      </c>
    </row>
    <row r="60" spans="1:20" ht="13.5" thickBot="1" x14ac:dyDescent="0.35">
      <c r="A60" s="57">
        <v>46211</v>
      </c>
      <c r="B60" s="58" t="s">
        <v>425</v>
      </c>
      <c r="C60" s="58" t="s">
        <v>397</v>
      </c>
      <c r="D60" s="58" t="s">
        <v>391</v>
      </c>
      <c r="E60" s="58" t="s">
        <v>429</v>
      </c>
      <c r="F60" s="58" t="s">
        <v>169</v>
      </c>
      <c r="G60" s="58">
        <v>1350</v>
      </c>
      <c r="H60" s="58">
        <v>1350</v>
      </c>
      <c r="I60" s="58">
        <v>1</v>
      </c>
      <c r="J60" s="58"/>
      <c r="K60" s="58">
        <v>1.35</v>
      </c>
      <c r="L60" s="11">
        <f>H60-900-450</f>
        <v>0</v>
      </c>
      <c r="M60" s="3">
        <f t="shared" si="1"/>
        <v>0</v>
      </c>
      <c r="N60" s="58" t="s">
        <v>59</v>
      </c>
      <c r="O60" s="58" t="s">
        <v>96</v>
      </c>
      <c r="P60" s="58" t="s">
        <v>60</v>
      </c>
      <c r="Q60" s="58" t="s">
        <v>256</v>
      </c>
      <c r="R60" s="58" t="s">
        <v>339</v>
      </c>
      <c r="S60" s="58" t="s">
        <v>196</v>
      </c>
      <c r="T60" s="59" t="s">
        <v>393</v>
      </c>
    </row>
    <row r="61" spans="1:20" ht="13.5" thickBot="1" x14ac:dyDescent="0.35">
      <c r="A61" s="57">
        <v>46211</v>
      </c>
      <c r="B61" s="58" t="s">
        <v>425</v>
      </c>
      <c r="C61" s="58" t="s">
        <v>398</v>
      </c>
      <c r="D61" s="58" t="s">
        <v>391</v>
      </c>
      <c r="E61" s="58" t="s">
        <v>430</v>
      </c>
      <c r="F61" s="58" t="s">
        <v>169</v>
      </c>
      <c r="G61" s="58">
        <v>500</v>
      </c>
      <c r="H61" s="58">
        <v>500</v>
      </c>
      <c r="I61" s="58">
        <v>0.99</v>
      </c>
      <c r="J61" s="58"/>
      <c r="K61" s="58">
        <v>0.5</v>
      </c>
      <c r="L61" s="11">
        <f>H61-400-100</f>
        <v>0</v>
      </c>
      <c r="M61" s="3">
        <f t="shared" si="1"/>
        <v>0</v>
      </c>
      <c r="N61" s="58" t="s">
        <v>59</v>
      </c>
      <c r="O61" s="58" t="s">
        <v>96</v>
      </c>
      <c r="P61" s="58" t="s">
        <v>60</v>
      </c>
      <c r="Q61" s="58" t="s">
        <v>256</v>
      </c>
      <c r="R61" s="58" t="s">
        <v>339</v>
      </c>
      <c r="S61" s="58" t="s">
        <v>196</v>
      </c>
      <c r="T61" s="59" t="s">
        <v>393</v>
      </c>
    </row>
    <row r="62" spans="1:20" ht="13.5" thickBot="1" x14ac:dyDescent="0.35">
      <c r="A62" s="57">
        <v>46211</v>
      </c>
      <c r="B62" s="58" t="s">
        <v>425</v>
      </c>
      <c r="C62" s="58" t="s">
        <v>399</v>
      </c>
      <c r="D62" s="58" t="s">
        <v>391</v>
      </c>
      <c r="E62" s="58" t="s">
        <v>431</v>
      </c>
      <c r="F62" s="58" t="s">
        <v>400</v>
      </c>
      <c r="G62" s="58">
        <v>550</v>
      </c>
      <c r="H62" s="58">
        <v>550</v>
      </c>
      <c r="I62" s="58">
        <v>0.84</v>
      </c>
      <c r="J62" s="58"/>
      <c r="K62" s="58">
        <v>0.46</v>
      </c>
      <c r="L62" s="11">
        <f t="shared" si="2"/>
        <v>550</v>
      </c>
      <c r="M62" s="3">
        <f t="shared" si="1"/>
        <v>0.46200000000000002</v>
      </c>
      <c r="N62" s="58" t="s">
        <v>59</v>
      </c>
      <c r="O62" s="58" t="s">
        <v>96</v>
      </c>
      <c r="P62" s="58" t="s">
        <v>82</v>
      </c>
      <c r="Q62" s="58" t="s">
        <v>82</v>
      </c>
      <c r="R62" s="58" t="s">
        <v>339</v>
      </c>
      <c r="S62" s="58" t="s">
        <v>196</v>
      </c>
      <c r="T62" s="59" t="s">
        <v>393</v>
      </c>
    </row>
    <row r="63" spans="1:20" ht="13.5" thickBot="1" x14ac:dyDescent="0.35">
      <c r="A63" s="57">
        <v>46211</v>
      </c>
      <c r="B63" s="58" t="s">
        <v>425</v>
      </c>
      <c r="C63" s="58" t="s">
        <v>401</v>
      </c>
      <c r="D63" s="58" t="s">
        <v>391</v>
      </c>
      <c r="E63" s="58" t="s">
        <v>432</v>
      </c>
      <c r="F63" s="58" t="s">
        <v>262</v>
      </c>
      <c r="G63" s="58">
        <v>550</v>
      </c>
      <c r="H63" s="58">
        <v>550</v>
      </c>
      <c r="I63" s="58">
        <v>0.85</v>
      </c>
      <c r="J63" s="58"/>
      <c r="K63" s="58">
        <v>0.47</v>
      </c>
      <c r="L63" s="11">
        <v>75</v>
      </c>
      <c r="M63" s="3">
        <f t="shared" si="1"/>
        <v>6.3750000000000001E-2</v>
      </c>
      <c r="N63" s="58" t="s">
        <v>59</v>
      </c>
      <c r="O63" s="58" t="s">
        <v>96</v>
      </c>
      <c r="P63" s="58" t="s">
        <v>82</v>
      </c>
      <c r="Q63" s="58" t="s">
        <v>82</v>
      </c>
      <c r="R63" s="58" t="s">
        <v>339</v>
      </c>
      <c r="S63" s="58" t="s">
        <v>196</v>
      </c>
      <c r="T63" s="59" t="s">
        <v>393</v>
      </c>
    </row>
    <row r="64" spans="1:20" ht="13.5" thickBot="1" x14ac:dyDescent="0.35">
      <c r="A64" s="57">
        <v>46211</v>
      </c>
      <c r="B64" s="58" t="s">
        <v>425</v>
      </c>
      <c r="C64" s="58" t="s">
        <v>402</v>
      </c>
      <c r="D64" s="58" t="s">
        <v>391</v>
      </c>
      <c r="E64" s="58" t="s">
        <v>433</v>
      </c>
      <c r="F64" s="58" t="s">
        <v>400</v>
      </c>
      <c r="G64" s="58">
        <v>300</v>
      </c>
      <c r="H64" s="58">
        <v>300</v>
      </c>
      <c r="I64" s="58">
        <v>0.87</v>
      </c>
      <c r="J64" s="58"/>
      <c r="K64" s="58">
        <v>0.26</v>
      </c>
      <c r="L64" s="11">
        <f>H64-300</f>
        <v>0</v>
      </c>
      <c r="M64" s="3">
        <f t="shared" si="1"/>
        <v>0</v>
      </c>
      <c r="N64" s="58" t="s">
        <v>59</v>
      </c>
      <c r="O64" s="58" t="s">
        <v>96</v>
      </c>
      <c r="P64" s="58" t="s">
        <v>82</v>
      </c>
      <c r="Q64" s="58" t="s">
        <v>82</v>
      </c>
      <c r="R64" s="58" t="s">
        <v>339</v>
      </c>
      <c r="S64" s="58" t="s">
        <v>196</v>
      </c>
      <c r="T64" s="59" t="s">
        <v>393</v>
      </c>
    </row>
    <row r="65" spans="1:20" ht="13.5" thickBot="1" x14ac:dyDescent="0.35">
      <c r="A65" s="57">
        <v>46211</v>
      </c>
      <c r="B65" s="58" t="s">
        <v>425</v>
      </c>
      <c r="C65" s="58" t="s">
        <v>403</v>
      </c>
      <c r="D65" s="58" t="s">
        <v>391</v>
      </c>
      <c r="E65" s="58" t="s">
        <v>434</v>
      </c>
      <c r="F65" s="58" t="s">
        <v>400</v>
      </c>
      <c r="G65" s="58">
        <v>600</v>
      </c>
      <c r="H65" s="58">
        <v>600</v>
      </c>
      <c r="I65" s="58">
        <v>0.73</v>
      </c>
      <c r="J65" s="58"/>
      <c r="K65" s="58">
        <v>0.44</v>
      </c>
      <c r="L65" s="11">
        <f t="shared" si="2"/>
        <v>600</v>
      </c>
      <c r="M65" s="3">
        <f t="shared" si="1"/>
        <v>0.438</v>
      </c>
      <c r="N65" s="58" t="s">
        <v>59</v>
      </c>
      <c r="O65" s="58" t="s">
        <v>96</v>
      </c>
      <c r="P65" s="58" t="s">
        <v>82</v>
      </c>
      <c r="Q65" s="58" t="s">
        <v>82</v>
      </c>
      <c r="R65" s="58" t="s">
        <v>339</v>
      </c>
      <c r="S65" s="58" t="s">
        <v>196</v>
      </c>
      <c r="T65" s="59" t="s">
        <v>393</v>
      </c>
    </row>
    <row r="66" spans="1:20" ht="13.5" thickBot="1" x14ac:dyDescent="0.35">
      <c r="A66" s="57">
        <v>46211</v>
      </c>
      <c r="B66" s="58" t="s">
        <v>425</v>
      </c>
      <c r="C66" s="58" t="s">
        <v>405</v>
      </c>
      <c r="D66" s="58" t="s">
        <v>391</v>
      </c>
      <c r="E66" s="58" t="s">
        <v>435</v>
      </c>
      <c r="F66" s="58" t="s">
        <v>400</v>
      </c>
      <c r="G66" s="58">
        <v>580</v>
      </c>
      <c r="H66" s="58">
        <v>580</v>
      </c>
      <c r="I66" s="58">
        <v>0.78</v>
      </c>
      <c r="J66" s="58"/>
      <c r="K66" s="58">
        <v>0.45</v>
      </c>
      <c r="L66" s="11">
        <f t="shared" si="2"/>
        <v>580</v>
      </c>
      <c r="M66" s="3">
        <f t="shared" si="1"/>
        <v>0.45240000000000002</v>
      </c>
      <c r="N66" s="58" t="s">
        <v>59</v>
      </c>
      <c r="O66" s="58" t="s">
        <v>96</v>
      </c>
      <c r="P66" s="58" t="s">
        <v>82</v>
      </c>
      <c r="Q66" s="58" t="s">
        <v>82</v>
      </c>
      <c r="R66" s="58" t="s">
        <v>339</v>
      </c>
      <c r="S66" s="58" t="s">
        <v>196</v>
      </c>
      <c r="T66" s="59" t="s">
        <v>393</v>
      </c>
    </row>
    <row r="67" spans="1:20" ht="13.5" thickBot="1" x14ac:dyDescent="0.35">
      <c r="A67" s="57">
        <v>46211</v>
      </c>
      <c r="B67" s="58" t="s">
        <v>425</v>
      </c>
      <c r="C67" s="58" t="s">
        <v>406</v>
      </c>
      <c r="D67" s="58" t="s">
        <v>391</v>
      </c>
      <c r="E67" s="58" t="s">
        <v>436</v>
      </c>
      <c r="F67" s="58" t="s">
        <v>404</v>
      </c>
      <c r="G67" s="58">
        <v>600</v>
      </c>
      <c r="H67" s="58">
        <v>600</v>
      </c>
      <c r="I67" s="58">
        <v>0.73</v>
      </c>
      <c r="J67" s="58"/>
      <c r="K67" s="58">
        <v>0.44</v>
      </c>
      <c r="L67" s="11">
        <f t="shared" si="2"/>
        <v>600</v>
      </c>
      <c r="M67" s="3">
        <f t="shared" si="1"/>
        <v>0.438</v>
      </c>
      <c r="N67" s="58" t="s">
        <v>59</v>
      </c>
      <c r="O67" s="58" t="s">
        <v>96</v>
      </c>
      <c r="P67" s="58" t="s">
        <v>82</v>
      </c>
      <c r="Q67" s="58" t="s">
        <v>82</v>
      </c>
      <c r="R67" s="58" t="s">
        <v>339</v>
      </c>
      <c r="S67" s="58" t="s">
        <v>196</v>
      </c>
      <c r="T67" s="59" t="s">
        <v>393</v>
      </c>
    </row>
    <row r="68" spans="1:20" ht="13.5" thickBot="1" x14ac:dyDescent="0.35">
      <c r="A68" s="57">
        <v>46211</v>
      </c>
      <c r="B68" s="58" t="s">
        <v>425</v>
      </c>
      <c r="C68" s="58" t="s">
        <v>437</v>
      </c>
      <c r="D68" s="58" t="s">
        <v>391</v>
      </c>
      <c r="E68" s="58" t="s">
        <v>438</v>
      </c>
      <c r="F68" s="58" t="s">
        <v>439</v>
      </c>
      <c r="G68" s="58">
        <v>1600</v>
      </c>
      <c r="H68" s="58">
        <v>1600</v>
      </c>
      <c r="I68" s="58">
        <v>2.2200000000000002</v>
      </c>
      <c r="J68" s="58"/>
      <c r="K68" s="58">
        <v>3.55</v>
      </c>
      <c r="L68" s="11">
        <f>H68-250-270-400-200-190-290</f>
        <v>0</v>
      </c>
      <c r="M68" s="3">
        <f t="shared" si="1"/>
        <v>0</v>
      </c>
      <c r="N68" s="58" t="s">
        <v>59</v>
      </c>
      <c r="O68" s="58" t="s">
        <v>96</v>
      </c>
      <c r="P68" s="58" t="s">
        <v>82</v>
      </c>
      <c r="Q68" s="58" t="s">
        <v>82</v>
      </c>
      <c r="R68" s="58" t="s">
        <v>62</v>
      </c>
      <c r="S68" s="58" t="s">
        <v>196</v>
      </c>
      <c r="T68" s="59" t="s">
        <v>393</v>
      </c>
    </row>
    <row r="69" spans="1:20" ht="13.5" thickBot="1" x14ac:dyDescent="0.35">
      <c r="A69" s="57">
        <v>46211</v>
      </c>
      <c r="B69" s="58" t="s">
        <v>425</v>
      </c>
      <c r="C69" s="58" t="s">
        <v>440</v>
      </c>
      <c r="D69" s="58" t="s">
        <v>391</v>
      </c>
      <c r="E69" s="58" t="s">
        <v>441</v>
      </c>
      <c r="F69" s="58" t="s">
        <v>442</v>
      </c>
      <c r="G69" s="58">
        <v>1170</v>
      </c>
      <c r="H69" s="58">
        <v>1170</v>
      </c>
      <c r="I69" s="58">
        <v>3.58</v>
      </c>
      <c r="J69" s="58"/>
      <c r="K69" s="58">
        <v>4.1900000000000004</v>
      </c>
      <c r="L69" s="11">
        <f t="shared" si="2"/>
        <v>1170</v>
      </c>
      <c r="M69" s="3">
        <f t="shared" ref="M69:M100" si="3">(L69*I69)/1000</f>
        <v>4.1886000000000001</v>
      </c>
      <c r="N69" s="58" t="s">
        <v>443</v>
      </c>
      <c r="O69" s="58" t="s">
        <v>274</v>
      </c>
      <c r="P69" s="58" t="s">
        <v>82</v>
      </c>
      <c r="Q69" s="58" t="s">
        <v>82</v>
      </c>
      <c r="R69" s="58" t="s">
        <v>62</v>
      </c>
      <c r="S69" s="58" t="s">
        <v>196</v>
      </c>
      <c r="T69" s="59" t="s">
        <v>393</v>
      </c>
    </row>
    <row r="70" spans="1:20" ht="13.5" thickBot="1" x14ac:dyDescent="0.35">
      <c r="A70" s="57">
        <v>46211</v>
      </c>
      <c r="B70" s="58" t="s">
        <v>425</v>
      </c>
      <c r="C70" s="58" t="s">
        <v>444</v>
      </c>
      <c r="D70" s="58" t="s">
        <v>391</v>
      </c>
      <c r="E70" s="58" t="s">
        <v>445</v>
      </c>
      <c r="F70" s="58" t="s">
        <v>446</v>
      </c>
      <c r="G70" s="58">
        <v>700</v>
      </c>
      <c r="H70" s="58">
        <v>700</v>
      </c>
      <c r="I70" s="58">
        <v>1.27</v>
      </c>
      <c r="J70" s="58"/>
      <c r="K70" s="58">
        <v>0.89</v>
      </c>
      <c r="L70" s="11">
        <f t="shared" si="2"/>
        <v>700</v>
      </c>
      <c r="M70" s="3">
        <f t="shared" si="3"/>
        <v>0.88900000000000001</v>
      </c>
      <c r="N70" s="58" t="s">
        <v>447</v>
      </c>
      <c r="O70" s="58" t="s">
        <v>448</v>
      </c>
      <c r="P70" s="58" t="s">
        <v>82</v>
      </c>
      <c r="Q70" s="58" t="s">
        <v>82</v>
      </c>
      <c r="R70" s="58" t="s">
        <v>449</v>
      </c>
      <c r="S70" s="58" t="s">
        <v>196</v>
      </c>
      <c r="T70" s="59" t="s">
        <v>393</v>
      </c>
    </row>
    <row r="71" spans="1:20" ht="13.5" thickBot="1" x14ac:dyDescent="0.35">
      <c r="A71" s="57">
        <v>46211</v>
      </c>
      <c r="B71" s="58" t="s">
        <v>425</v>
      </c>
      <c r="C71" s="58" t="s">
        <v>450</v>
      </c>
      <c r="D71" s="58" t="s">
        <v>391</v>
      </c>
      <c r="E71" s="58" t="s">
        <v>451</v>
      </c>
      <c r="F71" s="58" t="s">
        <v>452</v>
      </c>
      <c r="G71" s="58">
        <v>670</v>
      </c>
      <c r="H71" s="58">
        <v>670</v>
      </c>
      <c r="I71" s="58">
        <v>1.33</v>
      </c>
      <c r="J71" s="58"/>
      <c r="K71" s="58">
        <v>0.89</v>
      </c>
      <c r="L71" s="11">
        <f t="shared" si="2"/>
        <v>670</v>
      </c>
      <c r="M71" s="3">
        <f t="shared" si="3"/>
        <v>0.8911</v>
      </c>
      <c r="N71" s="58" t="s">
        <v>59</v>
      </c>
      <c r="O71" s="58" t="s">
        <v>96</v>
      </c>
      <c r="P71" s="58" t="s">
        <v>82</v>
      </c>
      <c r="Q71" s="58" t="s">
        <v>82</v>
      </c>
      <c r="R71" s="58" t="s">
        <v>376</v>
      </c>
      <c r="S71" s="58" t="s">
        <v>196</v>
      </c>
      <c r="T71" s="59" t="s">
        <v>393</v>
      </c>
    </row>
    <row r="72" spans="1:20" ht="13.5" thickBot="1" x14ac:dyDescent="0.35">
      <c r="A72" s="57">
        <v>46211</v>
      </c>
      <c r="B72" s="58" t="s">
        <v>425</v>
      </c>
      <c r="C72" s="58" t="s">
        <v>453</v>
      </c>
      <c r="D72" s="58" t="s">
        <v>391</v>
      </c>
      <c r="E72" s="58" t="s">
        <v>454</v>
      </c>
      <c r="F72" s="58" t="s">
        <v>193</v>
      </c>
      <c r="G72" s="58">
        <v>1520</v>
      </c>
      <c r="H72" s="58">
        <v>1520</v>
      </c>
      <c r="I72" s="58">
        <v>1.17</v>
      </c>
      <c r="J72" s="58"/>
      <c r="K72" s="58">
        <v>1.78</v>
      </c>
      <c r="L72" s="11">
        <v>820</v>
      </c>
      <c r="M72" s="3">
        <f t="shared" si="3"/>
        <v>0.95940000000000003</v>
      </c>
      <c r="N72" s="58" t="s">
        <v>59</v>
      </c>
      <c r="O72" s="58" t="s">
        <v>96</v>
      </c>
      <c r="P72" s="58" t="s">
        <v>82</v>
      </c>
      <c r="Q72" s="58" t="s">
        <v>82</v>
      </c>
      <c r="R72" s="58" t="s">
        <v>62</v>
      </c>
      <c r="S72" s="58" t="s">
        <v>196</v>
      </c>
      <c r="T72" s="59" t="s">
        <v>393</v>
      </c>
    </row>
    <row r="73" spans="1:20" ht="13.5" thickBot="1" x14ac:dyDescent="0.35">
      <c r="A73" s="60">
        <v>46211</v>
      </c>
      <c r="B73" s="61" t="s">
        <v>425</v>
      </c>
      <c r="C73" s="61" t="s">
        <v>455</v>
      </c>
      <c r="D73" s="61" t="s">
        <v>391</v>
      </c>
      <c r="E73" s="61" t="s">
        <v>456</v>
      </c>
      <c r="F73" s="61" t="s">
        <v>262</v>
      </c>
      <c r="G73" s="61">
        <v>1740</v>
      </c>
      <c r="H73" s="61">
        <v>1740</v>
      </c>
      <c r="I73" s="61">
        <v>0.78</v>
      </c>
      <c r="J73" s="61"/>
      <c r="K73" s="61">
        <v>1.36</v>
      </c>
      <c r="L73" s="11">
        <f>H73</f>
        <v>1740</v>
      </c>
      <c r="M73" s="3">
        <f t="shared" si="3"/>
        <v>1.3572</v>
      </c>
      <c r="N73" s="61" t="s">
        <v>59</v>
      </c>
      <c r="O73" s="61" t="s">
        <v>96</v>
      </c>
      <c r="P73" s="61" t="s">
        <v>82</v>
      </c>
      <c r="Q73" s="61" t="s">
        <v>82</v>
      </c>
      <c r="R73" s="61" t="s">
        <v>62</v>
      </c>
      <c r="S73" s="61" t="s">
        <v>196</v>
      </c>
      <c r="T73" s="62" t="s">
        <v>393</v>
      </c>
    </row>
    <row r="74" spans="1:20" ht="14" thickTop="1" thickBot="1" x14ac:dyDescent="0.35">
      <c r="A74" s="57">
        <v>46214</v>
      </c>
      <c r="B74" s="58" t="s">
        <v>425</v>
      </c>
      <c r="C74" s="58" t="s">
        <v>459</v>
      </c>
      <c r="D74" s="58" t="s">
        <v>330</v>
      </c>
      <c r="E74" s="58" t="s">
        <v>460</v>
      </c>
      <c r="F74" s="58" t="s">
        <v>118</v>
      </c>
      <c r="G74" s="58">
        <v>800</v>
      </c>
      <c r="H74" s="58">
        <v>800</v>
      </c>
      <c r="I74" s="58">
        <v>1.03</v>
      </c>
      <c r="J74" s="58"/>
      <c r="K74" s="58">
        <v>0.82</v>
      </c>
      <c r="L74" s="11">
        <v>0</v>
      </c>
      <c r="M74" s="3">
        <f t="shared" si="3"/>
        <v>0</v>
      </c>
      <c r="N74" s="58" t="s">
        <v>69</v>
      </c>
      <c r="O74" s="58" t="s">
        <v>96</v>
      </c>
      <c r="P74" s="58" t="s">
        <v>82</v>
      </c>
      <c r="Q74" s="58" t="s">
        <v>82</v>
      </c>
      <c r="R74" s="58" t="s">
        <v>339</v>
      </c>
      <c r="S74" s="58" t="s">
        <v>196</v>
      </c>
      <c r="T74" s="59" t="s">
        <v>461</v>
      </c>
    </row>
    <row r="75" spans="1:20" ht="13.5" thickBot="1" x14ac:dyDescent="0.35">
      <c r="A75" s="57">
        <v>46214</v>
      </c>
      <c r="B75" s="58" t="s">
        <v>425</v>
      </c>
      <c r="C75" s="58" t="s">
        <v>462</v>
      </c>
      <c r="D75" s="58" t="s">
        <v>330</v>
      </c>
      <c r="E75" s="58" t="s">
        <v>463</v>
      </c>
      <c r="F75" s="58" t="s">
        <v>347</v>
      </c>
      <c r="G75" s="58">
        <v>6000</v>
      </c>
      <c r="H75" s="58">
        <v>6000</v>
      </c>
      <c r="I75" s="58">
        <v>0.75</v>
      </c>
      <c r="J75" s="58"/>
      <c r="K75" s="58">
        <v>4.5</v>
      </c>
      <c r="L75" s="11">
        <v>0</v>
      </c>
      <c r="M75" s="3">
        <f t="shared" si="3"/>
        <v>0</v>
      </c>
      <c r="N75" s="58" t="s">
        <v>69</v>
      </c>
      <c r="O75" s="58" t="s">
        <v>96</v>
      </c>
      <c r="P75" s="58" t="s">
        <v>82</v>
      </c>
      <c r="Q75" s="58" t="s">
        <v>82</v>
      </c>
      <c r="R75" s="58" t="s">
        <v>339</v>
      </c>
      <c r="S75" s="58" t="s">
        <v>196</v>
      </c>
      <c r="T75" s="59" t="s">
        <v>461</v>
      </c>
    </row>
    <row r="76" spans="1:20" ht="13.5" thickBot="1" x14ac:dyDescent="0.35">
      <c r="A76" s="57">
        <v>46214</v>
      </c>
      <c r="B76" s="58" t="s">
        <v>425</v>
      </c>
      <c r="C76" s="58" t="s">
        <v>464</v>
      </c>
      <c r="D76" s="58" t="s">
        <v>330</v>
      </c>
      <c r="E76" s="58" t="s">
        <v>465</v>
      </c>
      <c r="F76" s="58" t="s">
        <v>118</v>
      </c>
      <c r="G76" s="58">
        <v>1500</v>
      </c>
      <c r="H76" s="58">
        <v>1500</v>
      </c>
      <c r="I76" s="58">
        <v>0.87</v>
      </c>
      <c r="J76" s="58"/>
      <c r="K76" s="58">
        <v>1.31</v>
      </c>
      <c r="L76" s="11">
        <v>0</v>
      </c>
      <c r="M76" s="3">
        <f t="shared" si="3"/>
        <v>0</v>
      </c>
      <c r="N76" s="58" t="s">
        <v>69</v>
      </c>
      <c r="O76" s="58" t="s">
        <v>96</v>
      </c>
      <c r="P76" s="58" t="s">
        <v>82</v>
      </c>
      <c r="Q76" s="58" t="s">
        <v>82</v>
      </c>
      <c r="R76" s="58" t="s">
        <v>339</v>
      </c>
      <c r="S76" s="58" t="s">
        <v>196</v>
      </c>
      <c r="T76" s="59" t="s">
        <v>461</v>
      </c>
    </row>
    <row r="77" spans="1:20" ht="13.5" thickBot="1" x14ac:dyDescent="0.35">
      <c r="A77" s="57">
        <v>46214</v>
      </c>
      <c r="B77" s="58" t="s">
        <v>425</v>
      </c>
      <c r="C77" s="58" t="s">
        <v>466</v>
      </c>
      <c r="D77" s="58" t="s">
        <v>330</v>
      </c>
      <c r="E77" s="58" t="s">
        <v>467</v>
      </c>
      <c r="F77" s="58" t="s">
        <v>118</v>
      </c>
      <c r="G77" s="58">
        <v>350</v>
      </c>
      <c r="H77" s="58">
        <v>350</v>
      </c>
      <c r="I77" s="58">
        <v>1.23</v>
      </c>
      <c r="J77" s="58"/>
      <c r="K77" s="58">
        <v>0.43</v>
      </c>
      <c r="L77" s="11">
        <f>H77</f>
        <v>350</v>
      </c>
      <c r="M77" s="3">
        <f t="shared" si="3"/>
        <v>0.43049999999999999</v>
      </c>
      <c r="N77" s="58" t="s">
        <v>69</v>
      </c>
      <c r="O77" s="58" t="s">
        <v>96</v>
      </c>
      <c r="P77" s="58" t="s">
        <v>82</v>
      </c>
      <c r="Q77" s="58" t="s">
        <v>82</v>
      </c>
      <c r="R77" s="58" t="s">
        <v>201</v>
      </c>
      <c r="S77" s="58" t="s">
        <v>196</v>
      </c>
      <c r="T77" s="59" t="s">
        <v>461</v>
      </c>
    </row>
    <row r="78" spans="1:20" ht="13.5" thickBot="1" x14ac:dyDescent="0.35">
      <c r="A78" s="57">
        <v>46214</v>
      </c>
      <c r="B78" s="58" t="s">
        <v>425</v>
      </c>
      <c r="C78" s="58" t="s">
        <v>468</v>
      </c>
      <c r="D78" s="58" t="s">
        <v>330</v>
      </c>
      <c r="E78" s="58" t="s">
        <v>469</v>
      </c>
      <c r="F78" s="58" t="s">
        <v>110</v>
      </c>
      <c r="G78" s="58">
        <v>675</v>
      </c>
      <c r="H78" s="58">
        <v>675</v>
      </c>
      <c r="I78" s="58">
        <v>1.8</v>
      </c>
      <c r="J78" s="58"/>
      <c r="K78" s="58">
        <v>1.22</v>
      </c>
      <c r="L78" s="11">
        <v>0</v>
      </c>
      <c r="M78" s="3">
        <f t="shared" si="3"/>
        <v>0</v>
      </c>
      <c r="N78" s="58" t="s">
        <v>59</v>
      </c>
      <c r="O78" s="58" t="s">
        <v>96</v>
      </c>
      <c r="P78" s="58" t="s">
        <v>82</v>
      </c>
      <c r="Q78" s="58" t="s">
        <v>82</v>
      </c>
      <c r="R78" s="58" t="s">
        <v>62</v>
      </c>
      <c r="S78" s="58" t="s">
        <v>196</v>
      </c>
      <c r="T78" s="59" t="s">
        <v>461</v>
      </c>
    </row>
    <row r="79" spans="1:20" ht="13.5" thickBot="1" x14ac:dyDescent="0.35">
      <c r="A79" s="57">
        <v>46214</v>
      </c>
      <c r="B79" s="58" t="s">
        <v>425</v>
      </c>
      <c r="C79" s="58" t="s">
        <v>470</v>
      </c>
      <c r="D79" s="58" t="s">
        <v>330</v>
      </c>
      <c r="E79" s="58" t="s">
        <v>471</v>
      </c>
      <c r="F79" s="58" t="s">
        <v>118</v>
      </c>
      <c r="G79" s="58">
        <v>800</v>
      </c>
      <c r="H79" s="58">
        <v>800</v>
      </c>
      <c r="I79" s="58">
        <v>1.04</v>
      </c>
      <c r="J79" s="58"/>
      <c r="K79" s="58">
        <v>0.83</v>
      </c>
      <c r="L79" s="11">
        <f>H79-50-750</f>
        <v>0</v>
      </c>
      <c r="M79" s="3">
        <f t="shared" si="3"/>
        <v>0</v>
      </c>
      <c r="N79" s="58" t="s">
        <v>69</v>
      </c>
      <c r="O79" s="58" t="s">
        <v>96</v>
      </c>
      <c r="P79" s="58" t="s">
        <v>82</v>
      </c>
      <c r="Q79" s="58" t="s">
        <v>82</v>
      </c>
      <c r="R79" s="58" t="s">
        <v>376</v>
      </c>
      <c r="S79" s="58" t="s">
        <v>196</v>
      </c>
      <c r="T79" s="59" t="s">
        <v>461</v>
      </c>
    </row>
    <row r="80" spans="1:20" ht="13.5" thickBot="1" x14ac:dyDescent="0.35">
      <c r="A80" s="57">
        <v>46214</v>
      </c>
      <c r="B80" s="58" t="s">
        <v>425</v>
      </c>
      <c r="C80" s="58" t="s">
        <v>472</v>
      </c>
      <c r="D80" s="58" t="s">
        <v>330</v>
      </c>
      <c r="E80" s="58" t="s">
        <v>473</v>
      </c>
      <c r="F80" s="58" t="s">
        <v>347</v>
      </c>
      <c r="G80" s="58">
        <v>1150</v>
      </c>
      <c r="H80" s="58">
        <v>1150</v>
      </c>
      <c r="I80" s="58">
        <v>0.75</v>
      </c>
      <c r="J80" s="58"/>
      <c r="K80" s="58">
        <v>0.86</v>
      </c>
      <c r="L80" s="11">
        <f t="shared" ref="L80:L84" si="4">H80</f>
        <v>1150</v>
      </c>
      <c r="M80" s="3">
        <f t="shared" si="3"/>
        <v>0.86250000000000004</v>
      </c>
      <c r="N80" s="58" t="s">
        <v>69</v>
      </c>
      <c r="O80" s="58" t="s">
        <v>96</v>
      </c>
      <c r="P80" s="58" t="s">
        <v>82</v>
      </c>
      <c r="Q80" s="58" t="s">
        <v>82</v>
      </c>
      <c r="R80" s="58" t="s">
        <v>339</v>
      </c>
      <c r="S80" s="58" t="s">
        <v>196</v>
      </c>
      <c r="T80" s="59" t="s">
        <v>461</v>
      </c>
    </row>
    <row r="81" spans="1:20" ht="13.5" thickBot="1" x14ac:dyDescent="0.35">
      <c r="A81" s="57">
        <v>46214</v>
      </c>
      <c r="B81" s="58" t="s">
        <v>425</v>
      </c>
      <c r="C81" s="58" t="s">
        <v>474</v>
      </c>
      <c r="D81" s="58" t="s">
        <v>330</v>
      </c>
      <c r="E81" s="58" t="s">
        <v>475</v>
      </c>
      <c r="F81" s="58" t="s">
        <v>344</v>
      </c>
      <c r="G81" s="58">
        <v>1000</v>
      </c>
      <c r="H81" s="58">
        <v>1000</v>
      </c>
      <c r="I81" s="58">
        <v>0.8</v>
      </c>
      <c r="J81" s="58"/>
      <c r="K81" s="58">
        <v>0.8</v>
      </c>
      <c r="L81" s="11">
        <v>50</v>
      </c>
      <c r="M81" s="3">
        <f t="shared" si="3"/>
        <v>0.04</v>
      </c>
      <c r="N81" s="58" t="s">
        <v>69</v>
      </c>
      <c r="O81" s="58" t="s">
        <v>96</v>
      </c>
      <c r="P81" s="58" t="s">
        <v>82</v>
      </c>
      <c r="Q81" s="58" t="s">
        <v>82</v>
      </c>
      <c r="R81" s="58" t="s">
        <v>201</v>
      </c>
      <c r="S81" s="58" t="s">
        <v>196</v>
      </c>
      <c r="T81" s="59" t="s">
        <v>461</v>
      </c>
    </row>
    <row r="82" spans="1:20" ht="13.5" thickBot="1" x14ac:dyDescent="0.35">
      <c r="A82" s="57">
        <v>46214</v>
      </c>
      <c r="B82" s="58" t="s">
        <v>425</v>
      </c>
      <c r="C82" s="58" t="s">
        <v>476</v>
      </c>
      <c r="D82" s="58" t="s">
        <v>330</v>
      </c>
      <c r="E82" s="58" t="s">
        <v>477</v>
      </c>
      <c r="F82" s="58" t="s">
        <v>344</v>
      </c>
      <c r="G82" s="58">
        <v>500</v>
      </c>
      <c r="H82" s="58">
        <v>500</v>
      </c>
      <c r="I82" s="58">
        <v>0.8</v>
      </c>
      <c r="J82" s="58"/>
      <c r="K82" s="58">
        <v>0.4</v>
      </c>
      <c r="L82" s="11">
        <v>0</v>
      </c>
      <c r="M82" s="3">
        <f t="shared" si="3"/>
        <v>0</v>
      </c>
      <c r="N82" s="58" t="s">
        <v>69</v>
      </c>
      <c r="O82" s="58" t="s">
        <v>96</v>
      </c>
      <c r="P82" s="58" t="s">
        <v>82</v>
      </c>
      <c r="Q82" s="58" t="s">
        <v>82</v>
      </c>
      <c r="R82" s="58" t="s">
        <v>376</v>
      </c>
      <c r="S82" s="58" t="s">
        <v>196</v>
      </c>
      <c r="T82" s="59" t="s">
        <v>461</v>
      </c>
    </row>
    <row r="83" spans="1:20" ht="13.5" thickBot="1" x14ac:dyDescent="0.35">
      <c r="A83" s="57">
        <v>46214</v>
      </c>
      <c r="B83" s="58" t="s">
        <v>425</v>
      </c>
      <c r="C83" s="58" t="s">
        <v>478</v>
      </c>
      <c r="D83" s="58" t="s">
        <v>330</v>
      </c>
      <c r="E83" s="58" t="s">
        <v>479</v>
      </c>
      <c r="F83" s="58" t="s">
        <v>480</v>
      </c>
      <c r="G83" s="58">
        <v>200</v>
      </c>
      <c r="H83" s="58">
        <v>200</v>
      </c>
      <c r="I83" s="58">
        <v>2.12</v>
      </c>
      <c r="J83" s="58"/>
      <c r="K83" s="58">
        <v>0.42</v>
      </c>
      <c r="L83" s="11">
        <f t="shared" si="4"/>
        <v>200</v>
      </c>
      <c r="M83" s="3">
        <f t="shared" si="3"/>
        <v>0.42399999999999999</v>
      </c>
      <c r="N83" s="58" t="s">
        <v>194</v>
      </c>
      <c r="O83" s="58" t="s">
        <v>226</v>
      </c>
      <c r="P83" s="58" t="s">
        <v>82</v>
      </c>
      <c r="Q83" s="58" t="s">
        <v>82</v>
      </c>
      <c r="R83" s="58" t="s">
        <v>62</v>
      </c>
      <c r="S83" s="58" t="s">
        <v>196</v>
      </c>
      <c r="T83" s="59" t="s">
        <v>461</v>
      </c>
    </row>
    <row r="84" spans="1:20" ht="13.5" thickBot="1" x14ac:dyDescent="0.35">
      <c r="A84" s="57">
        <v>46214</v>
      </c>
      <c r="B84" s="58" t="s">
        <v>425</v>
      </c>
      <c r="C84" s="58" t="s">
        <v>481</v>
      </c>
      <c r="D84" s="58" t="s">
        <v>330</v>
      </c>
      <c r="E84" s="58" t="s">
        <v>482</v>
      </c>
      <c r="F84" s="58" t="s">
        <v>483</v>
      </c>
      <c r="G84" s="58">
        <v>300</v>
      </c>
      <c r="H84" s="58">
        <v>300</v>
      </c>
      <c r="I84" s="58">
        <v>1.41</v>
      </c>
      <c r="J84" s="58"/>
      <c r="K84" s="58">
        <v>0.42</v>
      </c>
      <c r="L84" s="11">
        <f t="shared" si="4"/>
        <v>300</v>
      </c>
      <c r="M84" s="3">
        <f t="shared" si="3"/>
        <v>0.42299999999999999</v>
      </c>
      <c r="N84" s="58" t="s">
        <v>59</v>
      </c>
      <c r="O84" s="58" t="s">
        <v>96</v>
      </c>
      <c r="P84" s="58" t="s">
        <v>82</v>
      </c>
      <c r="Q84" s="58" t="s">
        <v>82</v>
      </c>
      <c r="R84" s="58" t="s">
        <v>201</v>
      </c>
      <c r="S84" s="58" t="s">
        <v>196</v>
      </c>
      <c r="T84" s="59" t="s">
        <v>461</v>
      </c>
    </row>
    <row r="85" spans="1:20" ht="13.5" thickBot="1" x14ac:dyDescent="0.35">
      <c r="A85" s="57">
        <v>46214</v>
      </c>
      <c r="B85" s="58" t="s">
        <v>425</v>
      </c>
      <c r="C85" s="58" t="s">
        <v>484</v>
      </c>
      <c r="D85" s="58" t="s">
        <v>330</v>
      </c>
      <c r="E85" s="58" t="s">
        <v>485</v>
      </c>
      <c r="F85" s="58" t="s">
        <v>123</v>
      </c>
      <c r="G85" s="58">
        <v>500</v>
      </c>
      <c r="H85" s="58">
        <v>500</v>
      </c>
      <c r="I85" s="58">
        <v>0.83</v>
      </c>
      <c r="J85" s="58"/>
      <c r="K85" s="58">
        <v>0.42</v>
      </c>
      <c r="L85" s="11">
        <v>0</v>
      </c>
      <c r="M85" s="3">
        <f t="shared" si="3"/>
        <v>0</v>
      </c>
      <c r="N85" s="58" t="s">
        <v>69</v>
      </c>
      <c r="O85" s="58" t="s">
        <v>96</v>
      </c>
      <c r="P85" s="58" t="s">
        <v>82</v>
      </c>
      <c r="Q85" s="58" t="s">
        <v>82</v>
      </c>
      <c r="R85" s="58" t="s">
        <v>339</v>
      </c>
      <c r="S85" s="58" t="s">
        <v>196</v>
      </c>
      <c r="T85" s="59" t="s">
        <v>461</v>
      </c>
    </row>
    <row r="86" spans="1:20" ht="13.5" thickBot="1" x14ac:dyDescent="0.35">
      <c r="A86" s="57">
        <v>46214</v>
      </c>
      <c r="B86" s="58" t="s">
        <v>425</v>
      </c>
      <c r="C86" s="58" t="s">
        <v>486</v>
      </c>
      <c r="D86" s="58" t="s">
        <v>330</v>
      </c>
      <c r="E86" s="58" t="s">
        <v>487</v>
      </c>
      <c r="F86" s="58" t="s">
        <v>114</v>
      </c>
      <c r="G86" s="58">
        <v>1560</v>
      </c>
      <c r="H86" s="58">
        <v>1560</v>
      </c>
      <c r="I86" s="58">
        <v>2.21</v>
      </c>
      <c r="J86" s="58"/>
      <c r="K86" s="58">
        <v>3.45</v>
      </c>
      <c r="L86" s="11">
        <v>1050</v>
      </c>
      <c r="M86" s="3">
        <f t="shared" si="3"/>
        <v>2.3205</v>
      </c>
      <c r="N86" s="58" t="s">
        <v>59</v>
      </c>
      <c r="O86" s="58" t="s">
        <v>96</v>
      </c>
      <c r="P86" s="58" t="s">
        <v>82</v>
      </c>
      <c r="Q86" s="58" t="s">
        <v>82</v>
      </c>
      <c r="R86" s="58" t="s">
        <v>62</v>
      </c>
      <c r="S86" s="58" t="s">
        <v>196</v>
      </c>
      <c r="T86" s="59" t="s">
        <v>461</v>
      </c>
    </row>
    <row r="87" spans="1:20" ht="13.5" thickBot="1" x14ac:dyDescent="0.35">
      <c r="A87" s="57">
        <v>46214</v>
      </c>
      <c r="B87" s="58" t="s">
        <v>425</v>
      </c>
      <c r="C87" s="58" t="s">
        <v>488</v>
      </c>
      <c r="D87" s="58" t="s">
        <v>330</v>
      </c>
      <c r="E87" s="58" t="s">
        <v>489</v>
      </c>
      <c r="F87" s="58" t="s">
        <v>344</v>
      </c>
      <c r="G87" s="58">
        <v>500</v>
      </c>
      <c r="H87" s="58">
        <v>500</v>
      </c>
      <c r="I87" s="58">
        <v>0.77</v>
      </c>
      <c r="J87" s="58"/>
      <c r="K87" s="58">
        <v>0.39</v>
      </c>
      <c r="L87" s="11">
        <f>H87-200-250-50</f>
        <v>0</v>
      </c>
      <c r="M87" s="3">
        <f t="shared" si="3"/>
        <v>0</v>
      </c>
      <c r="N87" s="58" t="s">
        <v>69</v>
      </c>
      <c r="O87" s="58" t="s">
        <v>96</v>
      </c>
      <c r="P87" s="58" t="s">
        <v>82</v>
      </c>
      <c r="Q87" s="58" t="s">
        <v>82</v>
      </c>
      <c r="R87" s="58" t="s">
        <v>352</v>
      </c>
      <c r="S87" s="58" t="s">
        <v>196</v>
      </c>
      <c r="T87" s="59" t="s">
        <v>461</v>
      </c>
    </row>
    <row r="88" spans="1:20" ht="13.5" thickBot="1" x14ac:dyDescent="0.35">
      <c r="A88" s="57">
        <v>46214</v>
      </c>
      <c r="B88" s="58" t="s">
        <v>425</v>
      </c>
      <c r="C88" s="58" t="s">
        <v>490</v>
      </c>
      <c r="D88" s="58" t="s">
        <v>330</v>
      </c>
      <c r="E88" s="58" t="s">
        <v>491</v>
      </c>
      <c r="F88" s="58" t="s">
        <v>332</v>
      </c>
      <c r="G88" s="58">
        <v>600</v>
      </c>
      <c r="H88" s="58">
        <v>600</v>
      </c>
      <c r="I88" s="58">
        <v>1.98</v>
      </c>
      <c r="J88" s="58"/>
      <c r="K88" s="58">
        <v>1.19</v>
      </c>
      <c r="L88" s="11">
        <f t="shared" ref="L88:L100" si="5">H88</f>
        <v>600</v>
      </c>
      <c r="M88" s="3">
        <f t="shared" si="3"/>
        <v>1.1879999999999999</v>
      </c>
      <c r="N88" s="58" t="s">
        <v>194</v>
      </c>
      <c r="O88" s="58" t="s">
        <v>226</v>
      </c>
      <c r="P88" s="58" t="s">
        <v>82</v>
      </c>
      <c r="Q88" s="58" t="s">
        <v>82</v>
      </c>
      <c r="R88" s="58" t="s">
        <v>62</v>
      </c>
      <c r="S88" s="58" t="s">
        <v>196</v>
      </c>
      <c r="T88" s="59" t="s">
        <v>461</v>
      </c>
    </row>
    <row r="89" spans="1:20" ht="13.5" thickBot="1" x14ac:dyDescent="0.35">
      <c r="A89" s="57">
        <v>46214</v>
      </c>
      <c r="B89" s="58" t="s">
        <v>425</v>
      </c>
      <c r="C89" s="58" t="s">
        <v>492</v>
      </c>
      <c r="D89" s="58" t="s">
        <v>330</v>
      </c>
      <c r="E89" s="58" t="s">
        <v>493</v>
      </c>
      <c r="F89" s="58" t="s">
        <v>494</v>
      </c>
      <c r="G89" s="58">
        <v>200</v>
      </c>
      <c r="H89" s="58">
        <v>200</v>
      </c>
      <c r="I89" s="58">
        <v>4.13</v>
      </c>
      <c r="J89" s="58"/>
      <c r="K89" s="58">
        <v>0.83</v>
      </c>
      <c r="L89" s="11">
        <f>H89-50-150</f>
        <v>0</v>
      </c>
      <c r="M89" s="3">
        <f t="shared" si="3"/>
        <v>0</v>
      </c>
      <c r="N89" s="58" t="s">
        <v>495</v>
      </c>
      <c r="O89" s="58" t="s">
        <v>274</v>
      </c>
      <c r="P89" s="58" t="s">
        <v>82</v>
      </c>
      <c r="Q89" s="58" t="s">
        <v>82</v>
      </c>
      <c r="R89" s="58" t="s">
        <v>201</v>
      </c>
      <c r="S89" s="58" t="s">
        <v>196</v>
      </c>
      <c r="T89" s="59" t="s">
        <v>461</v>
      </c>
    </row>
    <row r="90" spans="1:20" ht="13.5" thickBot="1" x14ac:dyDescent="0.35">
      <c r="A90" s="57">
        <v>46214</v>
      </c>
      <c r="B90" s="58" t="s">
        <v>425</v>
      </c>
      <c r="C90" s="58" t="s">
        <v>496</v>
      </c>
      <c r="D90" s="58" t="s">
        <v>330</v>
      </c>
      <c r="E90" s="58" t="s">
        <v>497</v>
      </c>
      <c r="F90" s="58" t="s">
        <v>498</v>
      </c>
      <c r="G90" s="58">
        <v>300</v>
      </c>
      <c r="H90" s="58">
        <v>300</v>
      </c>
      <c r="I90" s="58">
        <v>2.72</v>
      </c>
      <c r="J90" s="58"/>
      <c r="K90" s="58">
        <v>0.82</v>
      </c>
      <c r="L90" s="11">
        <f t="shared" si="5"/>
        <v>300</v>
      </c>
      <c r="M90" s="3">
        <f t="shared" si="3"/>
        <v>0.81600000000000006</v>
      </c>
      <c r="N90" s="58" t="s">
        <v>273</v>
      </c>
      <c r="O90" s="58" t="s">
        <v>274</v>
      </c>
      <c r="P90" s="58" t="s">
        <v>82</v>
      </c>
      <c r="Q90" s="58" t="s">
        <v>82</v>
      </c>
      <c r="R90" s="58" t="s">
        <v>62</v>
      </c>
      <c r="S90" s="58" t="s">
        <v>196</v>
      </c>
      <c r="T90" s="59" t="s">
        <v>461</v>
      </c>
    </row>
    <row r="91" spans="1:20" ht="13.5" thickBot="1" x14ac:dyDescent="0.35">
      <c r="A91" s="60">
        <v>46214</v>
      </c>
      <c r="B91" s="61" t="s">
        <v>425</v>
      </c>
      <c r="C91" s="61" t="s">
        <v>499</v>
      </c>
      <c r="D91" s="61" t="s">
        <v>330</v>
      </c>
      <c r="E91" s="61" t="s">
        <v>500</v>
      </c>
      <c r="F91" s="61" t="s">
        <v>400</v>
      </c>
      <c r="G91" s="61">
        <v>1800</v>
      </c>
      <c r="H91" s="61">
        <v>1800</v>
      </c>
      <c r="I91" s="61">
        <v>0.74</v>
      </c>
      <c r="J91" s="61"/>
      <c r="K91" s="61">
        <v>1.33</v>
      </c>
      <c r="L91" s="11">
        <f>H91-450-1200</f>
        <v>150</v>
      </c>
      <c r="M91" s="3">
        <f t="shared" si="3"/>
        <v>0.111</v>
      </c>
      <c r="N91" s="61" t="s">
        <v>69</v>
      </c>
      <c r="O91" s="61" t="s">
        <v>96</v>
      </c>
      <c r="P91" s="61" t="s">
        <v>82</v>
      </c>
      <c r="Q91" s="61" t="s">
        <v>82</v>
      </c>
      <c r="R91" s="61" t="s">
        <v>201</v>
      </c>
      <c r="S91" s="61" t="s">
        <v>196</v>
      </c>
      <c r="T91" s="62" t="s">
        <v>461</v>
      </c>
    </row>
    <row r="92" spans="1:20" ht="14" thickTop="1" thickBot="1" x14ac:dyDescent="0.35">
      <c r="A92" s="16">
        <v>46221</v>
      </c>
      <c r="B92" s="17" t="s">
        <v>506</v>
      </c>
      <c r="C92" s="17" t="s">
        <v>507</v>
      </c>
      <c r="D92" s="17" t="s">
        <v>162</v>
      </c>
      <c r="E92" s="17" t="s">
        <v>508</v>
      </c>
      <c r="F92" s="17" t="s">
        <v>163</v>
      </c>
      <c r="G92" s="17">
        <v>250</v>
      </c>
      <c r="H92" s="17">
        <v>250</v>
      </c>
      <c r="I92" s="17">
        <v>2.2799999999999998</v>
      </c>
      <c r="J92" s="17"/>
      <c r="K92" s="17">
        <v>0.56999999999999995</v>
      </c>
      <c r="L92" s="11">
        <f>H92-100-150</f>
        <v>0</v>
      </c>
      <c r="M92" s="3">
        <f t="shared" si="3"/>
        <v>0</v>
      </c>
      <c r="N92" s="17" t="s">
        <v>421</v>
      </c>
      <c r="O92" s="17" t="s">
        <v>96</v>
      </c>
      <c r="P92" s="17" t="s">
        <v>60</v>
      </c>
      <c r="Q92" s="17" t="s">
        <v>196</v>
      </c>
      <c r="R92" s="17" t="s">
        <v>62</v>
      </c>
      <c r="S92" s="17" t="s">
        <v>196</v>
      </c>
      <c r="T92" s="18" t="s">
        <v>164</v>
      </c>
    </row>
    <row r="93" spans="1:20" ht="14" thickTop="1" thickBot="1" x14ac:dyDescent="0.35">
      <c r="A93" s="45">
        <v>46227</v>
      </c>
      <c r="B93" s="46" t="s">
        <v>333</v>
      </c>
      <c r="C93" s="46" t="s">
        <v>512</v>
      </c>
      <c r="D93" s="46" t="s">
        <v>330</v>
      </c>
      <c r="E93" s="46" t="s">
        <v>513</v>
      </c>
      <c r="F93" s="46" t="s">
        <v>344</v>
      </c>
      <c r="G93" s="46">
        <v>1000</v>
      </c>
      <c r="H93" s="46">
        <v>1000</v>
      </c>
      <c r="I93" s="46">
        <v>0.8</v>
      </c>
      <c r="J93" s="46"/>
      <c r="K93" s="46">
        <v>0.8</v>
      </c>
      <c r="L93" s="11">
        <f>H93-450-550</f>
        <v>0</v>
      </c>
      <c r="M93" s="3">
        <f t="shared" si="3"/>
        <v>0</v>
      </c>
      <c r="N93" s="46" t="s">
        <v>69</v>
      </c>
      <c r="O93" s="46" t="s">
        <v>96</v>
      </c>
      <c r="P93" s="46" t="s">
        <v>82</v>
      </c>
      <c r="Q93" s="46" t="s">
        <v>82</v>
      </c>
      <c r="R93" s="46" t="s">
        <v>514</v>
      </c>
      <c r="S93" s="46" t="s">
        <v>196</v>
      </c>
      <c r="T93" s="47" t="s">
        <v>515</v>
      </c>
    </row>
    <row r="94" spans="1:20" ht="13.5" thickBot="1" x14ac:dyDescent="0.35">
      <c r="A94" s="45">
        <v>46227</v>
      </c>
      <c r="B94" s="46" t="s">
        <v>333</v>
      </c>
      <c r="C94" s="46" t="s">
        <v>516</v>
      </c>
      <c r="D94" s="46" t="s">
        <v>330</v>
      </c>
      <c r="E94" s="46" t="s">
        <v>517</v>
      </c>
      <c r="F94" s="46" t="s">
        <v>123</v>
      </c>
      <c r="G94" s="46">
        <v>1500</v>
      </c>
      <c r="H94" s="46">
        <v>1500</v>
      </c>
      <c r="I94" s="46">
        <v>0.81</v>
      </c>
      <c r="J94" s="46"/>
      <c r="K94" s="46">
        <v>1.22</v>
      </c>
      <c r="L94" s="11">
        <f>H94-1450</f>
        <v>50</v>
      </c>
      <c r="M94" s="3">
        <f t="shared" si="3"/>
        <v>4.0500000000000001E-2</v>
      </c>
      <c r="N94" s="46" t="s">
        <v>69</v>
      </c>
      <c r="O94" s="46" t="s">
        <v>96</v>
      </c>
      <c r="P94" s="46" t="s">
        <v>82</v>
      </c>
      <c r="Q94" s="46" t="s">
        <v>82</v>
      </c>
      <c r="R94" s="46" t="s">
        <v>339</v>
      </c>
      <c r="S94" s="46" t="s">
        <v>196</v>
      </c>
      <c r="T94" s="47" t="s">
        <v>515</v>
      </c>
    </row>
    <row r="95" spans="1:20" ht="13.5" thickBot="1" x14ac:dyDescent="0.35">
      <c r="A95" s="45">
        <v>46227</v>
      </c>
      <c r="B95" s="46" t="s">
        <v>333</v>
      </c>
      <c r="C95" s="46" t="s">
        <v>518</v>
      </c>
      <c r="D95" s="46" t="s">
        <v>330</v>
      </c>
      <c r="E95" s="46" t="s">
        <v>519</v>
      </c>
      <c r="F95" s="46" t="s">
        <v>520</v>
      </c>
      <c r="G95" s="46">
        <v>200</v>
      </c>
      <c r="H95" s="46">
        <v>200</v>
      </c>
      <c r="I95" s="46">
        <v>1.96</v>
      </c>
      <c r="J95" s="46"/>
      <c r="K95" s="46">
        <v>0.39</v>
      </c>
      <c r="L95" s="11">
        <f t="shared" si="5"/>
        <v>200</v>
      </c>
      <c r="M95" s="3">
        <f t="shared" si="3"/>
        <v>0.39200000000000002</v>
      </c>
      <c r="N95" s="46" t="s">
        <v>69</v>
      </c>
      <c r="O95" s="46" t="s">
        <v>96</v>
      </c>
      <c r="P95" s="46" t="s">
        <v>82</v>
      </c>
      <c r="Q95" s="46" t="s">
        <v>82</v>
      </c>
      <c r="R95" s="46" t="s">
        <v>62</v>
      </c>
      <c r="S95" s="46" t="s">
        <v>196</v>
      </c>
      <c r="T95" s="47" t="s">
        <v>515</v>
      </c>
    </row>
    <row r="96" spans="1:20" ht="13.5" thickBot="1" x14ac:dyDescent="0.35">
      <c r="A96" s="45">
        <v>46227</v>
      </c>
      <c r="B96" s="46" t="s">
        <v>333</v>
      </c>
      <c r="C96" s="46" t="s">
        <v>521</v>
      </c>
      <c r="D96" s="46" t="s">
        <v>330</v>
      </c>
      <c r="E96" s="46" t="s">
        <v>522</v>
      </c>
      <c r="F96" s="46" t="s">
        <v>262</v>
      </c>
      <c r="G96" s="46">
        <v>600</v>
      </c>
      <c r="H96" s="46">
        <v>600</v>
      </c>
      <c r="I96" s="46">
        <v>0.68</v>
      </c>
      <c r="J96" s="46"/>
      <c r="K96" s="46">
        <v>0.41</v>
      </c>
      <c r="L96" s="11">
        <f t="shared" si="5"/>
        <v>600</v>
      </c>
      <c r="M96" s="3">
        <f t="shared" si="3"/>
        <v>0.40800000000000003</v>
      </c>
      <c r="N96" s="46" t="s">
        <v>69</v>
      </c>
      <c r="O96" s="46" t="s">
        <v>96</v>
      </c>
      <c r="P96" s="46" t="s">
        <v>82</v>
      </c>
      <c r="Q96" s="46" t="s">
        <v>82</v>
      </c>
      <c r="R96" s="46" t="s">
        <v>201</v>
      </c>
      <c r="S96" s="46" t="s">
        <v>196</v>
      </c>
      <c r="T96" s="47" t="s">
        <v>515</v>
      </c>
    </row>
    <row r="97" spans="1:20" ht="13.5" thickBot="1" x14ac:dyDescent="0.35">
      <c r="A97" s="45">
        <v>46227</v>
      </c>
      <c r="B97" s="46" t="s">
        <v>333</v>
      </c>
      <c r="C97" s="46" t="s">
        <v>523</v>
      </c>
      <c r="D97" s="46" t="s">
        <v>330</v>
      </c>
      <c r="E97" s="46" t="s">
        <v>524</v>
      </c>
      <c r="F97" s="46" t="s">
        <v>262</v>
      </c>
      <c r="G97" s="46">
        <v>600</v>
      </c>
      <c r="H97" s="46">
        <v>600</v>
      </c>
      <c r="I97" s="46">
        <v>0.7</v>
      </c>
      <c r="J97" s="46"/>
      <c r="K97" s="46">
        <v>0.42</v>
      </c>
      <c r="L97" s="11">
        <f t="shared" si="5"/>
        <v>600</v>
      </c>
      <c r="M97" s="3">
        <f t="shared" si="3"/>
        <v>0.42</v>
      </c>
      <c r="N97" s="46" t="s">
        <v>69</v>
      </c>
      <c r="O97" s="46" t="s">
        <v>96</v>
      </c>
      <c r="P97" s="46" t="s">
        <v>82</v>
      </c>
      <c r="Q97" s="46" t="s">
        <v>82</v>
      </c>
      <c r="R97" s="46" t="s">
        <v>352</v>
      </c>
      <c r="S97" s="46" t="s">
        <v>196</v>
      </c>
      <c r="T97" s="47" t="s">
        <v>515</v>
      </c>
    </row>
    <row r="98" spans="1:20" ht="13.5" thickBot="1" x14ac:dyDescent="0.35">
      <c r="A98" s="45">
        <v>46227</v>
      </c>
      <c r="B98" s="46" t="s">
        <v>333</v>
      </c>
      <c r="C98" s="46" t="s">
        <v>525</v>
      </c>
      <c r="D98" s="46" t="s">
        <v>330</v>
      </c>
      <c r="E98" s="46" t="s">
        <v>526</v>
      </c>
      <c r="F98" s="46" t="s">
        <v>347</v>
      </c>
      <c r="G98" s="46">
        <v>1200</v>
      </c>
      <c r="H98" s="46">
        <v>1200</v>
      </c>
      <c r="I98" s="46">
        <v>0.75</v>
      </c>
      <c r="J98" s="46"/>
      <c r="K98" s="46">
        <v>0.9</v>
      </c>
      <c r="L98" s="11">
        <f t="shared" si="5"/>
        <v>1200</v>
      </c>
      <c r="M98" s="3">
        <f t="shared" si="3"/>
        <v>0.9</v>
      </c>
      <c r="N98" s="46" t="s">
        <v>69</v>
      </c>
      <c r="O98" s="46" t="s">
        <v>96</v>
      </c>
      <c r="P98" s="46" t="s">
        <v>82</v>
      </c>
      <c r="Q98" s="46" t="s">
        <v>82</v>
      </c>
      <c r="R98" s="46" t="s">
        <v>195</v>
      </c>
      <c r="S98" s="46" t="s">
        <v>196</v>
      </c>
      <c r="T98" s="47" t="s">
        <v>515</v>
      </c>
    </row>
    <row r="99" spans="1:20" ht="13.5" thickBot="1" x14ac:dyDescent="0.35">
      <c r="A99" s="45">
        <v>46227</v>
      </c>
      <c r="B99" s="46" t="s">
        <v>333</v>
      </c>
      <c r="C99" s="46" t="s">
        <v>527</v>
      </c>
      <c r="D99" s="46" t="s">
        <v>330</v>
      </c>
      <c r="E99" s="46" t="s">
        <v>528</v>
      </c>
      <c r="F99" s="46" t="s">
        <v>344</v>
      </c>
      <c r="G99" s="46">
        <v>2000</v>
      </c>
      <c r="H99" s="46">
        <v>2000</v>
      </c>
      <c r="I99" s="46">
        <v>0.77</v>
      </c>
      <c r="J99" s="46"/>
      <c r="K99" s="46">
        <v>1.54</v>
      </c>
      <c r="L99" s="11">
        <f t="shared" si="5"/>
        <v>2000</v>
      </c>
      <c r="M99" s="3">
        <f t="shared" si="3"/>
        <v>1.54</v>
      </c>
      <c r="N99" s="46" t="s">
        <v>69</v>
      </c>
      <c r="O99" s="46" t="s">
        <v>96</v>
      </c>
      <c r="P99" s="46" t="s">
        <v>82</v>
      </c>
      <c r="Q99" s="46" t="s">
        <v>82</v>
      </c>
      <c r="R99" s="46" t="s">
        <v>339</v>
      </c>
      <c r="S99" s="46" t="s">
        <v>196</v>
      </c>
      <c r="T99" s="47" t="s">
        <v>515</v>
      </c>
    </row>
    <row r="100" spans="1:20" ht="13.5" thickBot="1" x14ac:dyDescent="0.35">
      <c r="A100" s="45">
        <v>46227</v>
      </c>
      <c r="B100" s="46" t="s">
        <v>333</v>
      </c>
      <c r="C100" s="46" t="s">
        <v>529</v>
      </c>
      <c r="D100" s="46" t="s">
        <v>330</v>
      </c>
      <c r="E100" s="46" t="s">
        <v>530</v>
      </c>
      <c r="F100" s="46" t="s">
        <v>344</v>
      </c>
      <c r="G100" s="46">
        <v>500</v>
      </c>
      <c r="H100" s="46">
        <v>500</v>
      </c>
      <c r="I100" s="46">
        <v>0.77</v>
      </c>
      <c r="J100" s="46"/>
      <c r="K100" s="46">
        <v>0.39</v>
      </c>
      <c r="L100" s="11">
        <f t="shared" si="5"/>
        <v>500</v>
      </c>
      <c r="M100" s="3">
        <f t="shared" si="3"/>
        <v>0.38500000000000001</v>
      </c>
      <c r="N100" s="46" t="s">
        <v>69</v>
      </c>
      <c r="O100" s="46" t="s">
        <v>96</v>
      </c>
      <c r="P100" s="46" t="s">
        <v>82</v>
      </c>
      <c r="Q100" s="46" t="s">
        <v>82</v>
      </c>
      <c r="R100" s="46" t="s">
        <v>531</v>
      </c>
      <c r="S100" s="46" t="s">
        <v>196</v>
      </c>
      <c r="T100" s="47" t="s">
        <v>515</v>
      </c>
    </row>
    <row r="101" spans="1:20" ht="13.5" thickBot="1" x14ac:dyDescent="0.35">
      <c r="A101" s="45">
        <v>46227</v>
      </c>
      <c r="B101" s="46" t="s">
        <v>333</v>
      </c>
      <c r="C101" s="46" t="s">
        <v>532</v>
      </c>
      <c r="D101" s="46" t="s">
        <v>330</v>
      </c>
      <c r="E101" s="46" t="s">
        <v>533</v>
      </c>
      <c r="F101" s="46" t="s">
        <v>127</v>
      </c>
      <c r="G101" s="46">
        <v>245</v>
      </c>
      <c r="H101" s="46">
        <v>245</v>
      </c>
      <c r="I101" s="46">
        <v>1.74</v>
      </c>
      <c r="J101" s="46"/>
      <c r="K101" s="46">
        <v>0.43</v>
      </c>
      <c r="L101" s="11">
        <v>0</v>
      </c>
      <c r="M101" s="3">
        <f t="shared" ref="M101:M132" si="6">(L101*I101)/1000</f>
        <v>0</v>
      </c>
      <c r="N101" s="46" t="s">
        <v>59</v>
      </c>
      <c r="O101" s="46" t="s">
        <v>96</v>
      </c>
      <c r="P101" s="46" t="s">
        <v>82</v>
      </c>
      <c r="Q101" s="46" t="s">
        <v>82</v>
      </c>
      <c r="R101" s="46" t="s">
        <v>62</v>
      </c>
      <c r="S101" s="46" t="s">
        <v>196</v>
      </c>
      <c r="T101" s="47" t="s">
        <v>515</v>
      </c>
    </row>
    <row r="102" spans="1:20" ht="13.5" thickBot="1" x14ac:dyDescent="0.35">
      <c r="A102" s="45">
        <v>46227</v>
      </c>
      <c r="B102" s="46" t="s">
        <v>333</v>
      </c>
      <c r="C102" s="46" t="s">
        <v>534</v>
      </c>
      <c r="D102" s="46" t="s">
        <v>330</v>
      </c>
      <c r="E102" s="46" t="s">
        <v>535</v>
      </c>
      <c r="F102" s="46" t="s">
        <v>332</v>
      </c>
      <c r="G102" s="46">
        <v>235</v>
      </c>
      <c r="H102" s="46">
        <v>235</v>
      </c>
      <c r="I102" s="46">
        <v>1.84</v>
      </c>
      <c r="J102" s="46"/>
      <c r="K102" s="46">
        <v>0.43</v>
      </c>
      <c r="L102" s="11">
        <v>0</v>
      </c>
      <c r="M102" s="3">
        <f t="shared" si="6"/>
        <v>0</v>
      </c>
      <c r="N102" s="46" t="s">
        <v>59</v>
      </c>
      <c r="O102" s="46" t="s">
        <v>96</v>
      </c>
      <c r="P102" s="46" t="s">
        <v>82</v>
      </c>
      <c r="Q102" s="46" t="s">
        <v>82</v>
      </c>
      <c r="R102" s="46" t="s">
        <v>62</v>
      </c>
      <c r="S102" s="46" t="s">
        <v>196</v>
      </c>
      <c r="T102" s="47" t="s">
        <v>515</v>
      </c>
    </row>
    <row r="103" spans="1:20" ht="13.5" thickBot="1" x14ac:dyDescent="0.35">
      <c r="A103" s="45">
        <v>46227</v>
      </c>
      <c r="B103" s="46" t="s">
        <v>333</v>
      </c>
      <c r="C103" s="46" t="s">
        <v>536</v>
      </c>
      <c r="D103" s="46" t="s">
        <v>330</v>
      </c>
      <c r="E103" s="46" t="s">
        <v>537</v>
      </c>
      <c r="F103" s="46" t="s">
        <v>116</v>
      </c>
      <c r="G103" s="46">
        <v>840</v>
      </c>
      <c r="H103" s="46">
        <v>840</v>
      </c>
      <c r="I103" s="46">
        <v>2.0099999999999998</v>
      </c>
      <c r="J103" s="46"/>
      <c r="K103" s="46">
        <v>1.69</v>
      </c>
      <c r="L103" s="11">
        <v>0</v>
      </c>
      <c r="M103" s="3">
        <f t="shared" si="6"/>
        <v>0</v>
      </c>
      <c r="N103" s="46" t="s">
        <v>59</v>
      </c>
      <c r="O103" s="46" t="s">
        <v>96</v>
      </c>
      <c r="P103" s="46" t="s">
        <v>82</v>
      </c>
      <c r="Q103" s="46" t="s">
        <v>82</v>
      </c>
      <c r="R103" s="46" t="s">
        <v>62</v>
      </c>
      <c r="S103" s="46" t="s">
        <v>196</v>
      </c>
      <c r="T103" s="47" t="s">
        <v>515</v>
      </c>
    </row>
    <row r="104" spans="1:20" ht="13.5" thickBot="1" x14ac:dyDescent="0.35">
      <c r="A104" s="45">
        <v>46227</v>
      </c>
      <c r="B104" s="46" t="s">
        <v>333</v>
      </c>
      <c r="C104" s="46" t="s">
        <v>538</v>
      </c>
      <c r="D104" s="46" t="s">
        <v>330</v>
      </c>
      <c r="E104" s="46" t="s">
        <v>539</v>
      </c>
      <c r="F104" s="46" t="s">
        <v>540</v>
      </c>
      <c r="G104" s="46">
        <v>750</v>
      </c>
      <c r="H104" s="46">
        <v>750</v>
      </c>
      <c r="I104" s="46">
        <v>2.63</v>
      </c>
      <c r="J104" s="46"/>
      <c r="K104" s="46">
        <v>1.97</v>
      </c>
      <c r="L104" s="11">
        <f>H104</f>
        <v>750</v>
      </c>
      <c r="M104" s="3">
        <f t="shared" si="6"/>
        <v>1.9724999999999999</v>
      </c>
      <c r="N104" s="46" t="s">
        <v>69</v>
      </c>
      <c r="O104" s="46" t="s">
        <v>96</v>
      </c>
      <c r="P104" s="46" t="s">
        <v>82</v>
      </c>
      <c r="Q104" s="46" t="s">
        <v>82</v>
      </c>
      <c r="R104" s="46" t="s">
        <v>62</v>
      </c>
      <c r="S104" s="46" t="s">
        <v>196</v>
      </c>
      <c r="T104" s="47" t="s">
        <v>515</v>
      </c>
    </row>
    <row r="105" spans="1:20" ht="13.5" thickBot="1" x14ac:dyDescent="0.35">
      <c r="A105" s="45">
        <v>46227</v>
      </c>
      <c r="B105" s="46" t="s">
        <v>333</v>
      </c>
      <c r="C105" s="46" t="s">
        <v>541</v>
      </c>
      <c r="D105" s="46" t="s">
        <v>330</v>
      </c>
      <c r="E105" s="46" t="s">
        <v>542</v>
      </c>
      <c r="F105" s="46" t="s">
        <v>543</v>
      </c>
      <c r="G105" s="46">
        <v>2000</v>
      </c>
      <c r="H105" s="46">
        <v>2000</v>
      </c>
      <c r="I105" s="46">
        <v>1.72</v>
      </c>
      <c r="J105" s="46"/>
      <c r="K105" s="46">
        <v>3.44</v>
      </c>
      <c r="L105" s="11">
        <f>H105</f>
        <v>2000</v>
      </c>
      <c r="M105" s="3">
        <f t="shared" si="6"/>
        <v>3.44</v>
      </c>
      <c r="N105" s="46" t="s">
        <v>59</v>
      </c>
      <c r="O105" s="46" t="s">
        <v>96</v>
      </c>
      <c r="P105" s="46" t="s">
        <v>82</v>
      </c>
      <c r="Q105" s="46" t="s">
        <v>82</v>
      </c>
      <c r="R105" s="46" t="s">
        <v>62</v>
      </c>
      <c r="S105" s="46" t="s">
        <v>196</v>
      </c>
      <c r="T105" s="47" t="s">
        <v>515</v>
      </c>
    </row>
    <row r="106" spans="1:20" ht="13.5" thickBot="1" x14ac:dyDescent="0.35">
      <c r="A106" s="45">
        <v>46227</v>
      </c>
      <c r="B106" s="46" t="s">
        <v>333</v>
      </c>
      <c r="C106" s="46" t="s">
        <v>544</v>
      </c>
      <c r="D106" s="46" t="s">
        <v>330</v>
      </c>
      <c r="E106" s="46" t="s">
        <v>545</v>
      </c>
      <c r="F106" s="46" t="s">
        <v>118</v>
      </c>
      <c r="G106" s="46">
        <v>1000</v>
      </c>
      <c r="H106" s="46">
        <v>1000</v>
      </c>
      <c r="I106" s="46">
        <v>0.87</v>
      </c>
      <c r="J106" s="46"/>
      <c r="K106" s="46">
        <v>0.87</v>
      </c>
      <c r="L106" s="11">
        <f>H106-100-850</f>
        <v>50</v>
      </c>
      <c r="M106" s="3">
        <f t="shared" si="6"/>
        <v>4.3499999999999997E-2</v>
      </c>
      <c r="N106" s="46" t="s">
        <v>69</v>
      </c>
      <c r="O106" s="46" t="s">
        <v>96</v>
      </c>
      <c r="P106" s="46" t="s">
        <v>82</v>
      </c>
      <c r="Q106" s="46" t="s">
        <v>82</v>
      </c>
      <c r="R106" s="46" t="s">
        <v>376</v>
      </c>
      <c r="S106" s="46" t="s">
        <v>196</v>
      </c>
      <c r="T106" s="47" t="s">
        <v>515</v>
      </c>
    </row>
    <row r="107" spans="1:20" ht="13.5" thickBot="1" x14ac:dyDescent="0.35">
      <c r="A107" s="45">
        <v>46227</v>
      </c>
      <c r="B107" s="46" t="s">
        <v>333</v>
      </c>
      <c r="C107" s="46" t="s">
        <v>546</v>
      </c>
      <c r="D107" s="46" t="s">
        <v>330</v>
      </c>
      <c r="E107" s="46" t="s">
        <v>547</v>
      </c>
      <c r="F107" s="46" t="s">
        <v>116</v>
      </c>
      <c r="G107" s="46">
        <v>300</v>
      </c>
      <c r="H107" s="46">
        <v>300</v>
      </c>
      <c r="I107" s="46">
        <v>1.46</v>
      </c>
      <c r="J107" s="46"/>
      <c r="K107" s="46">
        <v>0.44</v>
      </c>
      <c r="L107" s="11">
        <v>0</v>
      </c>
      <c r="M107" s="3">
        <f t="shared" si="6"/>
        <v>0</v>
      </c>
      <c r="N107" s="46" t="s">
        <v>59</v>
      </c>
      <c r="O107" s="46" t="s">
        <v>96</v>
      </c>
      <c r="P107" s="46" t="s">
        <v>82</v>
      </c>
      <c r="Q107" s="46" t="s">
        <v>82</v>
      </c>
      <c r="R107" s="46" t="s">
        <v>62</v>
      </c>
      <c r="S107" s="46" t="s">
        <v>196</v>
      </c>
      <c r="T107" s="47" t="s">
        <v>515</v>
      </c>
    </row>
    <row r="108" spans="1:20" ht="13.5" thickBot="1" x14ac:dyDescent="0.35">
      <c r="A108" s="45">
        <v>46227</v>
      </c>
      <c r="B108" s="46" t="s">
        <v>333</v>
      </c>
      <c r="C108" s="46" t="s">
        <v>548</v>
      </c>
      <c r="D108" s="46" t="s">
        <v>330</v>
      </c>
      <c r="E108" s="46" t="s">
        <v>549</v>
      </c>
      <c r="F108" s="46" t="s">
        <v>550</v>
      </c>
      <c r="G108" s="46">
        <v>1125</v>
      </c>
      <c r="H108" s="46">
        <v>1125</v>
      </c>
      <c r="I108" s="46">
        <v>1.92</v>
      </c>
      <c r="J108" s="46"/>
      <c r="K108" s="46">
        <v>2.16</v>
      </c>
      <c r="L108" s="11">
        <v>0</v>
      </c>
      <c r="M108" s="3">
        <f t="shared" si="6"/>
        <v>0</v>
      </c>
      <c r="N108" s="46" t="s">
        <v>59</v>
      </c>
      <c r="O108" s="46" t="s">
        <v>96</v>
      </c>
      <c r="P108" s="46" t="s">
        <v>82</v>
      </c>
      <c r="Q108" s="46" t="s">
        <v>82</v>
      </c>
      <c r="R108" s="46" t="s">
        <v>62</v>
      </c>
      <c r="S108" s="46" t="s">
        <v>196</v>
      </c>
      <c r="T108" s="47" t="s">
        <v>515</v>
      </c>
    </row>
    <row r="109" spans="1:20" ht="13.5" thickBot="1" x14ac:dyDescent="0.35">
      <c r="A109" s="45">
        <v>46227</v>
      </c>
      <c r="B109" s="46" t="s">
        <v>333</v>
      </c>
      <c r="C109" s="46" t="s">
        <v>551</v>
      </c>
      <c r="D109" s="46" t="s">
        <v>330</v>
      </c>
      <c r="E109" s="46" t="s">
        <v>552</v>
      </c>
      <c r="F109" s="46" t="s">
        <v>123</v>
      </c>
      <c r="G109" s="46">
        <v>1500</v>
      </c>
      <c r="H109" s="46">
        <v>1500</v>
      </c>
      <c r="I109" s="46">
        <v>0.8</v>
      </c>
      <c r="J109" s="46"/>
      <c r="K109" s="46">
        <v>1.2</v>
      </c>
      <c r="L109" s="11">
        <f t="shared" ref="L109:L131" si="7">H109</f>
        <v>1500</v>
      </c>
      <c r="M109" s="3">
        <f t="shared" si="6"/>
        <v>1.2</v>
      </c>
      <c r="N109" s="46" t="s">
        <v>69</v>
      </c>
      <c r="O109" s="46" t="s">
        <v>96</v>
      </c>
      <c r="P109" s="46" t="s">
        <v>82</v>
      </c>
      <c r="Q109" s="46" t="s">
        <v>82</v>
      </c>
      <c r="R109" s="46" t="s">
        <v>553</v>
      </c>
      <c r="S109" s="46" t="s">
        <v>196</v>
      </c>
      <c r="T109" s="47" t="s">
        <v>515</v>
      </c>
    </row>
    <row r="110" spans="1:20" ht="13.5" thickBot="1" x14ac:dyDescent="0.35">
      <c r="A110" s="45">
        <v>46227</v>
      </c>
      <c r="B110" s="46" t="s">
        <v>333</v>
      </c>
      <c r="C110" s="46" t="s">
        <v>554</v>
      </c>
      <c r="D110" s="46" t="s">
        <v>330</v>
      </c>
      <c r="E110" s="46" t="s">
        <v>555</v>
      </c>
      <c r="F110" s="46" t="s">
        <v>123</v>
      </c>
      <c r="G110" s="46">
        <v>400</v>
      </c>
      <c r="H110" s="46">
        <v>400</v>
      </c>
      <c r="I110" s="46">
        <v>0.98</v>
      </c>
      <c r="J110" s="46"/>
      <c r="K110" s="46">
        <v>0.39</v>
      </c>
      <c r="L110" s="11">
        <f>H110-280</f>
        <v>120</v>
      </c>
      <c r="M110" s="3">
        <f t="shared" si="6"/>
        <v>0.1176</v>
      </c>
      <c r="N110" s="46" t="s">
        <v>69</v>
      </c>
      <c r="O110" s="46" t="s">
        <v>96</v>
      </c>
      <c r="P110" s="46" t="s">
        <v>82</v>
      </c>
      <c r="Q110" s="46" t="s">
        <v>82</v>
      </c>
      <c r="R110" s="46" t="s">
        <v>339</v>
      </c>
      <c r="S110" s="46" t="s">
        <v>196</v>
      </c>
      <c r="T110" s="47" t="s">
        <v>515</v>
      </c>
    </row>
    <row r="111" spans="1:20" ht="13.5" thickBot="1" x14ac:dyDescent="0.35">
      <c r="A111" s="45">
        <v>46227</v>
      </c>
      <c r="B111" s="46" t="s">
        <v>333</v>
      </c>
      <c r="C111" s="46" t="s">
        <v>556</v>
      </c>
      <c r="D111" s="46" t="s">
        <v>330</v>
      </c>
      <c r="E111" s="46" t="s">
        <v>557</v>
      </c>
      <c r="F111" s="46" t="s">
        <v>344</v>
      </c>
      <c r="G111" s="46">
        <v>500</v>
      </c>
      <c r="H111" s="46">
        <v>500</v>
      </c>
      <c r="I111" s="46">
        <v>0.79</v>
      </c>
      <c r="J111" s="46"/>
      <c r="K111" s="46">
        <v>0.4</v>
      </c>
      <c r="L111" s="11">
        <f t="shared" si="7"/>
        <v>500</v>
      </c>
      <c r="M111" s="3">
        <f t="shared" si="6"/>
        <v>0.39500000000000002</v>
      </c>
      <c r="N111" s="46" t="s">
        <v>69</v>
      </c>
      <c r="O111" s="46" t="s">
        <v>96</v>
      </c>
      <c r="P111" s="46" t="s">
        <v>82</v>
      </c>
      <c r="Q111" s="46" t="s">
        <v>82</v>
      </c>
      <c r="R111" s="46" t="s">
        <v>339</v>
      </c>
      <c r="S111" s="46" t="s">
        <v>196</v>
      </c>
      <c r="T111" s="47" t="s">
        <v>515</v>
      </c>
    </row>
    <row r="112" spans="1:20" ht="13.5" thickBot="1" x14ac:dyDescent="0.35">
      <c r="A112" s="16">
        <v>46227</v>
      </c>
      <c r="B112" s="17" t="s">
        <v>333</v>
      </c>
      <c r="C112" s="17" t="s">
        <v>558</v>
      </c>
      <c r="D112" s="17" t="s">
        <v>330</v>
      </c>
      <c r="E112" s="17" t="s">
        <v>559</v>
      </c>
      <c r="F112" s="17" t="s">
        <v>560</v>
      </c>
      <c r="G112" s="17">
        <v>200</v>
      </c>
      <c r="H112" s="17">
        <v>200</v>
      </c>
      <c r="I112" s="17">
        <v>2.04</v>
      </c>
      <c r="J112" s="17"/>
      <c r="K112" s="17">
        <v>0.41</v>
      </c>
      <c r="L112" s="11">
        <f t="shared" si="7"/>
        <v>200</v>
      </c>
      <c r="M112" s="3">
        <f t="shared" si="6"/>
        <v>0.40799999999999997</v>
      </c>
      <c r="N112" s="17" t="s">
        <v>69</v>
      </c>
      <c r="O112" s="17" t="s">
        <v>96</v>
      </c>
      <c r="P112" s="17" t="s">
        <v>82</v>
      </c>
      <c r="Q112" s="17" t="s">
        <v>82</v>
      </c>
      <c r="R112" s="17" t="s">
        <v>62</v>
      </c>
      <c r="S112" s="17" t="s">
        <v>196</v>
      </c>
      <c r="T112" s="18" t="s">
        <v>515</v>
      </c>
    </row>
    <row r="113" spans="1:20" ht="14" thickTop="1" thickBot="1" x14ac:dyDescent="0.35">
      <c r="A113" s="45">
        <v>46233</v>
      </c>
      <c r="B113" s="46" t="s">
        <v>393</v>
      </c>
      <c r="C113" s="46" t="s">
        <v>563</v>
      </c>
      <c r="D113" s="46" t="s">
        <v>270</v>
      </c>
      <c r="E113" s="46" t="s">
        <v>564</v>
      </c>
      <c r="F113" s="46" t="s">
        <v>90</v>
      </c>
      <c r="G113" s="46">
        <v>500</v>
      </c>
      <c r="H113" s="46">
        <v>500</v>
      </c>
      <c r="I113" s="46">
        <v>2.69</v>
      </c>
      <c r="J113" s="46"/>
      <c r="K113" s="46">
        <v>1.35</v>
      </c>
      <c r="L113" s="11">
        <f>H113-50-25-170</f>
        <v>255</v>
      </c>
      <c r="M113" s="3">
        <f t="shared" si="6"/>
        <v>0.68594999999999995</v>
      </c>
      <c r="N113" s="46" t="s">
        <v>565</v>
      </c>
      <c r="O113" s="46" t="s">
        <v>566</v>
      </c>
      <c r="P113" s="46" t="s">
        <v>82</v>
      </c>
      <c r="Q113" s="46" t="s">
        <v>82</v>
      </c>
      <c r="R113" s="46" t="s">
        <v>567</v>
      </c>
      <c r="S113" s="46" t="s">
        <v>196</v>
      </c>
      <c r="T113" s="47" t="s">
        <v>164</v>
      </c>
    </row>
    <row r="114" spans="1:20" ht="13.5" thickBot="1" x14ac:dyDescent="0.35">
      <c r="A114" s="45">
        <v>46233</v>
      </c>
      <c r="B114" s="46" t="s">
        <v>393</v>
      </c>
      <c r="C114" s="46" t="s">
        <v>568</v>
      </c>
      <c r="D114" s="46" t="s">
        <v>270</v>
      </c>
      <c r="E114" s="46" t="s">
        <v>569</v>
      </c>
      <c r="F114" s="46" t="s">
        <v>570</v>
      </c>
      <c r="G114" s="46">
        <v>1000</v>
      </c>
      <c r="H114" s="46">
        <v>1000</v>
      </c>
      <c r="I114" s="46">
        <v>2.96</v>
      </c>
      <c r="J114" s="46"/>
      <c r="K114" s="46">
        <v>2.96</v>
      </c>
      <c r="L114" s="11">
        <f t="shared" si="7"/>
        <v>1000</v>
      </c>
      <c r="M114" s="3">
        <f t="shared" si="6"/>
        <v>2.96</v>
      </c>
      <c r="N114" s="46" t="s">
        <v>565</v>
      </c>
      <c r="O114" s="46" t="s">
        <v>566</v>
      </c>
      <c r="P114" s="46" t="s">
        <v>82</v>
      </c>
      <c r="Q114" s="46" t="s">
        <v>82</v>
      </c>
      <c r="R114" s="46" t="s">
        <v>567</v>
      </c>
      <c r="S114" s="46" t="s">
        <v>196</v>
      </c>
      <c r="T114" s="47" t="s">
        <v>164</v>
      </c>
    </row>
    <row r="115" spans="1:20" ht="13.5" thickBot="1" x14ac:dyDescent="0.35">
      <c r="A115" s="16">
        <v>46233</v>
      </c>
      <c r="B115" s="17" t="s">
        <v>393</v>
      </c>
      <c r="C115" s="17" t="s">
        <v>571</v>
      </c>
      <c r="D115" s="17" t="s">
        <v>270</v>
      </c>
      <c r="E115" s="17" t="s">
        <v>572</v>
      </c>
      <c r="F115" s="17" t="s">
        <v>90</v>
      </c>
      <c r="G115" s="17">
        <v>1000</v>
      </c>
      <c r="H115" s="17">
        <v>1000</v>
      </c>
      <c r="I115" s="17">
        <v>2.96</v>
      </c>
      <c r="J115" s="17"/>
      <c r="K115" s="17">
        <v>2.96</v>
      </c>
      <c r="L115" s="11">
        <f t="shared" si="7"/>
        <v>1000</v>
      </c>
      <c r="M115" s="3">
        <f t="shared" si="6"/>
        <v>2.96</v>
      </c>
      <c r="N115" s="17" t="s">
        <v>565</v>
      </c>
      <c r="O115" s="17" t="s">
        <v>566</v>
      </c>
      <c r="P115" s="17" t="s">
        <v>82</v>
      </c>
      <c r="Q115" s="17" t="s">
        <v>82</v>
      </c>
      <c r="R115" s="17" t="s">
        <v>567</v>
      </c>
      <c r="S115" s="17" t="s">
        <v>196</v>
      </c>
      <c r="T115" s="18" t="s">
        <v>164</v>
      </c>
    </row>
    <row r="116" spans="1:20" ht="14" thickTop="1" thickBot="1" x14ac:dyDescent="0.35">
      <c r="A116" s="102">
        <v>46237</v>
      </c>
      <c r="B116" s="7" t="s">
        <v>461</v>
      </c>
      <c r="C116" s="7" t="s">
        <v>577</v>
      </c>
      <c r="D116" s="7" t="s">
        <v>365</v>
      </c>
      <c r="E116" s="7" t="s">
        <v>578</v>
      </c>
      <c r="F116" s="7" t="s">
        <v>347</v>
      </c>
      <c r="G116" s="7">
        <v>1800</v>
      </c>
      <c r="H116" s="7">
        <v>1800</v>
      </c>
      <c r="I116" s="7">
        <v>0.73</v>
      </c>
      <c r="J116" s="7"/>
      <c r="K116" s="7">
        <v>1.31</v>
      </c>
      <c r="L116" s="11">
        <v>575</v>
      </c>
      <c r="M116" s="3">
        <f t="shared" si="6"/>
        <v>0.41975000000000001</v>
      </c>
      <c r="N116" s="7" t="s">
        <v>69</v>
      </c>
      <c r="O116" s="7" t="s">
        <v>96</v>
      </c>
      <c r="P116" s="7" t="s">
        <v>60</v>
      </c>
      <c r="Q116" s="7" t="s">
        <v>256</v>
      </c>
      <c r="R116" s="7" t="s">
        <v>339</v>
      </c>
      <c r="S116" s="7" t="s">
        <v>196</v>
      </c>
      <c r="T116" s="47" t="s">
        <v>579</v>
      </c>
    </row>
    <row r="117" spans="1:20" ht="13.5" thickBot="1" x14ac:dyDescent="0.35">
      <c r="A117" s="102">
        <v>46237</v>
      </c>
      <c r="B117" s="7" t="s">
        <v>461</v>
      </c>
      <c r="C117" s="7" t="s">
        <v>580</v>
      </c>
      <c r="D117" s="7" t="s">
        <v>365</v>
      </c>
      <c r="E117" s="7" t="s">
        <v>581</v>
      </c>
      <c r="F117" s="7" t="s">
        <v>347</v>
      </c>
      <c r="G117" s="7">
        <v>1200</v>
      </c>
      <c r="H117" s="7">
        <v>1200</v>
      </c>
      <c r="I117" s="7">
        <v>0.73</v>
      </c>
      <c r="J117" s="7"/>
      <c r="K117" s="7">
        <v>0.88</v>
      </c>
      <c r="L117" s="11">
        <f t="shared" si="7"/>
        <v>1200</v>
      </c>
      <c r="M117" s="3">
        <f t="shared" si="6"/>
        <v>0.876</v>
      </c>
      <c r="N117" s="7" t="s">
        <v>69</v>
      </c>
      <c r="O117" s="7" t="s">
        <v>96</v>
      </c>
      <c r="P117" s="7" t="s">
        <v>60</v>
      </c>
      <c r="Q117" s="7" t="s">
        <v>256</v>
      </c>
      <c r="R117" s="7" t="s">
        <v>339</v>
      </c>
      <c r="S117" s="7" t="s">
        <v>196</v>
      </c>
      <c r="T117" s="47" t="s">
        <v>579</v>
      </c>
    </row>
    <row r="118" spans="1:20" ht="13.5" thickBot="1" x14ac:dyDescent="0.35">
      <c r="A118" s="102">
        <v>46237</v>
      </c>
      <c r="B118" s="7" t="s">
        <v>461</v>
      </c>
      <c r="C118" s="7" t="s">
        <v>582</v>
      </c>
      <c r="D118" s="7" t="s">
        <v>365</v>
      </c>
      <c r="E118" s="7" t="s">
        <v>583</v>
      </c>
      <c r="F118" s="7" t="s">
        <v>347</v>
      </c>
      <c r="G118" s="7">
        <v>1200</v>
      </c>
      <c r="H118" s="7">
        <v>1200</v>
      </c>
      <c r="I118" s="7">
        <v>0.73</v>
      </c>
      <c r="J118" s="7"/>
      <c r="K118" s="7">
        <v>0.88</v>
      </c>
      <c r="L118" s="11">
        <f t="shared" si="7"/>
        <v>1200</v>
      </c>
      <c r="M118" s="3">
        <f t="shared" si="6"/>
        <v>0.876</v>
      </c>
      <c r="N118" s="7" t="s">
        <v>69</v>
      </c>
      <c r="O118" s="7" t="s">
        <v>96</v>
      </c>
      <c r="P118" s="7" t="s">
        <v>60</v>
      </c>
      <c r="Q118" s="7" t="s">
        <v>256</v>
      </c>
      <c r="R118" s="7" t="s">
        <v>339</v>
      </c>
      <c r="S118" s="7" t="s">
        <v>196</v>
      </c>
      <c r="T118" s="47" t="s">
        <v>579</v>
      </c>
    </row>
    <row r="119" spans="1:20" ht="13.5" thickBot="1" x14ac:dyDescent="0.35">
      <c r="A119" s="102">
        <v>46237</v>
      </c>
      <c r="B119" s="7" t="s">
        <v>461</v>
      </c>
      <c r="C119" s="7" t="s">
        <v>584</v>
      </c>
      <c r="D119" s="7" t="s">
        <v>365</v>
      </c>
      <c r="E119" s="7" t="s">
        <v>585</v>
      </c>
      <c r="F119" s="7" t="s">
        <v>347</v>
      </c>
      <c r="G119" s="7">
        <v>1800</v>
      </c>
      <c r="H119" s="7">
        <v>1800</v>
      </c>
      <c r="I119" s="7">
        <v>0.73</v>
      </c>
      <c r="J119" s="7"/>
      <c r="K119" s="7">
        <v>1.31</v>
      </c>
      <c r="L119" s="11">
        <f t="shared" si="7"/>
        <v>1800</v>
      </c>
      <c r="M119" s="3">
        <f t="shared" si="6"/>
        <v>1.3140000000000001</v>
      </c>
      <c r="N119" s="7" t="s">
        <v>69</v>
      </c>
      <c r="O119" s="7" t="s">
        <v>96</v>
      </c>
      <c r="P119" s="7" t="s">
        <v>60</v>
      </c>
      <c r="Q119" s="7" t="s">
        <v>256</v>
      </c>
      <c r="R119" s="7" t="s">
        <v>339</v>
      </c>
      <c r="S119" s="7" t="s">
        <v>196</v>
      </c>
      <c r="T119" s="47" t="s">
        <v>579</v>
      </c>
    </row>
    <row r="120" spans="1:20" ht="13.5" thickBot="1" x14ac:dyDescent="0.35">
      <c r="A120" s="102">
        <v>46237</v>
      </c>
      <c r="B120" s="7" t="s">
        <v>461</v>
      </c>
      <c r="C120" s="7" t="s">
        <v>586</v>
      </c>
      <c r="D120" s="7" t="s">
        <v>365</v>
      </c>
      <c r="E120" s="7" t="s">
        <v>587</v>
      </c>
      <c r="F120" s="7" t="s">
        <v>347</v>
      </c>
      <c r="G120" s="7">
        <v>1200</v>
      </c>
      <c r="H120" s="7">
        <v>1200</v>
      </c>
      <c r="I120" s="7">
        <v>0.73</v>
      </c>
      <c r="J120" s="7"/>
      <c r="K120" s="7">
        <v>0.88</v>
      </c>
      <c r="L120" s="11">
        <f t="shared" si="7"/>
        <v>1200</v>
      </c>
      <c r="M120" s="3">
        <f t="shared" si="6"/>
        <v>0.876</v>
      </c>
      <c r="N120" s="7" t="s">
        <v>69</v>
      </c>
      <c r="O120" s="7" t="s">
        <v>96</v>
      </c>
      <c r="P120" s="7" t="s">
        <v>60</v>
      </c>
      <c r="Q120" s="7" t="s">
        <v>256</v>
      </c>
      <c r="R120" s="7" t="s">
        <v>201</v>
      </c>
      <c r="S120" s="7" t="s">
        <v>196</v>
      </c>
      <c r="T120" s="47" t="s">
        <v>579</v>
      </c>
    </row>
    <row r="121" spans="1:20" ht="13.5" thickBot="1" x14ac:dyDescent="0.35">
      <c r="A121" s="102">
        <v>46237</v>
      </c>
      <c r="B121" s="7" t="s">
        <v>461</v>
      </c>
      <c r="C121" s="7" t="s">
        <v>588</v>
      </c>
      <c r="D121" s="7" t="s">
        <v>365</v>
      </c>
      <c r="E121" s="7" t="s">
        <v>589</v>
      </c>
      <c r="F121" s="7" t="s">
        <v>347</v>
      </c>
      <c r="G121" s="7">
        <v>1200</v>
      </c>
      <c r="H121" s="7">
        <v>1200</v>
      </c>
      <c r="I121" s="7">
        <v>0.73</v>
      </c>
      <c r="J121" s="7"/>
      <c r="K121" s="7">
        <v>0.88</v>
      </c>
      <c r="L121" s="11">
        <v>0</v>
      </c>
      <c r="M121" s="3">
        <f t="shared" si="6"/>
        <v>0</v>
      </c>
      <c r="N121" s="7" t="s">
        <v>69</v>
      </c>
      <c r="O121" s="7" t="s">
        <v>96</v>
      </c>
      <c r="P121" s="7" t="s">
        <v>60</v>
      </c>
      <c r="Q121" s="7" t="s">
        <v>256</v>
      </c>
      <c r="R121" s="7" t="s">
        <v>201</v>
      </c>
      <c r="S121" s="7" t="s">
        <v>196</v>
      </c>
      <c r="T121" s="47" t="s">
        <v>579</v>
      </c>
    </row>
    <row r="122" spans="1:20" ht="13.5" thickBot="1" x14ac:dyDescent="0.35">
      <c r="A122" s="102">
        <v>46237</v>
      </c>
      <c r="B122" s="7" t="s">
        <v>461</v>
      </c>
      <c r="C122" s="7" t="s">
        <v>590</v>
      </c>
      <c r="D122" s="7" t="s">
        <v>365</v>
      </c>
      <c r="E122" s="7" t="s">
        <v>591</v>
      </c>
      <c r="F122" s="7" t="s">
        <v>347</v>
      </c>
      <c r="G122" s="7">
        <v>2400</v>
      </c>
      <c r="H122" s="7">
        <v>2400</v>
      </c>
      <c r="I122" s="7">
        <v>0.73</v>
      </c>
      <c r="J122" s="7"/>
      <c r="K122" s="7">
        <v>1.75</v>
      </c>
      <c r="L122" s="11">
        <f t="shared" si="7"/>
        <v>2400</v>
      </c>
      <c r="M122" s="3">
        <f t="shared" si="6"/>
        <v>1.752</v>
      </c>
      <c r="N122" s="7" t="s">
        <v>69</v>
      </c>
      <c r="O122" s="7" t="s">
        <v>96</v>
      </c>
      <c r="P122" s="7" t="s">
        <v>60</v>
      </c>
      <c r="Q122" s="7" t="s">
        <v>256</v>
      </c>
      <c r="R122" s="7" t="s">
        <v>376</v>
      </c>
      <c r="S122" s="7" t="s">
        <v>196</v>
      </c>
      <c r="T122" s="47" t="s">
        <v>579</v>
      </c>
    </row>
    <row r="123" spans="1:20" ht="13.5" thickBot="1" x14ac:dyDescent="0.35">
      <c r="A123" s="102">
        <v>46237</v>
      </c>
      <c r="B123" s="7" t="s">
        <v>461</v>
      </c>
      <c r="C123" s="7" t="s">
        <v>592</v>
      </c>
      <c r="D123" s="7" t="s">
        <v>365</v>
      </c>
      <c r="E123" s="7" t="s">
        <v>593</v>
      </c>
      <c r="F123" s="7" t="s">
        <v>347</v>
      </c>
      <c r="G123" s="7">
        <v>600</v>
      </c>
      <c r="H123" s="7">
        <v>600</v>
      </c>
      <c r="I123" s="7">
        <v>0.73</v>
      </c>
      <c r="J123" s="7"/>
      <c r="K123" s="7">
        <v>0.44</v>
      </c>
      <c r="L123" s="11">
        <f t="shared" si="7"/>
        <v>600</v>
      </c>
      <c r="M123" s="3">
        <f t="shared" si="6"/>
        <v>0.438</v>
      </c>
      <c r="N123" s="7" t="s">
        <v>69</v>
      </c>
      <c r="O123" s="7" t="s">
        <v>96</v>
      </c>
      <c r="P123" s="7" t="s">
        <v>60</v>
      </c>
      <c r="Q123" s="7" t="s">
        <v>256</v>
      </c>
      <c r="R123" s="7" t="s">
        <v>201</v>
      </c>
      <c r="S123" s="7" t="s">
        <v>196</v>
      </c>
      <c r="T123" s="47" t="s">
        <v>579</v>
      </c>
    </row>
    <row r="124" spans="1:20" ht="13.5" thickBot="1" x14ac:dyDescent="0.35">
      <c r="A124" s="102">
        <v>46237</v>
      </c>
      <c r="B124" s="7" t="s">
        <v>461</v>
      </c>
      <c r="C124" s="7" t="s">
        <v>594</v>
      </c>
      <c r="D124" s="7" t="s">
        <v>365</v>
      </c>
      <c r="E124" s="7" t="s">
        <v>595</v>
      </c>
      <c r="F124" s="7" t="s">
        <v>347</v>
      </c>
      <c r="G124" s="7">
        <v>500</v>
      </c>
      <c r="H124" s="7">
        <v>500</v>
      </c>
      <c r="I124" s="7">
        <v>0.91</v>
      </c>
      <c r="J124" s="7"/>
      <c r="K124" s="7">
        <v>0.82</v>
      </c>
      <c r="L124" s="11">
        <f>H124-500</f>
        <v>0</v>
      </c>
      <c r="M124" s="3">
        <f t="shared" si="6"/>
        <v>0</v>
      </c>
      <c r="N124" s="7" t="s">
        <v>59</v>
      </c>
      <c r="O124" s="7" t="s">
        <v>96</v>
      </c>
      <c r="P124" s="7" t="s">
        <v>60</v>
      </c>
      <c r="Q124" s="7" t="s">
        <v>256</v>
      </c>
      <c r="R124" s="7" t="s">
        <v>339</v>
      </c>
      <c r="S124" s="7" t="s">
        <v>196</v>
      </c>
      <c r="T124" s="47" t="s">
        <v>579</v>
      </c>
    </row>
    <row r="125" spans="1:20" ht="13.5" thickBot="1" x14ac:dyDescent="0.35">
      <c r="A125" s="102">
        <v>46237</v>
      </c>
      <c r="B125" s="7" t="s">
        <v>461</v>
      </c>
      <c r="C125" s="7" t="s">
        <v>596</v>
      </c>
      <c r="D125" s="7" t="s">
        <v>365</v>
      </c>
      <c r="E125" s="7" t="s">
        <v>597</v>
      </c>
      <c r="F125" s="7" t="s">
        <v>344</v>
      </c>
      <c r="G125" s="7">
        <v>3000</v>
      </c>
      <c r="H125" s="7">
        <v>3000</v>
      </c>
      <c r="I125" s="7">
        <v>0.81</v>
      </c>
      <c r="J125" s="7"/>
      <c r="K125" s="7">
        <v>2.4300000000000002</v>
      </c>
      <c r="L125" s="11">
        <f>H125-650</f>
        <v>2350</v>
      </c>
      <c r="M125" s="3">
        <f t="shared" si="6"/>
        <v>1.9035000000000002</v>
      </c>
      <c r="N125" s="7" t="s">
        <v>69</v>
      </c>
      <c r="O125" s="7" t="s">
        <v>96</v>
      </c>
      <c r="P125" s="7" t="s">
        <v>60</v>
      </c>
      <c r="Q125" s="7" t="s">
        <v>256</v>
      </c>
      <c r="R125" s="7" t="s">
        <v>62</v>
      </c>
      <c r="S125" s="7" t="s">
        <v>196</v>
      </c>
      <c r="T125" s="47" t="s">
        <v>579</v>
      </c>
    </row>
    <row r="126" spans="1:20" ht="13.5" thickBot="1" x14ac:dyDescent="0.35">
      <c r="A126" s="102">
        <v>46237</v>
      </c>
      <c r="B126" s="7" t="s">
        <v>461</v>
      </c>
      <c r="C126" s="7" t="s">
        <v>598</v>
      </c>
      <c r="D126" s="7" t="s">
        <v>365</v>
      </c>
      <c r="E126" s="7" t="s">
        <v>599</v>
      </c>
      <c r="F126" s="7" t="s">
        <v>344</v>
      </c>
      <c r="G126" s="7">
        <v>1700</v>
      </c>
      <c r="H126" s="7">
        <v>1700</v>
      </c>
      <c r="I126" s="7">
        <v>1</v>
      </c>
      <c r="J126" s="7"/>
      <c r="K126" s="7">
        <v>1.7</v>
      </c>
      <c r="L126" s="11">
        <f t="shared" si="7"/>
        <v>1700</v>
      </c>
      <c r="M126" s="3">
        <f t="shared" si="6"/>
        <v>1.7</v>
      </c>
      <c r="N126" s="7" t="s">
        <v>194</v>
      </c>
      <c r="O126" s="7" t="s">
        <v>226</v>
      </c>
      <c r="P126" s="7" t="s">
        <v>82</v>
      </c>
      <c r="Q126" s="7" t="s">
        <v>82</v>
      </c>
      <c r="R126" s="7" t="s">
        <v>62</v>
      </c>
      <c r="S126" s="7" t="s">
        <v>196</v>
      </c>
      <c r="T126" s="47" t="s">
        <v>579</v>
      </c>
    </row>
    <row r="127" spans="1:20" ht="13.5" thickBot="1" x14ac:dyDescent="0.35">
      <c r="A127" s="102">
        <v>46237</v>
      </c>
      <c r="B127" s="7" t="s">
        <v>461</v>
      </c>
      <c r="C127" s="7" t="s">
        <v>600</v>
      </c>
      <c r="D127" s="7" t="s">
        <v>365</v>
      </c>
      <c r="E127" s="7" t="s">
        <v>601</v>
      </c>
      <c r="F127" s="7" t="s">
        <v>169</v>
      </c>
      <c r="G127" s="7">
        <v>1400</v>
      </c>
      <c r="H127" s="7">
        <v>1400</v>
      </c>
      <c r="I127" s="7">
        <v>1.17</v>
      </c>
      <c r="J127" s="7"/>
      <c r="K127" s="7">
        <v>1.64</v>
      </c>
      <c r="L127" s="11">
        <f t="shared" si="7"/>
        <v>1400</v>
      </c>
      <c r="M127" s="3">
        <f t="shared" si="6"/>
        <v>1.6379999999999999</v>
      </c>
      <c r="N127" s="7" t="s">
        <v>59</v>
      </c>
      <c r="O127" s="7" t="s">
        <v>96</v>
      </c>
      <c r="P127" s="7" t="s">
        <v>82</v>
      </c>
      <c r="Q127" s="7" t="s">
        <v>82</v>
      </c>
      <c r="R127" s="7" t="s">
        <v>62</v>
      </c>
      <c r="S127" s="7" t="s">
        <v>196</v>
      </c>
      <c r="T127" s="47" t="s">
        <v>579</v>
      </c>
    </row>
    <row r="128" spans="1:20" ht="13.5" thickBot="1" x14ac:dyDescent="0.35">
      <c r="A128" s="102">
        <v>46237</v>
      </c>
      <c r="B128" s="7" t="s">
        <v>461</v>
      </c>
      <c r="C128" s="7" t="s">
        <v>602</v>
      </c>
      <c r="D128" s="7" t="s">
        <v>365</v>
      </c>
      <c r="E128" s="7" t="s">
        <v>603</v>
      </c>
      <c r="F128" s="7" t="s">
        <v>169</v>
      </c>
      <c r="G128" s="7">
        <v>350</v>
      </c>
      <c r="H128" s="7">
        <v>350</v>
      </c>
      <c r="I128" s="7">
        <v>1.17</v>
      </c>
      <c r="J128" s="7"/>
      <c r="K128" s="7">
        <v>0.41</v>
      </c>
      <c r="L128" s="11">
        <f t="shared" si="7"/>
        <v>350</v>
      </c>
      <c r="M128" s="3">
        <f t="shared" si="6"/>
        <v>0.40949999999999998</v>
      </c>
      <c r="N128" s="7" t="s">
        <v>59</v>
      </c>
      <c r="O128" s="7" t="s">
        <v>96</v>
      </c>
      <c r="P128" s="7" t="s">
        <v>82</v>
      </c>
      <c r="Q128" s="7" t="s">
        <v>82</v>
      </c>
      <c r="R128" s="7" t="s">
        <v>201</v>
      </c>
      <c r="S128" s="7" t="s">
        <v>196</v>
      </c>
      <c r="T128" s="47" t="s">
        <v>579</v>
      </c>
    </row>
    <row r="129" spans="1:21" ht="13.5" thickBot="1" x14ac:dyDescent="0.35">
      <c r="A129" s="102">
        <v>46237</v>
      </c>
      <c r="B129" s="7" t="s">
        <v>461</v>
      </c>
      <c r="C129" s="7" t="s">
        <v>604</v>
      </c>
      <c r="D129" s="7" t="s">
        <v>365</v>
      </c>
      <c r="E129" s="7" t="s">
        <v>605</v>
      </c>
      <c r="F129" s="7" t="s">
        <v>606</v>
      </c>
      <c r="G129" s="7">
        <v>2275</v>
      </c>
      <c r="H129" s="7">
        <v>2275</v>
      </c>
      <c r="I129" s="7">
        <v>1.34</v>
      </c>
      <c r="J129" s="7"/>
      <c r="K129" s="7">
        <v>3.05</v>
      </c>
      <c r="L129" s="11">
        <f t="shared" si="7"/>
        <v>2275</v>
      </c>
      <c r="M129" s="3">
        <f t="shared" si="6"/>
        <v>3.0485000000000002</v>
      </c>
      <c r="N129" s="7" t="s">
        <v>69</v>
      </c>
      <c r="O129" s="7" t="s">
        <v>96</v>
      </c>
      <c r="P129" s="7" t="s">
        <v>82</v>
      </c>
      <c r="Q129" s="7" t="s">
        <v>82</v>
      </c>
      <c r="R129" s="7" t="s">
        <v>201</v>
      </c>
      <c r="S129" s="7" t="s">
        <v>196</v>
      </c>
      <c r="T129" s="47" t="s">
        <v>579</v>
      </c>
    </row>
    <row r="130" spans="1:21" ht="13.5" thickBot="1" x14ac:dyDescent="0.35">
      <c r="A130" s="102">
        <v>46237</v>
      </c>
      <c r="B130" s="7" t="s">
        <v>461</v>
      </c>
      <c r="C130" s="7" t="s">
        <v>607</v>
      </c>
      <c r="D130" s="7" t="s">
        <v>365</v>
      </c>
      <c r="E130" s="7" t="s">
        <v>608</v>
      </c>
      <c r="F130" s="7" t="s">
        <v>520</v>
      </c>
      <c r="G130" s="7">
        <v>555</v>
      </c>
      <c r="H130" s="7">
        <v>555</v>
      </c>
      <c r="I130" s="7">
        <v>2.34</v>
      </c>
      <c r="J130" s="7"/>
      <c r="K130" s="7">
        <v>1.3</v>
      </c>
      <c r="L130" s="11">
        <f>H130</f>
        <v>555</v>
      </c>
      <c r="M130" s="3">
        <f t="shared" si="6"/>
        <v>1.2986999999999997</v>
      </c>
      <c r="N130" s="7" t="s">
        <v>194</v>
      </c>
      <c r="O130" s="7" t="s">
        <v>226</v>
      </c>
      <c r="P130" s="7" t="s">
        <v>60</v>
      </c>
      <c r="Q130" s="7" t="s">
        <v>281</v>
      </c>
      <c r="R130" s="7" t="s">
        <v>62</v>
      </c>
      <c r="S130" s="7" t="s">
        <v>196</v>
      </c>
      <c r="T130" s="47" t="s">
        <v>579</v>
      </c>
    </row>
    <row r="131" spans="1:21" ht="13.5" thickBot="1" x14ac:dyDescent="0.35">
      <c r="A131" s="103">
        <v>46237</v>
      </c>
      <c r="B131" s="104" t="s">
        <v>461</v>
      </c>
      <c r="C131" s="104" t="s">
        <v>609</v>
      </c>
      <c r="D131" s="104" t="s">
        <v>365</v>
      </c>
      <c r="E131" s="104" t="s">
        <v>610</v>
      </c>
      <c r="F131" s="104" t="s">
        <v>611</v>
      </c>
      <c r="G131" s="104">
        <v>300</v>
      </c>
      <c r="H131" s="104">
        <v>300</v>
      </c>
      <c r="I131" s="104">
        <v>2.5499999999999998</v>
      </c>
      <c r="J131" s="104"/>
      <c r="K131" s="104">
        <v>0.77</v>
      </c>
      <c r="L131" s="11">
        <f t="shared" si="7"/>
        <v>300</v>
      </c>
      <c r="M131" s="3">
        <f t="shared" si="6"/>
        <v>0.76500000000000001</v>
      </c>
      <c r="N131" s="104" t="s">
        <v>194</v>
      </c>
      <c r="O131" s="104" t="s">
        <v>226</v>
      </c>
      <c r="P131" s="104" t="s">
        <v>60</v>
      </c>
      <c r="Q131" s="104" t="s">
        <v>281</v>
      </c>
      <c r="R131" s="104" t="s">
        <v>62</v>
      </c>
      <c r="S131" s="104" t="s">
        <v>196</v>
      </c>
      <c r="T131" s="18" t="s">
        <v>579</v>
      </c>
    </row>
    <row r="132" spans="1:21" ht="14" thickTop="1" thickBot="1" x14ac:dyDescent="0.3">
      <c r="A132" s="105">
        <v>46176</v>
      </c>
      <c r="B132" s="106" t="s">
        <v>303</v>
      </c>
      <c r="C132" s="104" t="s">
        <v>614</v>
      </c>
      <c r="D132" s="104" t="s">
        <v>241</v>
      </c>
      <c r="E132" s="104" t="s">
        <v>619</v>
      </c>
      <c r="F132" s="104" t="s">
        <v>613</v>
      </c>
      <c r="G132" s="104">
        <v>13500</v>
      </c>
      <c r="H132" s="104">
        <v>13500</v>
      </c>
      <c r="I132" s="104">
        <v>1.95</v>
      </c>
      <c r="J132" s="104"/>
      <c r="K132" s="104">
        <v>26.33</v>
      </c>
      <c r="L132" s="104">
        <f>6365-1750-1300-425-400-200-1550-680</f>
        <v>60</v>
      </c>
      <c r="M132" s="104">
        <f t="shared" si="6"/>
        <v>0.11700000000000001</v>
      </c>
      <c r="N132" s="104" t="s">
        <v>194</v>
      </c>
      <c r="O132" s="104" t="s">
        <v>226</v>
      </c>
      <c r="P132" s="104" t="s">
        <v>60</v>
      </c>
      <c r="Q132" s="104" t="s">
        <v>61</v>
      </c>
      <c r="R132" s="104" t="s">
        <v>620</v>
      </c>
      <c r="S132" s="104" t="s">
        <v>63</v>
      </c>
      <c r="T132" s="104" t="s">
        <v>164</v>
      </c>
      <c r="U132" s="104"/>
    </row>
    <row r="133" spans="1:21" ht="14" thickTop="1" thickBot="1" x14ac:dyDescent="0.35">
      <c r="A133" s="45">
        <v>46239</v>
      </c>
      <c r="B133" s="46" t="s">
        <v>461</v>
      </c>
      <c r="C133" s="46" t="s">
        <v>623</v>
      </c>
      <c r="D133" s="46" t="s">
        <v>330</v>
      </c>
      <c r="E133" s="46" t="s">
        <v>624</v>
      </c>
      <c r="F133" s="46" t="s">
        <v>332</v>
      </c>
      <c r="G133" s="46">
        <v>3575</v>
      </c>
      <c r="H133" s="46">
        <v>3575</v>
      </c>
      <c r="I133" s="46">
        <v>1.59</v>
      </c>
      <c r="J133" s="104"/>
      <c r="K133" s="46">
        <v>5.68</v>
      </c>
      <c r="L133" s="11">
        <f>H133</f>
        <v>3575</v>
      </c>
      <c r="M133" s="3">
        <f t="shared" ref="M133:M160" si="8">(L133*I133)/1000</f>
        <v>5.6842499999999996</v>
      </c>
      <c r="N133" s="46" t="s">
        <v>59</v>
      </c>
      <c r="O133" s="46" t="s">
        <v>96</v>
      </c>
      <c r="P133" s="46" t="s">
        <v>82</v>
      </c>
      <c r="Q133" s="46" t="s">
        <v>82</v>
      </c>
      <c r="R133" s="46" t="s">
        <v>62</v>
      </c>
      <c r="S133" s="46" t="s">
        <v>196</v>
      </c>
      <c r="T133" s="47" t="s">
        <v>579</v>
      </c>
    </row>
    <row r="134" spans="1:21" ht="13.5" thickBot="1" x14ac:dyDescent="0.35">
      <c r="A134" s="45">
        <v>46239</v>
      </c>
      <c r="B134" s="46" t="s">
        <v>461</v>
      </c>
      <c r="C134" s="46" t="s">
        <v>625</v>
      </c>
      <c r="D134" s="46" t="s">
        <v>330</v>
      </c>
      <c r="E134" s="46" t="s">
        <v>626</v>
      </c>
      <c r="F134" s="46" t="s">
        <v>118</v>
      </c>
      <c r="G134" s="46">
        <v>1000</v>
      </c>
      <c r="H134" s="46">
        <v>1000</v>
      </c>
      <c r="I134" s="46">
        <v>1.1100000000000001</v>
      </c>
      <c r="J134" s="104"/>
      <c r="K134" s="46">
        <v>1.1100000000000001</v>
      </c>
      <c r="L134" s="11">
        <f t="shared" ref="L134:L148" si="9">H134</f>
        <v>1000</v>
      </c>
      <c r="M134" s="3">
        <f t="shared" si="8"/>
        <v>1.1100000000000001</v>
      </c>
      <c r="N134" s="46" t="s">
        <v>69</v>
      </c>
      <c r="O134" s="46" t="s">
        <v>96</v>
      </c>
      <c r="P134" s="46" t="s">
        <v>82</v>
      </c>
      <c r="Q134" s="46" t="s">
        <v>82</v>
      </c>
      <c r="R134" s="46" t="s">
        <v>339</v>
      </c>
      <c r="S134" s="46" t="s">
        <v>196</v>
      </c>
      <c r="T134" s="47" t="s">
        <v>579</v>
      </c>
    </row>
    <row r="135" spans="1:21" ht="13.5" thickBot="1" x14ac:dyDescent="0.35">
      <c r="A135" s="45">
        <v>46239</v>
      </c>
      <c r="B135" s="46" t="s">
        <v>461</v>
      </c>
      <c r="C135" s="46" t="s">
        <v>627</v>
      </c>
      <c r="D135" s="46" t="s">
        <v>330</v>
      </c>
      <c r="E135" s="46" t="s">
        <v>628</v>
      </c>
      <c r="F135" s="46" t="s">
        <v>629</v>
      </c>
      <c r="G135" s="46">
        <v>500</v>
      </c>
      <c r="H135" s="46">
        <v>500</v>
      </c>
      <c r="I135" s="46">
        <v>3.16</v>
      </c>
      <c r="J135" s="104"/>
      <c r="K135" s="46">
        <v>1.58</v>
      </c>
      <c r="L135" s="11">
        <f t="shared" si="9"/>
        <v>500</v>
      </c>
      <c r="M135" s="3">
        <f t="shared" si="8"/>
        <v>1.58</v>
      </c>
      <c r="N135" s="46" t="s">
        <v>273</v>
      </c>
      <c r="O135" s="46" t="s">
        <v>274</v>
      </c>
      <c r="P135" s="46" t="s">
        <v>82</v>
      </c>
      <c r="Q135" s="46" t="s">
        <v>82</v>
      </c>
      <c r="R135" s="46" t="s">
        <v>339</v>
      </c>
      <c r="S135" s="46" t="s">
        <v>196</v>
      </c>
      <c r="T135" s="47" t="s">
        <v>579</v>
      </c>
    </row>
    <row r="136" spans="1:21" ht="13.5" thickBot="1" x14ac:dyDescent="0.35">
      <c r="A136" s="45">
        <v>46239</v>
      </c>
      <c r="B136" s="46" t="s">
        <v>461</v>
      </c>
      <c r="C136" s="46" t="s">
        <v>630</v>
      </c>
      <c r="D136" s="46" t="s">
        <v>330</v>
      </c>
      <c r="E136" s="46" t="s">
        <v>631</v>
      </c>
      <c r="F136" s="46" t="s">
        <v>632</v>
      </c>
      <c r="G136" s="46">
        <v>900</v>
      </c>
      <c r="H136" s="46">
        <v>900</v>
      </c>
      <c r="I136" s="46">
        <v>1.39</v>
      </c>
      <c r="J136" s="104"/>
      <c r="K136" s="46">
        <v>0.83</v>
      </c>
      <c r="L136" s="11">
        <f t="shared" si="9"/>
        <v>900</v>
      </c>
      <c r="M136" s="3">
        <f t="shared" si="8"/>
        <v>1.2509999999999999</v>
      </c>
      <c r="N136" s="46" t="s">
        <v>69</v>
      </c>
      <c r="O136" s="46" t="s">
        <v>96</v>
      </c>
      <c r="P136" s="46" t="s">
        <v>82</v>
      </c>
      <c r="Q136" s="46" t="s">
        <v>82</v>
      </c>
      <c r="R136" s="46" t="s">
        <v>62</v>
      </c>
      <c r="S136" s="46" t="s">
        <v>196</v>
      </c>
      <c r="T136" s="47" t="s">
        <v>579</v>
      </c>
    </row>
    <row r="137" spans="1:21" ht="13.5" thickBot="1" x14ac:dyDescent="0.35">
      <c r="A137" s="45">
        <v>46239</v>
      </c>
      <c r="B137" s="46" t="s">
        <v>461</v>
      </c>
      <c r="C137" s="46" t="s">
        <v>633</v>
      </c>
      <c r="D137" s="46" t="s">
        <v>330</v>
      </c>
      <c r="E137" s="46" t="s">
        <v>634</v>
      </c>
      <c r="F137" s="46" t="s">
        <v>332</v>
      </c>
      <c r="G137" s="46">
        <v>1175</v>
      </c>
      <c r="H137" s="46">
        <v>1175</v>
      </c>
      <c r="I137" s="46">
        <v>1.84</v>
      </c>
      <c r="J137" s="104"/>
      <c r="K137" s="46">
        <v>2.16</v>
      </c>
      <c r="L137" s="11">
        <f t="shared" si="9"/>
        <v>1175</v>
      </c>
      <c r="M137" s="3">
        <f t="shared" si="8"/>
        <v>2.1619999999999999</v>
      </c>
      <c r="N137" s="46" t="s">
        <v>59</v>
      </c>
      <c r="O137" s="46" t="s">
        <v>96</v>
      </c>
      <c r="P137" s="46" t="s">
        <v>82</v>
      </c>
      <c r="Q137" s="46" t="s">
        <v>82</v>
      </c>
      <c r="R137" s="46" t="s">
        <v>62</v>
      </c>
      <c r="S137" s="46" t="s">
        <v>196</v>
      </c>
      <c r="T137" s="47" t="s">
        <v>579</v>
      </c>
    </row>
    <row r="138" spans="1:21" ht="13.5" thickBot="1" x14ac:dyDescent="0.35">
      <c r="A138" s="45">
        <v>46239</v>
      </c>
      <c r="B138" s="46" t="s">
        <v>461</v>
      </c>
      <c r="C138" s="46" t="s">
        <v>635</v>
      </c>
      <c r="D138" s="46" t="s">
        <v>330</v>
      </c>
      <c r="E138" s="46" t="s">
        <v>636</v>
      </c>
      <c r="F138" s="46" t="s">
        <v>116</v>
      </c>
      <c r="G138" s="46">
        <v>1300</v>
      </c>
      <c r="H138" s="46">
        <v>1300</v>
      </c>
      <c r="I138" s="46">
        <v>1.29</v>
      </c>
      <c r="J138" s="104"/>
      <c r="K138" s="46">
        <v>1.68</v>
      </c>
      <c r="L138" s="11">
        <f t="shared" si="9"/>
        <v>1300</v>
      </c>
      <c r="M138" s="3">
        <f t="shared" si="8"/>
        <v>1.677</v>
      </c>
      <c r="N138" s="46" t="s">
        <v>59</v>
      </c>
      <c r="O138" s="46" t="s">
        <v>96</v>
      </c>
      <c r="P138" s="46" t="s">
        <v>82</v>
      </c>
      <c r="Q138" s="46" t="s">
        <v>82</v>
      </c>
      <c r="R138" s="46" t="s">
        <v>62</v>
      </c>
      <c r="S138" s="46" t="s">
        <v>196</v>
      </c>
      <c r="T138" s="47" t="s">
        <v>579</v>
      </c>
    </row>
    <row r="139" spans="1:21" ht="13.5" thickBot="1" x14ac:dyDescent="0.35">
      <c r="A139" s="45">
        <v>46239</v>
      </c>
      <c r="B139" s="46" t="s">
        <v>461</v>
      </c>
      <c r="C139" s="46" t="s">
        <v>637</v>
      </c>
      <c r="D139" s="46" t="s">
        <v>330</v>
      </c>
      <c r="E139" s="46" t="s">
        <v>638</v>
      </c>
      <c r="F139" s="46" t="s">
        <v>118</v>
      </c>
      <c r="G139" s="46">
        <v>1000</v>
      </c>
      <c r="H139" s="46">
        <v>1000</v>
      </c>
      <c r="I139" s="46">
        <v>0.87</v>
      </c>
      <c r="J139" s="104"/>
      <c r="K139" s="46">
        <v>0.87</v>
      </c>
      <c r="L139" s="11">
        <f t="shared" si="9"/>
        <v>1000</v>
      </c>
      <c r="M139" s="3">
        <f t="shared" si="8"/>
        <v>0.87</v>
      </c>
      <c r="N139" s="46" t="s">
        <v>69</v>
      </c>
      <c r="O139" s="46" t="s">
        <v>96</v>
      </c>
      <c r="P139" s="46" t="s">
        <v>82</v>
      </c>
      <c r="Q139" s="46" t="s">
        <v>82</v>
      </c>
      <c r="R139" s="46" t="s">
        <v>62</v>
      </c>
      <c r="S139" s="46" t="s">
        <v>196</v>
      </c>
      <c r="T139" s="47" t="s">
        <v>579</v>
      </c>
    </row>
    <row r="140" spans="1:21" ht="13.5" thickBot="1" x14ac:dyDescent="0.35">
      <c r="A140" s="45">
        <v>46239</v>
      </c>
      <c r="B140" s="46" t="s">
        <v>461</v>
      </c>
      <c r="C140" s="46" t="s">
        <v>639</v>
      </c>
      <c r="D140" s="46" t="s">
        <v>330</v>
      </c>
      <c r="E140" s="46" t="s">
        <v>640</v>
      </c>
      <c r="F140" s="46" t="s">
        <v>641</v>
      </c>
      <c r="G140" s="46">
        <v>500</v>
      </c>
      <c r="H140" s="46">
        <v>500</v>
      </c>
      <c r="I140" s="46">
        <v>0.72</v>
      </c>
      <c r="J140" s="104"/>
      <c r="K140" s="46">
        <v>0.36</v>
      </c>
      <c r="L140" s="11">
        <f t="shared" si="9"/>
        <v>500</v>
      </c>
      <c r="M140" s="3">
        <f t="shared" si="8"/>
        <v>0.36</v>
      </c>
      <c r="N140" s="46" t="s">
        <v>69</v>
      </c>
      <c r="O140" s="46" t="s">
        <v>96</v>
      </c>
      <c r="P140" s="46" t="s">
        <v>82</v>
      </c>
      <c r="Q140" s="46" t="s">
        <v>82</v>
      </c>
      <c r="R140" s="46" t="s">
        <v>62</v>
      </c>
      <c r="S140" s="46" t="s">
        <v>196</v>
      </c>
      <c r="T140" s="47" t="s">
        <v>579</v>
      </c>
    </row>
    <row r="141" spans="1:21" ht="13.5" thickBot="1" x14ac:dyDescent="0.35">
      <c r="A141" s="45">
        <v>46239</v>
      </c>
      <c r="B141" s="46" t="s">
        <v>461</v>
      </c>
      <c r="C141" s="46" t="s">
        <v>642</v>
      </c>
      <c r="D141" s="46" t="s">
        <v>330</v>
      </c>
      <c r="E141" s="46" t="s">
        <v>643</v>
      </c>
      <c r="F141" s="46" t="s">
        <v>123</v>
      </c>
      <c r="G141" s="46">
        <v>2000</v>
      </c>
      <c r="H141" s="46">
        <v>2000</v>
      </c>
      <c r="I141" s="46">
        <v>0.83</v>
      </c>
      <c r="J141" s="104"/>
      <c r="K141" s="46">
        <v>1.66</v>
      </c>
      <c r="L141" s="11">
        <f t="shared" si="9"/>
        <v>2000</v>
      </c>
      <c r="M141" s="3">
        <f t="shared" si="8"/>
        <v>1.66</v>
      </c>
      <c r="N141" s="46" t="s">
        <v>69</v>
      </c>
      <c r="O141" s="46" t="s">
        <v>96</v>
      </c>
      <c r="P141" s="46" t="s">
        <v>82</v>
      </c>
      <c r="Q141" s="46" t="s">
        <v>82</v>
      </c>
      <c r="R141" s="46" t="s">
        <v>376</v>
      </c>
      <c r="S141" s="46" t="s">
        <v>196</v>
      </c>
      <c r="T141" s="47" t="s">
        <v>579</v>
      </c>
    </row>
    <row r="142" spans="1:21" ht="13.5" thickBot="1" x14ac:dyDescent="0.35">
      <c r="A142" s="45">
        <v>46239</v>
      </c>
      <c r="B142" s="46" t="s">
        <v>461</v>
      </c>
      <c r="C142" s="46" t="s">
        <v>644</v>
      </c>
      <c r="D142" s="46" t="s">
        <v>330</v>
      </c>
      <c r="E142" s="46" t="s">
        <v>645</v>
      </c>
      <c r="F142" s="46" t="s">
        <v>116</v>
      </c>
      <c r="G142" s="46">
        <v>315</v>
      </c>
      <c r="H142" s="46">
        <v>315</v>
      </c>
      <c r="I142" s="46">
        <v>1.36</v>
      </c>
      <c r="J142" s="104"/>
      <c r="K142" s="46">
        <v>0.43</v>
      </c>
      <c r="L142" s="11">
        <f t="shared" si="9"/>
        <v>315</v>
      </c>
      <c r="M142" s="3">
        <f t="shared" si="8"/>
        <v>0.42840000000000006</v>
      </c>
      <c r="N142" s="46" t="s">
        <v>59</v>
      </c>
      <c r="O142" s="46" t="s">
        <v>96</v>
      </c>
      <c r="P142" s="46" t="s">
        <v>82</v>
      </c>
      <c r="Q142" s="46" t="s">
        <v>82</v>
      </c>
      <c r="R142" s="46" t="s">
        <v>339</v>
      </c>
      <c r="S142" s="46" t="s">
        <v>196</v>
      </c>
      <c r="T142" s="47" t="s">
        <v>579</v>
      </c>
    </row>
    <row r="143" spans="1:21" ht="13.5" thickBot="1" x14ac:dyDescent="0.35">
      <c r="A143" s="45">
        <v>46239</v>
      </c>
      <c r="B143" s="46" t="s">
        <v>461</v>
      </c>
      <c r="C143" s="46" t="s">
        <v>646</v>
      </c>
      <c r="D143" s="46" t="s">
        <v>330</v>
      </c>
      <c r="E143" s="46" t="s">
        <v>647</v>
      </c>
      <c r="F143" s="46" t="s">
        <v>123</v>
      </c>
      <c r="G143" s="46">
        <v>1000</v>
      </c>
      <c r="H143" s="46">
        <v>1000</v>
      </c>
      <c r="I143" s="46">
        <v>0.83</v>
      </c>
      <c r="J143" s="104"/>
      <c r="K143" s="46">
        <v>0.83</v>
      </c>
      <c r="L143" s="11">
        <f t="shared" si="9"/>
        <v>1000</v>
      </c>
      <c r="M143" s="3">
        <f t="shared" si="8"/>
        <v>0.83</v>
      </c>
      <c r="N143" s="46" t="s">
        <v>69</v>
      </c>
      <c r="O143" s="46" t="s">
        <v>96</v>
      </c>
      <c r="P143" s="46" t="s">
        <v>82</v>
      </c>
      <c r="Q143" s="46" t="s">
        <v>82</v>
      </c>
      <c r="R143" s="46" t="s">
        <v>339</v>
      </c>
      <c r="S143" s="46" t="s">
        <v>196</v>
      </c>
      <c r="T143" s="47" t="s">
        <v>579</v>
      </c>
    </row>
    <row r="144" spans="1:21" ht="13.5" thickBot="1" x14ac:dyDescent="0.35">
      <c r="A144" s="45">
        <v>46239</v>
      </c>
      <c r="B144" s="46" t="s">
        <v>461</v>
      </c>
      <c r="C144" s="46" t="s">
        <v>648</v>
      </c>
      <c r="D144" s="46" t="s">
        <v>330</v>
      </c>
      <c r="E144" s="46" t="s">
        <v>649</v>
      </c>
      <c r="F144" s="46" t="s">
        <v>118</v>
      </c>
      <c r="G144" s="46">
        <v>400</v>
      </c>
      <c r="H144" s="46">
        <v>400</v>
      </c>
      <c r="I144" s="46">
        <v>1.07</v>
      </c>
      <c r="J144" s="104"/>
      <c r="K144" s="46">
        <v>0.43</v>
      </c>
      <c r="L144" s="11">
        <f t="shared" si="9"/>
        <v>400</v>
      </c>
      <c r="M144" s="3">
        <f t="shared" si="8"/>
        <v>0.42799999999999999</v>
      </c>
      <c r="N144" s="46" t="s">
        <v>59</v>
      </c>
      <c r="O144" s="46" t="s">
        <v>96</v>
      </c>
      <c r="P144" s="46" t="s">
        <v>82</v>
      </c>
      <c r="Q144" s="46" t="s">
        <v>82</v>
      </c>
      <c r="R144" s="46" t="s">
        <v>62</v>
      </c>
      <c r="S144" s="46" t="s">
        <v>196</v>
      </c>
      <c r="T144" s="47" t="s">
        <v>579</v>
      </c>
    </row>
    <row r="145" spans="1:20" ht="13.5" thickBot="1" x14ac:dyDescent="0.35">
      <c r="A145" s="45">
        <v>46239</v>
      </c>
      <c r="B145" s="46" t="s">
        <v>461</v>
      </c>
      <c r="C145" s="46" t="s">
        <v>650</v>
      </c>
      <c r="D145" s="46" t="s">
        <v>330</v>
      </c>
      <c r="E145" s="46" t="s">
        <v>651</v>
      </c>
      <c r="F145" s="46" t="s">
        <v>116</v>
      </c>
      <c r="G145" s="46">
        <v>630</v>
      </c>
      <c r="H145" s="46">
        <v>630</v>
      </c>
      <c r="I145" s="46">
        <v>1.36</v>
      </c>
      <c r="J145" s="104"/>
      <c r="K145" s="46">
        <v>0.86</v>
      </c>
      <c r="L145" s="11">
        <f t="shared" si="9"/>
        <v>630</v>
      </c>
      <c r="M145" s="3">
        <f t="shared" si="8"/>
        <v>0.85680000000000012</v>
      </c>
      <c r="N145" s="46" t="s">
        <v>59</v>
      </c>
      <c r="O145" s="46" t="s">
        <v>96</v>
      </c>
      <c r="P145" s="46" t="s">
        <v>82</v>
      </c>
      <c r="Q145" s="46" t="s">
        <v>82</v>
      </c>
      <c r="R145" s="46" t="s">
        <v>62</v>
      </c>
      <c r="S145" s="46" t="s">
        <v>196</v>
      </c>
      <c r="T145" s="47" t="s">
        <v>579</v>
      </c>
    </row>
    <row r="146" spans="1:20" ht="13.5" thickBot="1" x14ac:dyDescent="0.35">
      <c r="A146" s="45">
        <v>46239</v>
      </c>
      <c r="B146" s="46" t="s">
        <v>461</v>
      </c>
      <c r="C146" s="46" t="s">
        <v>652</v>
      </c>
      <c r="D146" s="46" t="s">
        <v>330</v>
      </c>
      <c r="E146" s="46" t="s">
        <v>653</v>
      </c>
      <c r="F146" s="46" t="s">
        <v>123</v>
      </c>
      <c r="G146" s="46">
        <v>1000</v>
      </c>
      <c r="H146" s="46">
        <v>1000</v>
      </c>
      <c r="I146" s="46">
        <v>0.84</v>
      </c>
      <c r="J146" s="104"/>
      <c r="K146" s="46">
        <v>0.84</v>
      </c>
      <c r="L146" s="11">
        <f>H146-100-900</f>
        <v>0</v>
      </c>
      <c r="M146" s="3">
        <f t="shared" si="8"/>
        <v>0</v>
      </c>
      <c r="N146" s="46" t="s">
        <v>69</v>
      </c>
      <c r="O146" s="46" t="s">
        <v>96</v>
      </c>
      <c r="P146" s="46" t="s">
        <v>82</v>
      </c>
      <c r="Q146" s="46" t="s">
        <v>82</v>
      </c>
      <c r="R146" s="46" t="s">
        <v>62</v>
      </c>
      <c r="S146" s="46" t="s">
        <v>196</v>
      </c>
      <c r="T146" s="47" t="s">
        <v>579</v>
      </c>
    </row>
    <row r="147" spans="1:20" ht="13.5" thickBot="1" x14ac:dyDescent="0.35">
      <c r="A147" s="16">
        <v>46239</v>
      </c>
      <c r="B147" s="17" t="s">
        <v>461</v>
      </c>
      <c r="C147" s="17" t="s">
        <v>654</v>
      </c>
      <c r="D147" s="17" t="s">
        <v>330</v>
      </c>
      <c r="E147" s="17" t="s">
        <v>655</v>
      </c>
      <c r="F147" s="17" t="s">
        <v>347</v>
      </c>
      <c r="G147" s="17">
        <v>1200</v>
      </c>
      <c r="H147" s="17">
        <v>1200</v>
      </c>
      <c r="I147" s="17">
        <v>0.76</v>
      </c>
      <c r="J147" s="104"/>
      <c r="K147" s="17">
        <v>0.91</v>
      </c>
      <c r="L147" s="11">
        <f>H147-100</f>
        <v>1100</v>
      </c>
      <c r="M147" s="3">
        <f t="shared" si="8"/>
        <v>0.83599999999999997</v>
      </c>
      <c r="N147" s="17" t="s">
        <v>69</v>
      </c>
      <c r="O147" s="17" t="s">
        <v>96</v>
      </c>
      <c r="P147" s="17" t="s">
        <v>82</v>
      </c>
      <c r="Q147" s="17" t="s">
        <v>82</v>
      </c>
      <c r="R147" s="17" t="s">
        <v>62</v>
      </c>
      <c r="S147" s="17" t="s">
        <v>196</v>
      </c>
      <c r="T147" s="18" t="s">
        <v>579</v>
      </c>
    </row>
    <row r="148" spans="1:20" ht="14" thickTop="1" thickBot="1" x14ac:dyDescent="0.35">
      <c r="A148" s="45">
        <v>46240</v>
      </c>
      <c r="B148" s="46" t="s">
        <v>461</v>
      </c>
      <c r="C148" s="46" t="s">
        <v>659</v>
      </c>
      <c r="D148" s="46" t="s">
        <v>660</v>
      </c>
      <c r="E148" s="46" t="s">
        <v>661</v>
      </c>
      <c r="F148" s="46" t="s">
        <v>662</v>
      </c>
      <c r="G148" s="46">
        <v>500</v>
      </c>
      <c r="H148" s="46">
        <v>500</v>
      </c>
      <c r="I148" s="46">
        <v>1.79</v>
      </c>
      <c r="J148" s="104"/>
      <c r="K148" s="46">
        <v>0.9</v>
      </c>
      <c r="L148" s="11">
        <f t="shared" si="9"/>
        <v>500</v>
      </c>
      <c r="M148" s="3">
        <f t="shared" si="8"/>
        <v>0.89500000000000002</v>
      </c>
      <c r="N148" s="46" t="s">
        <v>194</v>
      </c>
      <c r="O148" s="46" t="s">
        <v>226</v>
      </c>
      <c r="P148" s="46" t="s">
        <v>275</v>
      </c>
      <c r="Q148" s="46" t="s">
        <v>82</v>
      </c>
      <c r="R148" s="46" t="s">
        <v>201</v>
      </c>
      <c r="S148" s="46" t="s">
        <v>63</v>
      </c>
      <c r="T148" s="47" t="s">
        <v>164</v>
      </c>
    </row>
    <row r="149" spans="1:20" ht="13.5" thickBot="1" x14ac:dyDescent="0.35">
      <c r="A149" s="275">
        <v>46240</v>
      </c>
      <c r="B149" s="276" t="s">
        <v>461</v>
      </c>
      <c r="C149" s="276" t="s">
        <v>682</v>
      </c>
      <c r="D149" s="276" t="s">
        <v>663</v>
      </c>
      <c r="E149" s="276" t="s">
        <v>664</v>
      </c>
      <c r="F149" s="276" t="s">
        <v>325</v>
      </c>
      <c r="G149" s="276">
        <v>200</v>
      </c>
      <c r="H149" s="276">
        <v>200</v>
      </c>
      <c r="I149" s="276">
        <v>1.95</v>
      </c>
      <c r="J149" s="277"/>
      <c r="K149" s="276">
        <v>0.39</v>
      </c>
      <c r="L149" s="278">
        <f>H149-200</f>
        <v>0</v>
      </c>
      <c r="M149" s="279">
        <f t="shared" si="8"/>
        <v>0</v>
      </c>
      <c r="N149" s="276" t="s">
        <v>59</v>
      </c>
      <c r="O149" s="276" t="s">
        <v>96</v>
      </c>
      <c r="P149" s="276" t="s">
        <v>275</v>
      </c>
      <c r="Q149" s="276" t="s">
        <v>82</v>
      </c>
      <c r="R149" s="276" t="s">
        <v>201</v>
      </c>
      <c r="S149" s="276" t="s">
        <v>63</v>
      </c>
      <c r="T149" s="280" t="s">
        <v>164</v>
      </c>
    </row>
    <row r="150" spans="1:20" ht="13" x14ac:dyDescent="0.3">
      <c r="A150" s="284">
        <v>46253</v>
      </c>
      <c r="B150" s="285" t="s">
        <v>515</v>
      </c>
      <c r="C150" s="285" t="s">
        <v>692</v>
      </c>
      <c r="D150" s="285" t="s">
        <v>663</v>
      </c>
      <c r="E150" s="285" t="s">
        <v>693</v>
      </c>
      <c r="F150" s="285" t="s">
        <v>325</v>
      </c>
      <c r="G150" s="285">
        <v>300</v>
      </c>
      <c r="H150" s="285">
        <v>300</v>
      </c>
      <c r="I150" s="285">
        <v>1.95</v>
      </c>
      <c r="J150" s="282"/>
      <c r="K150" s="285">
        <v>0.39</v>
      </c>
      <c r="L150" s="281">
        <f>H150-200</f>
        <v>100</v>
      </c>
      <c r="M150" s="282">
        <f t="shared" si="8"/>
        <v>0.19500000000000001</v>
      </c>
      <c r="N150" s="285" t="s">
        <v>59</v>
      </c>
      <c r="O150" s="285" t="s">
        <v>96</v>
      </c>
      <c r="P150" s="285" t="s">
        <v>275</v>
      </c>
      <c r="Q150" s="285" t="s">
        <v>82</v>
      </c>
      <c r="R150" s="285" t="s">
        <v>201</v>
      </c>
      <c r="S150" s="285" t="s">
        <v>63</v>
      </c>
      <c r="T150" s="286" t="s">
        <v>164</v>
      </c>
    </row>
    <row r="151" spans="1:20" ht="14.5" x14ac:dyDescent="0.25">
      <c r="A151" s="289">
        <v>46255</v>
      </c>
      <c r="B151" s="287" t="s">
        <v>515</v>
      </c>
      <c r="C151" s="287" t="s">
        <v>698</v>
      </c>
      <c r="D151" s="287" t="s">
        <v>277</v>
      </c>
      <c r="E151" s="287" t="s">
        <v>699</v>
      </c>
      <c r="F151" s="287" t="s">
        <v>169</v>
      </c>
      <c r="G151" s="287">
        <v>1785</v>
      </c>
      <c r="H151" s="287">
        <v>1785</v>
      </c>
      <c r="I151" s="287">
        <v>1.68</v>
      </c>
      <c r="J151" s="283"/>
      <c r="K151" s="287">
        <v>3</v>
      </c>
      <c r="L151" s="287">
        <v>1785</v>
      </c>
      <c r="M151" s="2">
        <f t="shared" si="8"/>
        <v>2.9987999999999997</v>
      </c>
      <c r="N151" s="287" t="s">
        <v>194</v>
      </c>
      <c r="O151" s="287" t="s">
        <v>226</v>
      </c>
      <c r="P151" s="287" t="s">
        <v>60</v>
      </c>
      <c r="Q151" s="283"/>
      <c r="R151" s="287" t="s">
        <v>339</v>
      </c>
      <c r="S151" s="288" t="s">
        <v>63</v>
      </c>
      <c r="T151" s="290" t="s">
        <v>720</v>
      </c>
    </row>
    <row r="152" spans="1:20" ht="14.5" x14ac:dyDescent="0.25">
      <c r="A152" s="289">
        <v>46255</v>
      </c>
      <c r="B152" s="287" t="s">
        <v>515</v>
      </c>
      <c r="C152" s="287" t="s">
        <v>700</v>
      </c>
      <c r="D152" s="287" t="s">
        <v>277</v>
      </c>
      <c r="E152" s="287" t="s">
        <v>701</v>
      </c>
      <c r="F152" s="287" t="s">
        <v>279</v>
      </c>
      <c r="G152" s="287">
        <v>3000</v>
      </c>
      <c r="H152" s="287">
        <v>3000</v>
      </c>
      <c r="I152" s="287">
        <v>0.91</v>
      </c>
      <c r="J152" s="283"/>
      <c r="K152" s="287">
        <v>2.73</v>
      </c>
      <c r="L152" s="287">
        <v>3000</v>
      </c>
      <c r="M152" s="2">
        <f t="shared" si="8"/>
        <v>2.73</v>
      </c>
      <c r="N152" s="287" t="s">
        <v>280</v>
      </c>
      <c r="O152" s="287" t="s">
        <v>226</v>
      </c>
      <c r="P152" s="287" t="s">
        <v>60</v>
      </c>
      <c r="Q152" s="283"/>
      <c r="R152" s="287" t="s">
        <v>339</v>
      </c>
      <c r="S152" s="288" t="s">
        <v>63</v>
      </c>
      <c r="T152" s="290" t="s">
        <v>720</v>
      </c>
    </row>
    <row r="153" spans="1:20" ht="14.5" x14ac:dyDescent="0.25">
      <c r="A153" s="289">
        <v>46255</v>
      </c>
      <c r="B153" s="287" t="s">
        <v>515</v>
      </c>
      <c r="C153" s="287" t="s">
        <v>702</v>
      </c>
      <c r="D153" s="287" t="s">
        <v>277</v>
      </c>
      <c r="E153" s="287" t="s">
        <v>703</v>
      </c>
      <c r="F153" s="287" t="s">
        <v>169</v>
      </c>
      <c r="G153" s="287">
        <v>1785</v>
      </c>
      <c r="H153" s="287">
        <v>1785</v>
      </c>
      <c r="I153" s="287">
        <v>1.68</v>
      </c>
      <c r="J153" s="283"/>
      <c r="K153" s="287">
        <v>3</v>
      </c>
      <c r="L153" s="287">
        <v>1785</v>
      </c>
      <c r="M153" s="2">
        <f t="shared" si="8"/>
        <v>2.9987999999999997</v>
      </c>
      <c r="N153" s="287" t="s">
        <v>194</v>
      </c>
      <c r="O153" s="287" t="s">
        <v>226</v>
      </c>
      <c r="P153" s="287" t="s">
        <v>60</v>
      </c>
      <c r="Q153" s="283"/>
      <c r="R153" s="287" t="s">
        <v>339</v>
      </c>
      <c r="S153" s="288" t="s">
        <v>63</v>
      </c>
      <c r="T153" s="290" t="s">
        <v>720</v>
      </c>
    </row>
    <row r="154" spans="1:20" ht="14.5" x14ac:dyDescent="0.25">
      <c r="A154" s="289">
        <v>46255</v>
      </c>
      <c r="B154" s="287" t="s">
        <v>515</v>
      </c>
      <c r="C154" s="287" t="s">
        <v>704</v>
      </c>
      <c r="D154" s="287" t="s">
        <v>277</v>
      </c>
      <c r="E154" s="287" t="s">
        <v>705</v>
      </c>
      <c r="F154" s="287" t="s">
        <v>706</v>
      </c>
      <c r="G154" s="287">
        <v>1920</v>
      </c>
      <c r="H154" s="287">
        <v>1920</v>
      </c>
      <c r="I154" s="287">
        <v>1.38</v>
      </c>
      <c r="J154" s="283"/>
      <c r="K154" s="287">
        <v>2.65</v>
      </c>
      <c r="L154" s="287">
        <v>1920</v>
      </c>
      <c r="M154" s="2">
        <f t="shared" si="8"/>
        <v>2.6496</v>
      </c>
      <c r="N154" s="287" t="s">
        <v>280</v>
      </c>
      <c r="O154" s="287" t="s">
        <v>226</v>
      </c>
      <c r="P154" s="287" t="s">
        <v>60</v>
      </c>
      <c r="Q154" s="283"/>
      <c r="R154" s="287" t="s">
        <v>339</v>
      </c>
      <c r="S154" s="288" t="s">
        <v>63</v>
      </c>
      <c r="T154" s="290" t="s">
        <v>720</v>
      </c>
    </row>
    <row r="155" spans="1:20" ht="14.5" x14ac:dyDescent="0.25">
      <c r="A155" s="289">
        <v>46255</v>
      </c>
      <c r="B155" s="287" t="s">
        <v>515</v>
      </c>
      <c r="C155" s="287" t="s">
        <v>707</v>
      </c>
      <c r="D155" s="287" t="s">
        <v>277</v>
      </c>
      <c r="E155" s="287" t="s">
        <v>708</v>
      </c>
      <c r="F155" s="287" t="s">
        <v>169</v>
      </c>
      <c r="G155" s="287">
        <v>2040</v>
      </c>
      <c r="H155" s="287">
        <v>2040</v>
      </c>
      <c r="I155" s="287">
        <v>1.68</v>
      </c>
      <c r="J155" s="283"/>
      <c r="K155" s="287">
        <v>3.43</v>
      </c>
      <c r="L155" s="287">
        <v>2040</v>
      </c>
      <c r="M155" s="2">
        <f t="shared" si="8"/>
        <v>3.4272</v>
      </c>
      <c r="N155" s="287" t="s">
        <v>194</v>
      </c>
      <c r="O155" s="287" t="s">
        <v>226</v>
      </c>
      <c r="P155" s="287" t="s">
        <v>60</v>
      </c>
      <c r="Q155" s="283"/>
      <c r="R155" s="287" t="s">
        <v>339</v>
      </c>
      <c r="S155" s="288" t="s">
        <v>63</v>
      </c>
      <c r="T155" s="290" t="s">
        <v>720</v>
      </c>
    </row>
    <row r="156" spans="1:20" ht="14.5" x14ac:dyDescent="0.25">
      <c r="A156" s="289">
        <v>46255</v>
      </c>
      <c r="B156" s="287" t="s">
        <v>515</v>
      </c>
      <c r="C156" s="287" t="s">
        <v>709</v>
      </c>
      <c r="D156" s="287" t="s">
        <v>277</v>
      </c>
      <c r="E156" s="287" t="s">
        <v>710</v>
      </c>
      <c r="F156" s="287" t="s">
        <v>279</v>
      </c>
      <c r="G156" s="287">
        <v>3000</v>
      </c>
      <c r="H156" s="287">
        <v>3000</v>
      </c>
      <c r="I156" s="287">
        <v>0.91</v>
      </c>
      <c r="J156" s="283"/>
      <c r="K156" s="287">
        <v>2.73</v>
      </c>
      <c r="L156" s="287">
        <v>3000</v>
      </c>
      <c r="M156" s="2">
        <f t="shared" si="8"/>
        <v>2.73</v>
      </c>
      <c r="N156" s="287" t="s">
        <v>280</v>
      </c>
      <c r="O156" s="287" t="s">
        <v>226</v>
      </c>
      <c r="P156" s="287" t="s">
        <v>60</v>
      </c>
      <c r="Q156" s="283"/>
      <c r="R156" s="287" t="s">
        <v>339</v>
      </c>
      <c r="S156" s="288" t="s">
        <v>63</v>
      </c>
      <c r="T156" s="290" t="s">
        <v>720</v>
      </c>
    </row>
    <row r="157" spans="1:20" ht="14.5" x14ac:dyDescent="0.25">
      <c r="A157" s="289">
        <v>46255</v>
      </c>
      <c r="B157" s="287" t="s">
        <v>515</v>
      </c>
      <c r="C157" s="287" t="s">
        <v>711</v>
      </c>
      <c r="D157" s="287" t="s">
        <v>277</v>
      </c>
      <c r="E157" s="287" t="s">
        <v>712</v>
      </c>
      <c r="F157" s="287" t="s">
        <v>169</v>
      </c>
      <c r="G157" s="287">
        <v>1020</v>
      </c>
      <c r="H157" s="287">
        <v>1020</v>
      </c>
      <c r="I157" s="287">
        <v>1.68</v>
      </c>
      <c r="J157" s="283"/>
      <c r="K157" s="287">
        <v>1.71</v>
      </c>
      <c r="L157" s="287">
        <v>1020</v>
      </c>
      <c r="M157" s="2">
        <f t="shared" si="8"/>
        <v>1.7136</v>
      </c>
      <c r="N157" s="287" t="s">
        <v>194</v>
      </c>
      <c r="O157" s="287" t="s">
        <v>226</v>
      </c>
      <c r="P157" s="287" t="s">
        <v>60</v>
      </c>
      <c r="Q157" s="283"/>
      <c r="R157" s="287" t="s">
        <v>339</v>
      </c>
      <c r="S157" s="288" t="s">
        <v>63</v>
      </c>
      <c r="T157" s="290" t="s">
        <v>720</v>
      </c>
    </row>
    <row r="158" spans="1:20" ht="14.5" x14ac:dyDescent="0.25">
      <c r="A158" s="289">
        <v>46255</v>
      </c>
      <c r="B158" s="287" t="s">
        <v>515</v>
      </c>
      <c r="C158" s="287" t="s">
        <v>713</v>
      </c>
      <c r="D158" s="287" t="s">
        <v>277</v>
      </c>
      <c r="E158" s="287" t="s">
        <v>714</v>
      </c>
      <c r="F158" s="287" t="s">
        <v>193</v>
      </c>
      <c r="G158" s="287">
        <v>1000</v>
      </c>
      <c r="H158" s="287">
        <v>1000</v>
      </c>
      <c r="I158" s="287">
        <v>2.13</v>
      </c>
      <c r="J158" s="283"/>
      <c r="K158" s="287">
        <v>2.13</v>
      </c>
      <c r="L158" s="287">
        <v>1000</v>
      </c>
      <c r="M158" s="2">
        <f t="shared" si="8"/>
        <v>2.13</v>
      </c>
      <c r="N158" s="287" t="s">
        <v>194</v>
      </c>
      <c r="O158" s="287" t="s">
        <v>226</v>
      </c>
      <c r="P158" s="287" t="s">
        <v>60</v>
      </c>
      <c r="Q158" s="283"/>
      <c r="R158" s="287" t="s">
        <v>339</v>
      </c>
      <c r="S158" s="288" t="s">
        <v>63</v>
      </c>
      <c r="T158" s="290" t="s">
        <v>720</v>
      </c>
    </row>
    <row r="159" spans="1:20" ht="14.5" x14ac:dyDescent="0.25">
      <c r="A159" s="289">
        <v>46255</v>
      </c>
      <c r="B159" s="287" t="s">
        <v>515</v>
      </c>
      <c r="C159" s="287" t="s">
        <v>715</v>
      </c>
      <c r="D159" s="287" t="s">
        <v>277</v>
      </c>
      <c r="E159" s="287" t="s">
        <v>716</v>
      </c>
      <c r="F159" s="287" t="s">
        <v>279</v>
      </c>
      <c r="G159" s="287">
        <v>1500</v>
      </c>
      <c r="H159" s="287">
        <v>1500</v>
      </c>
      <c r="I159" s="287">
        <v>0.91</v>
      </c>
      <c r="J159" s="283"/>
      <c r="K159" s="287">
        <v>1.37</v>
      </c>
      <c r="L159" s="287">
        <v>1500</v>
      </c>
      <c r="M159" s="2">
        <f t="shared" si="8"/>
        <v>1.365</v>
      </c>
      <c r="N159" s="287" t="s">
        <v>280</v>
      </c>
      <c r="O159" s="287" t="s">
        <v>226</v>
      </c>
      <c r="P159" s="287" t="s">
        <v>60</v>
      </c>
      <c r="Q159" s="283"/>
      <c r="R159" s="287" t="s">
        <v>339</v>
      </c>
      <c r="S159" s="288" t="s">
        <v>63</v>
      </c>
      <c r="T159" s="290" t="s">
        <v>720</v>
      </c>
    </row>
    <row r="160" spans="1:20" ht="15" thickBot="1" x14ac:dyDescent="0.3">
      <c r="A160" s="289">
        <v>46255</v>
      </c>
      <c r="B160" s="291" t="s">
        <v>515</v>
      </c>
      <c r="C160" s="291" t="s">
        <v>717</v>
      </c>
      <c r="D160" s="291" t="s">
        <v>277</v>
      </c>
      <c r="E160" s="291" t="s">
        <v>718</v>
      </c>
      <c r="F160" s="291" t="s">
        <v>719</v>
      </c>
      <c r="G160" s="291">
        <v>1200</v>
      </c>
      <c r="H160" s="291">
        <v>1200</v>
      </c>
      <c r="I160" s="291">
        <v>1.33</v>
      </c>
      <c r="J160" s="292"/>
      <c r="K160" s="291">
        <v>1.6</v>
      </c>
      <c r="L160" s="291">
        <v>1200</v>
      </c>
      <c r="M160" s="293">
        <f t="shared" si="8"/>
        <v>1.5960000000000001</v>
      </c>
      <c r="N160" s="291" t="s">
        <v>194</v>
      </c>
      <c r="O160" s="291" t="s">
        <v>226</v>
      </c>
      <c r="P160" s="291" t="s">
        <v>60</v>
      </c>
      <c r="Q160" s="292"/>
      <c r="R160" s="291" t="s">
        <v>201</v>
      </c>
      <c r="S160" s="294" t="s">
        <v>63</v>
      </c>
      <c r="T160" s="295" t="s">
        <v>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129F-A8B9-4DF8-A098-1A6B0E534966}">
  <dimension ref="A1:C13"/>
  <sheetViews>
    <sheetView workbookViewId="0">
      <selection activeCell="G13" sqref="G13"/>
    </sheetView>
  </sheetViews>
  <sheetFormatPr defaultRowHeight="12.5" x14ac:dyDescent="0.25"/>
  <cols>
    <col min="1" max="1" width="13" bestFit="1" customWidth="1"/>
    <col min="2" max="2" width="15.54296875" bestFit="1" customWidth="1"/>
    <col min="3" max="3" width="11.81640625" bestFit="1" customWidth="1"/>
  </cols>
  <sheetData>
    <row r="1" spans="1:3" x14ac:dyDescent="0.25">
      <c r="A1" s="8" t="s">
        <v>721</v>
      </c>
      <c r="B1" t="s">
        <v>729</v>
      </c>
    </row>
    <row r="3" spans="1:3" x14ac:dyDescent="0.25">
      <c r="A3" s="8" t="s">
        <v>228</v>
      </c>
      <c r="B3" t="s">
        <v>231</v>
      </c>
      <c r="C3" t="s">
        <v>230</v>
      </c>
    </row>
    <row r="4" spans="1:3" x14ac:dyDescent="0.25">
      <c r="A4" s="9" t="s">
        <v>746</v>
      </c>
      <c r="B4">
        <v>66245</v>
      </c>
      <c r="C4">
        <v>49696.5965</v>
      </c>
    </row>
    <row r="5" spans="1:3" x14ac:dyDescent="0.25">
      <c r="A5" s="9" t="s">
        <v>747</v>
      </c>
      <c r="B5">
        <v>21575</v>
      </c>
      <c r="C5">
        <v>26291.289000000004</v>
      </c>
    </row>
    <row r="6" spans="1:3" x14ac:dyDescent="0.25">
      <c r="A6" s="9" t="s">
        <v>748</v>
      </c>
      <c r="B6">
        <v>5670</v>
      </c>
      <c r="C6">
        <v>9340.1085000000003</v>
      </c>
    </row>
    <row r="7" spans="1:3" x14ac:dyDescent="0.25">
      <c r="A7" s="9" t="s">
        <v>749</v>
      </c>
      <c r="B7">
        <v>29165</v>
      </c>
      <c r="C7">
        <v>55608.718499999988</v>
      </c>
    </row>
    <row r="8" spans="1:3" x14ac:dyDescent="0.25">
      <c r="A8" s="9" t="s">
        <v>750</v>
      </c>
      <c r="B8">
        <v>4835</v>
      </c>
      <c r="C8">
        <v>10823.528000000002</v>
      </c>
    </row>
    <row r="9" spans="1:3" x14ac:dyDescent="0.25">
      <c r="A9" s="9" t="s">
        <v>751</v>
      </c>
      <c r="B9">
        <v>245</v>
      </c>
      <c r="C9">
        <v>686</v>
      </c>
    </row>
    <row r="10" spans="1:3" x14ac:dyDescent="0.25">
      <c r="A10" s="9" t="s">
        <v>752</v>
      </c>
      <c r="B10">
        <v>125</v>
      </c>
      <c r="C10">
        <v>420.75</v>
      </c>
    </row>
    <row r="11" spans="1:3" x14ac:dyDescent="0.25">
      <c r="A11" s="9" t="s">
        <v>753</v>
      </c>
      <c r="B11">
        <v>300</v>
      </c>
      <c r="C11">
        <v>1059.9000000000001</v>
      </c>
    </row>
    <row r="12" spans="1:3" x14ac:dyDescent="0.25">
      <c r="A12" s="9" t="s">
        <v>754</v>
      </c>
      <c r="B12">
        <v>200</v>
      </c>
      <c r="C12">
        <v>826.09999999999991</v>
      </c>
    </row>
    <row r="13" spans="1:3" x14ac:dyDescent="0.25">
      <c r="A13" s="9" t="s">
        <v>229</v>
      </c>
      <c r="B13">
        <v>128360</v>
      </c>
      <c r="C13">
        <v>154752.99049999999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6BBE-1125-4CE1-ACF3-E4B2CC1A292C}">
  <dimension ref="A1:C16"/>
  <sheetViews>
    <sheetView workbookViewId="0">
      <selection sqref="A1:C16"/>
    </sheetView>
  </sheetViews>
  <sheetFormatPr defaultRowHeight="12.5" x14ac:dyDescent="0.25"/>
  <cols>
    <col min="1" max="1" width="15.90625" bestFit="1" customWidth="1"/>
    <col min="2" max="2" width="10.54296875" bestFit="1" customWidth="1"/>
  </cols>
  <sheetData>
    <row r="1" spans="1:3" ht="13" x14ac:dyDescent="0.25">
      <c r="A1" s="2" t="s">
        <v>745</v>
      </c>
      <c r="B1" s="2" t="s">
        <v>231</v>
      </c>
      <c r="C1" s="2" t="s">
        <v>744</v>
      </c>
    </row>
    <row r="2" spans="1:3" x14ac:dyDescent="0.25">
      <c r="A2" s="3" t="s">
        <v>730</v>
      </c>
      <c r="B2" s="3">
        <v>49840</v>
      </c>
      <c r="C2" s="296">
        <f>B2/$B$16</f>
        <v>0.38828295419133685</v>
      </c>
    </row>
    <row r="3" spans="1:3" x14ac:dyDescent="0.25">
      <c r="A3" s="3" t="s">
        <v>731</v>
      </c>
      <c r="B3" s="3">
        <v>16405</v>
      </c>
      <c r="C3" s="296">
        <f t="shared" ref="C3:C15" si="0">B3/$B$16</f>
        <v>0.12780461202866936</v>
      </c>
    </row>
    <row r="4" spans="1:3" x14ac:dyDescent="0.25">
      <c r="A4" s="3" t="s">
        <v>732</v>
      </c>
      <c r="B4" s="3">
        <v>10300</v>
      </c>
      <c r="C4" s="296">
        <f t="shared" si="0"/>
        <v>8.0243066375818017E-2</v>
      </c>
    </row>
    <row r="5" spans="1:3" x14ac:dyDescent="0.25">
      <c r="A5" s="3" t="s">
        <v>733</v>
      </c>
      <c r="B5" s="3">
        <v>11275</v>
      </c>
      <c r="C5" s="296">
        <f t="shared" si="0"/>
        <v>8.783889062013088E-2</v>
      </c>
    </row>
    <row r="6" spans="1:3" x14ac:dyDescent="0.25">
      <c r="A6" s="3" t="s">
        <v>734</v>
      </c>
      <c r="B6" s="3">
        <v>2460</v>
      </c>
      <c r="C6" s="296">
        <f t="shared" si="0"/>
        <v>1.916484886257401E-2</v>
      </c>
    </row>
    <row r="7" spans="1:3" x14ac:dyDescent="0.25">
      <c r="A7" s="3" t="s">
        <v>735</v>
      </c>
      <c r="B7" s="3">
        <v>3210</v>
      </c>
      <c r="C7" s="296">
        <f t="shared" si="0"/>
        <v>2.5007790588968525E-2</v>
      </c>
    </row>
    <row r="8" spans="1:3" x14ac:dyDescent="0.25">
      <c r="A8" s="3" t="s">
        <v>736</v>
      </c>
      <c r="B8" s="3">
        <v>21650</v>
      </c>
      <c r="C8" s="296">
        <f t="shared" si="0"/>
        <v>0.16866625116858835</v>
      </c>
    </row>
    <row r="9" spans="1:3" x14ac:dyDescent="0.25">
      <c r="A9" s="3" t="s">
        <v>737</v>
      </c>
      <c r="B9" s="3">
        <v>7515</v>
      </c>
      <c r="C9" s="296">
        <f t="shared" si="0"/>
        <v>5.8546276098473043E-2</v>
      </c>
    </row>
    <row r="10" spans="1:3" x14ac:dyDescent="0.25">
      <c r="A10" s="3" t="s">
        <v>738</v>
      </c>
      <c r="B10" s="3">
        <v>4660</v>
      </c>
      <c r="C10" s="296">
        <f t="shared" si="0"/>
        <v>3.6304144593331256E-2</v>
      </c>
    </row>
    <row r="11" spans="1:3" x14ac:dyDescent="0.25">
      <c r="A11" s="3" t="s">
        <v>739</v>
      </c>
      <c r="B11" s="3">
        <v>175</v>
      </c>
      <c r="C11" s="296">
        <f t="shared" si="0"/>
        <v>1.3633530694920537E-3</v>
      </c>
    </row>
    <row r="12" spans="1:3" x14ac:dyDescent="0.25">
      <c r="A12" s="3" t="s">
        <v>740</v>
      </c>
      <c r="B12" s="3">
        <v>245</v>
      </c>
      <c r="C12" s="296">
        <f t="shared" si="0"/>
        <v>1.908694297288875E-3</v>
      </c>
    </row>
    <row r="13" spans="1:3" x14ac:dyDescent="0.25">
      <c r="A13" s="3" t="s">
        <v>741</v>
      </c>
      <c r="B13" s="3">
        <v>125</v>
      </c>
      <c r="C13" s="296">
        <f t="shared" si="0"/>
        <v>9.7382362106575261E-4</v>
      </c>
    </row>
    <row r="14" spans="1:3" x14ac:dyDescent="0.25">
      <c r="A14" s="3" t="s">
        <v>742</v>
      </c>
      <c r="B14" s="3">
        <v>300</v>
      </c>
      <c r="C14" s="296">
        <f t="shared" si="0"/>
        <v>2.3371766905578061E-3</v>
      </c>
    </row>
    <row r="15" spans="1:3" x14ac:dyDescent="0.25">
      <c r="A15" s="3" t="s">
        <v>743</v>
      </c>
      <c r="B15" s="3">
        <v>200</v>
      </c>
      <c r="C15" s="296">
        <f t="shared" si="0"/>
        <v>1.5581177937052041E-3</v>
      </c>
    </row>
    <row r="16" spans="1:3" ht="13" x14ac:dyDescent="0.25">
      <c r="A16" s="2" t="s">
        <v>229</v>
      </c>
      <c r="B16" s="2">
        <v>128360</v>
      </c>
      <c r="C16" s="297">
        <f>SUM(C2:C15)</f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75"/>
  <sheetViews>
    <sheetView zoomScale="83" zoomScaleNormal="83" zoomScaleSheetLayoutView="100" workbookViewId="0">
      <pane ySplit="1" topLeftCell="A665" activePane="bottomLeft" state="frozen"/>
      <selection activeCell="E262" sqref="E262"/>
      <selection pane="bottomLeft" activeCell="I672" sqref="I672"/>
    </sheetView>
  </sheetViews>
  <sheetFormatPr defaultColWidth="9" defaultRowHeight="14" x14ac:dyDescent="0.25"/>
  <cols>
    <col min="1" max="2" width="11" style="1" customWidth="1"/>
    <col min="3" max="3" width="9.54296875" style="1" customWidth="1"/>
    <col min="4" max="4" width="7.81640625" style="1" customWidth="1"/>
    <col min="5" max="5" width="36.54296875" style="1" bestFit="1" customWidth="1"/>
    <col min="6" max="6" width="47.36328125" style="1" customWidth="1"/>
    <col min="7" max="7" width="22.90625" style="1" customWidth="1"/>
    <col min="8" max="8" width="14.36328125" style="1" customWidth="1"/>
    <col min="9" max="9" width="11.453125" style="1" bestFit="1" customWidth="1"/>
    <col min="10" max="10" width="11.54296875" style="1" customWidth="1"/>
    <col min="11" max="11" width="10.54296875" style="1" customWidth="1"/>
    <col min="12" max="12" width="10.90625" style="1" bestFit="1" customWidth="1"/>
    <col min="13" max="13" width="10.81640625" style="1" customWidth="1"/>
    <col min="14" max="14" width="8.81640625" style="1" customWidth="1"/>
    <col min="15" max="15" width="14.81640625" style="1" bestFit="1" customWidth="1"/>
    <col min="16" max="16" width="9.81640625" style="1" bestFit="1" customWidth="1"/>
    <col min="17" max="17" width="12.54296875" style="1" bestFit="1" customWidth="1"/>
    <col min="18" max="19" width="12.81640625" style="1" bestFit="1" customWidth="1"/>
    <col min="20" max="20" width="12.81640625" style="1" customWidth="1"/>
    <col min="21" max="21" width="12" style="1" customWidth="1"/>
    <col min="22" max="22" width="10.81640625" style="1" bestFit="1" customWidth="1"/>
    <col min="23" max="27" width="11.1796875" style="1" customWidth="1"/>
    <col min="28" max="28" width="10.54296875" style="1" customWidth="1"/>
    <col min="29" max="29" width="9" style="1"/>
    <col min="30" max="30" width="12.453125" style="1" bestFit="1" customWidth="1"/>
    <col min="31" max="33" width="9.1796875" style="1" bestFit="1" customWidth="1"/>
    <col min="34" max="34" width="9.81640625" style="1" bestFit="1" customWidth="1"/>
    <col min="35" max="35" width="11.1796875" style="1" customWidth="1"/>
    <col min="36" max="37" width="12.81640625" style="1" bestFit="1" customWidth="1"/>
    <col min="38" max="38" width="9" style="1"/>
    <col min="39" max="39" width="12.453125" style="1" bestFit="1" customWidth="1"/>
    <col min="40" max="42" width="9.1796875" style="1" bestFit="1" customWidth="1"/>
    <col min="43" max="43" width="10.54296875" style="1" bestFit="1" customWidth="1"/>
    <col min="44" max="44" width="12" style="1" bestFit="1" customWidth="1"/>
    <col min="45" max="46" width="12.81640625" style="1" bestFit="1" customWidth="1"/>
    <col min="47" max="47" width="9" style="1"/>
    <col min="48" max="48" width="12.453125" style="1" bestFit="1" customWidth="1"/>
    <col min="49" max="50" width="10.81640625" style="1" bestFit="1" customWidth="1"/>
    <col min="51" max="51" width="9.1796875" style="1" bestFit="1" customWidth="1"/>
    <col min="52" max="52" width="11.81640625" style="1" customWidth="1"/>
    <col min="53" max="53" width="12" style="1" bestFit="1" customWidth="1"/>
    <col min="54" max="55" width="12.81640625" style="1" bestFit="1" customWidth="1"/>
    <col min="56" max="56" width="9.81640625" style="1" bestFit="1" customWidth="1"/>
    <col min="57" max="57" width="12.453125" style="1" bestFit="1" customWidth="1"/>
    <col min="58" max="60" width="9.1796875" style="1" bestFit="1" customWidth="1"/>
    <col min="61" max="61" width="11.81640625" style="1" customWidth="1"/>
    <col min="62" max="62" width="12" style="1" bestFit="1" customWidth="1"/>
    <col min="63" max="64" width="12.81640625" style="1" bestFit="1" customWidth="1"/>
    <col min="65" max="65" width="13.81640625" style="1" bestFit="1" customWidth="1"/>
    <col min="66" max="66" width="12.453125" style="1" bestFit="1" customWidth="1"/>
    <col min="67" max="69" width="13.54296875" style="1" customWidth="1"/>
    <col min="70" max="70" width="11.81640625" style="1" customWidth="1"/>
    <col min="71" max="71" width="10.81640625" style="1" bestFit="1" customWidth="1"/>
    <col min="72" max="78" width="11.1796875" style="1" customWidth="1"/>
    <col min="79" max="79" width="11.81640625" style="1" customWidth="1"/>
    <col min="80" max="80" width="10.81640625" style="1" bestFit="1" customWidth="1"/>
    <col min="81" max="87" width="11.1796875" style="1" customWidth="1"/>
    <col min="88" max="88" width="11.54296875" style="1" customWidth="1"/>
    <col min="89" max="89" width="10.81640625" style="1" bestFit="1" customWidth="1"/>
    <col min="90" max="94" width="11.1796875" style="1" customWidth="1"/>
    <col min="95" max="96" width="10.54296875" style="1" customWidth="1"/>
    <col min="97" max="97" width="12" style="1" customWidth="1"/>
    <col min="98" max="98" width="10.81640625" style="1" bestFit="1" customWidth="1"/>
    <col min="99" max="103" width="11.1796875" style="1" customWidth="1"/>
    <col min="104" max="105" width="10.54296875" style="1" customWidth="1"/>
    <col min="106" max="109" width="14.81640625" style="1" customWidth="1"/>
    <col min="110" max="110" width="10.1796875" style="1" bestFit="1" customWidth="1"/>
    <col min="111" max="111" width="10.81640625" style="1" customWidth="1"/>
    <col min="112" max="113" width="12.81640625" style="1" bestFit="1" customWidth="1"/>
    <col min="114" max="115" width="12.81640625" style="1" customWidth="1"/>
    <col min="116" max="117" width="11.81640625" style="1" customWidth="1"/>
    <col min="118" max="118" width="9.1796875" style="1" bestFit="1" customWidth="1"/>
    <col min="119" max="119" width="10.81640625" style="1" customWidth="1"/>
    <col min="120" max="121" width="12.81640625" style="1" bestFit="1" customWidth="1"/>
    <col min="122" max="123" width="12.81640625" style="1" customWidth="1"/>
    <col min="124" max="125" width="11.81640625" style="1" customWidth="1"/>
    <col min="126" max="134" width="9" style="1"/>
    <col min="135" max="135" width="10.81640625" style="1" customWidth="1"/>
    <col min="136" max="137" width="12.81640625" style="1" bestFit="1" customWidth="1"/>
    <col min="138" max="139" width="12.81640625" style="1" customWidth="1"/>
    <col min="140" max="141" width="11.81640625" style="1" customWidth="1"/>
    <col min="142" max="16384" width="9" style="1"/>
  </cols>
  <sheetData>
    <row r="1" spans="1:16" ht="15.5" x14ac:dyDescent="0.25">
      <c r="A1" s="128" t="s">
        <v>19</v>
      </c>
      <c r="B1" s="128" t="s">
        <v>721</v>
      </c>
      <c r="C1" s="128" t="s">
        <v>0</v>
      </c>
      <c r="D1" s="128" t="s">
        <v>1</v>
      </c>
      <c r="E1" s="129" t="s">
        <v>2</v>
      </c>
      <c r="F1" s="107" t="s">
        <v>3</v>
      </c>
      <c r="G1" s="107" t="s">
        <v>4</v>
      </c>
      <c r="H1" s="107" t="s">
        <v>5</v>
      </c>
      <c r="I1" s="107" t="s">
        <v>6</v>
      </c>
      <c r="J1" s="130" t="s">
        <v>23</v>
      </c>
      <c r="K1" s="131" t="s">
        <v>24</v>
      </c>
      <c r="L1" s="132" t="s">
        <v>7</v>
      </c>
      <c r="M1" s="133" t="s">
        <v>26</v>
      </c>
      <c r="N1" s="133" t="s">
        <v>25</v>
      </c>
      <c r="O1" s="133" t="s">
        <v>27</v>
      </c>
      <c r="P1" s="1" t="s">
        <v>38</v>
      </c>
    </row>
    <row r="2" spans="1:16" s="144" customFormat="1" ht="31" x14ac:dyDescent="0.35">
      <c r="A2" s="134">
        <v>46055</v>
      </c>
      <c r="B2" s="134" t="s">
        <v>722</v>
      </c>
      <c r="C2" s="135">
        <v>1</v>
      </c>
      <c r="D2" s="136" t="s">
        <v>8</v>
      </c>
      <c r="E2" s="30" t="s">
        <v>9</v>
      </c>
      <c r="F2" s="137" t="s">
        <v>14</v>
      </c>
      <c r="G2" s="31" t="s">
        <v>15</v>
      </c>
      <c r="H2" s="138" t="s">
        <v>16</v>
      </c>
      <c r="I2" s="108" t="s">
        <v>17</v>
      </c>
      <c r="J2" s="139">
        <v>280</v>
      </c>
      <c r="K2" s="140">
        <f t="shared" ref="K2:K65" si="0">L2*J2</f>
        <v>624.4</v>
      </c>
      <c r="L2" s="141">
        <v>2.23</v>
      </c>
      <c r="M2" s="142">
        <v>5040</v>
      </c>
      <c r="N2" s="142">
        <f t="shared" ref="N2:N17" si="1">J2</f>
        <v>280</v>
      </c>
      <c r="O2" s="143">
        <f t="shared" ref="O2:O33" si="2">M2-N2</f>
        <v>4760</v>
      </c>
      <c r="P2" s="144" t="s">
        <v>36</v>
      </c>
    </row>
    <row r="3" spans="1:16" s="144" customFormat="1" ht="31" x14ac:dyDescent="0.35">
      <c r="A3" s="134">
        <v>46055</v>
      </c>
      <c r="B3" s="134" t="s">
        <v>722</v>
      </c>
      <c r="C3" s="135">
        <v>2</v>
      </c>
      <c r="D3" s="136" t="s">
        <v>8</v>
      </c>
      <c r="E3" s="30" t="s">
        <v>9</v>
      </c>
      <c r="F3" s="137" t="s">
        <v>14</v>
      </c>
      <c r="G3" s="31" t="s">
        <v>15</v>
      </c>
      <c r="H3" s="138" t="s">
        <v>16</v>
      </c>
      <c r="I3" s="108" t="s">
        <v>17</v>
      </c>
      <c r="J3" s="139">
        <v>400</v>
      </c>
      <c r="K3" s="140">
        <f t="shared" si="0"/>
        <v>892</v>
      </c>
      <c r="L3" s="141">
        <v>2.23</v>
      </c>
      <c r="M3" s="142">
        <f>O2</f>
        <v>4760</v>
      </c>
      <c r="N3" s="142">
        <f t="shared" si="1"/>
        <v>400</v>
      </c>
      <c r="O3" s="143">
        <f t="shared" si="2"/>
        <v>4360</v>
      </c>
      <c r="P3" s="144" t="s">
        <v>36</v>
      </c>
    </row>
    <row r="4" spans="1:16" s="144" customFormat="1" ht="31" x14ac:dyDescent="0.35">
      <c r="A4" s="134">
        <v>46055</v>
      </c>
      <c r="B4" s="134" t="s">
        <v>722</v>
      </c>
      <c r="C4" s="135">
        <v>3</v>
      </c>
      <c r="D4" s="136" t="s">
        <v>8</v>
      </c>
      <c r="E4" s="30" t="s">
        <v>10</v>
      </c>
      <c r="F4" s="31" t="s">
        <v>11</v>
      </c>
      <c r="G4" s="31" t="s">
        <v>12</v>
      </c>
      <c r="H4" s="138" t="s">
        <v>13</v>
      </c>
      <c r="I4" s="108" t="s">
        <v>18</v>
      </c>
      <c r="J4" s="139">
        <v>150</v>
      </c>
      <c r="K4" s="140">
        <f t="shared" si="0"/>
        <v>173.39999999999998</v>
      </c>
      <c r="L4" s="141">
        <v>1.1559999999999999</v>
      </c>
      <c r="M4" s="142">
        <v>16800</v>
      </c>
      <c r="N4" s="142">
        <f t="shared" si="1"/>
        <v>150</v>
      </c>
      <c r="O4" s="143">
        <f t="shared" si="2"/>
        <v>16650</v>
      </c>
      <c r="P4" s="144" t="s">
        <v>37</v>
      </c>
    </row>
    <row r="5" spans="1:16" ht="31" x14ac:dyDescent="0.35">
      <c r="A5" s="134">
        <v>46056</v>
      </c>
      <c r="B5" s="134" t="s">
        <v>722</v>
      </c>
      <c r="C5" s="135">
        <v>1</v>
      </c>
      <c r="D5" s="136" t="s">
        <v>8</v>
      </c>
      <c r="E5" s="30" t="s">
        <v>9</v>
      </c>
      <c r="F5" s="137" t="s">
        <v>14</v>
      </c>
      <c r="G5" s="31" t="s">
        <v>15</v>
      </c>
      <c r="H5" s="138" t="s">
        <v>16</v>
      </c>
      <c r="I5" s="108" t="s">
        <v>17</v>
      </c>
      <c r="J5" s="139">
        <v>390</v>
      </c>
      <c r="K5" s="140">
        <f t="shared" si="0"/>
        <v>861.9</v>
      </c>
      <c r="L5" s="141">
        <v>2.21</v>
      </c>
      <c r="M5" s="142">
        <f>O3</f>
        <v>4360</v>
      </c>
      <c r="N5" s="142">
        <f t="shared" si="1"/>
        <v>390</v>
      </c>
      <c r="O5" s="143">
        <f t="shared" si="2"/>
        <v>3970</v>
      </c>
      <c r="P5" s="144" t="s">
        <v>36</v>
      </c>
    </row>
    <row r="6" spans="1:16" ht="31" x14ac:dyDescent="0.35">
      <c r="A6" s="134">
        <v>46056</v>
      </c>
      <c r="B6" s="134" t="s">
        <v>722</v>
      </c>
      <c r="C6" s="135">
        <v>2</v>
      </c>
      <c r="D6" s="136" t="s">
        <v>8</v>
      </c>
      <c r="E6" s="30" t="s">
        <v>9</v>
      </c>
      <c r="F6" s="137" t="s">
        <v>14</v>
      </c>
      <c r="G6" s="31" t="s">
        <v>15</v>
      </c>
      <c r="H6" s="138" t="s">
        <v>16</v>
      </c>
      <c r="I6" s="108" t="s">
        <v>17</v>
      </c>
      <c r="J6" s="139">
        <v>550</v>
      </c>
      <c r="K6" s="140">
        <f t="shared" si="0"/>
        <v>1215.5</v>
      </c>
      <c r="L6" s="141">
        <v>2.21</v>
      </c>
      <c r="M6" s="142">
        <f>O5</f>
        <v>3970</v>
      </c>
      <c r="N6" s="142">
        <f t="shared" si="1"/>
        <v>550</v>
      </c>
      <c r="O6" s="143">
        <f t="shared" si="2"/>
        <v>3420</v>
      </c>
      <c r="P6" s="144" t="s">
        <v>36</v>
      </c>
    </row>
    <row r="7" spans="1:16" ht="31" x14ac:dyDescent="0.35">
      <c r="A7" s="134">
        <v>46056</v>
      </c>
      <c r="B7" s="134" t="s">
        <v>722</v>
      </c>
      <c r="C7" s="135">
        <v>3</v>
      </c>
      <c r="D7" s="136" t="s">
        <v>8</v>
      </c>
      <c r="E7" s="30" t="s">
        <v>10</v>
      </c>
      <c r="F7" s="31" t="s">
        <v>11</v>
      </c>
      <c r="G7" s="31" t="s">
        <v>12</v>
      </c>
      <c r="H7" s="138" t="s">
        <v>13</v>
      </c>
      <c r="I7" s="108" t="s">
        <v>18</v>
      </c>
      <c r="J7" s="139">
        <v>350</v>
      </c>
      <c r="K7" s="140">
        <f t="shared" si="0"/>
        <v>404.59999999999997</v>
      </c>
      <c r="L7" s="141">
        <v>1.1559999999999999</v>
      </c>
      <c r="M7" s="142">
        <f>O4</f>
        <v>16650</v>
      </c>
      <c r="N7" s="142">
        <f t="shared" si="1"/>
        <v>350</v>
      </c>
      <c r="O7" s="143">
        <f t="shared" si="2"/>
        <v>16300</v>
      </c>
      <c r="P7" s="144" t="s">
        <v>37</v>
      </c>
    </row>
    <row r="8" spans="1:16" ht="31" x14ac:dyDescent="0.35">
      <c r="A8" s="134">
        <v>46057</v>
      </c>
      <c r="B8" s="134" t="s">
        <v>722</v>
      </c>
      <c r="C8" s="135">
        <v>1</v>
      </c>
      <c r="D8" s="136" t="s">
        <v>8</v>
      </c>
      <c r="E8" s="30" t="s">
        <v>9</v>
      </c>
      <c r="F8" s="137" t="s">
        <v>14</v>
      </c>
      <c r="G8" s="31" t="s">
        <v>15</v>
      </c>
      <c r="H8" s="138" t="s">
        <v>16</v>
      </c>
      <c r="I8" s="108" t="s">
        <v>17</v>
      </c>
      <c r="J8" s="139">
        <v>445</v>
      </c>
      <c r="K8" s="140">
        <f t="shared" si="0"/>
        <v>983.44999999999993</v>
      </c>
      <c r="L8" s="141">
        <v>2.21</v>
      </c>
      <c r="M8" s="142">
        <f>O6</f>
        <v>3420</v>
      </c>
      <c r="N8" s="142">
        <f t="shared" si="1"/>
        <v>445</v>
      </c>
      <c r="O8" s="143">
        <f t="shared" si="2"/>
        <v>2975</v>
      </c>
      <c r="P8" s="144" t="s">
        <v>36</v>
      </c>
    </row>
    <row r="9" spans="1:16" ht="31" x14ac:dyDescent="0.35">
      <c r="A9" s="134">
        <v>46057</v>
      </c>
      <c r="B9" s="134" t="s">
        <v>722</v>
      </c>
      <c r="C9" s="135">
        <v>2</v>
      </c>
      <c r="D9" s="136" t="s">
        <v>8</v>
      </c>
      <c r="E9" s="30" t="s">
        <v>9</v>
      </c>
      <c r="F9" s="137" t="s">
        <v>14</v>
      </c>
      <c r="G9" s="31" t="s">
        <v>15</v>
      </c>
      <c r="H9" s="138" t="s">
        <v>16</v>
      </c>
      <c r="I9" s="108" t="s">
        <v>17</v>
      </c>
      <c r="J9" s="139">
        <v>585</v>
      </c>
      <c r="K9" s="140">
        <f t="shared" si="0"/>
        <v>1292.8499999999999</v>
      </c>
      <c r="L9" s="141">
        <v>2.21</v>
      </c>
      <c r="M9" s="142">
        <f>O8</f>
        <v>2975</v>
      </c>
      <c r="N9" s="142">
        <f t="shared" si="1"/>
        <v>585</v>
      </c>
      <c r="O9" s="143">
        <f t="shared" si="2"/>
        <v>2390</v>
      </c>
      <c r="P9" s="144" t="s">
        <v>36</v>
      </c>
    </row>
    <row r="10" spans="1:16" ht="31" x14ac:dyDescent="0.35">
      <c r="A10" s="134">
        <v>46057</v>
      </c>
      <c r="B10" s="134" t="s">
        <v>722</v>
      </c>
      <c r="C10" s="135">
        <v>3</v>
      </c>
      <c r="D10" s="136" t="s">
        <v>8</v>
      </c>
      <c r="E10" s="30" t="s">
        <v>10</v>
      </c>
      <c r="F10" s="31" t="s">
        <v>11</v>
      </c>
      <c r="G10" s="31" t="s">
        <v>12</v>
      </c>
      <c r="H10" s="138" t="s">
        <v>13</v>
      </c>
      <c r="I10" s="108" t="s">
        <v>18</v>
      </c>
      <c r="J10" s="139">
        <v>475</v>
      </c>
      <c r="K10" s="140">
        <f t="shared" si="0"/>
        <v>549.09999999999991</v>
      </c>
      <c r="L10" s="141">
        <v>1.1559999999999999</v>
      </c>
      <c r="M10" s="142">
        <f>O7</f>
        <v>16300</v>
      </c>
      <c r="N10" s="142">
        <f t="shared" si="1"/>
        <v>475</v>
      </c>
      <c r="O10" s="143">
        <f t="shared" si="2"/>
        <v>15825</v>
      </c>
      <c r="P10" s="144" t="s">
        <v>37</v>
      </c>
    </row>
    <row r="11" spans="1:16" ht="31" x14ac:dyDescent="0.35">
      <c r="A11" s="134">
        <v>46058</v>
      </c>
      <c r="B11" s="134" t="s">
        <v>722</v>
      </c>
      <c r="C11" s="135">
        <v>1</v>
      </c>
      <c r="D11" s="136" t="s">
        <v>8</v>
      </c>
      <c r="E11" s="30" t="s">
        <v>9</v>
      </c>
      <c r="F11" s="137" t="s">
        <v>14</v>
      </c>
      <c r="G11" s="31" t="s">
        <v>15</v>
      </c>
      <c r="H11" s="138" t="s">
        <v>16</v>
      </c>
      <c r="I11" s="108" t="s">
        <v>17</v>
      </c>
      <c r="J11" s="139">
        <v>500</v>
      </c>
      <c r="K11" s="140">
        <f t="shared" si="0"/>
        <v>1105</v>
      </c>
      <c r="L11" s="141">
        <v>2.21</v>
      </c>
      <c r="M11" s="142">
        <f>O9</f>
        <v>2390</v>
      </c>
      <c r="N11" s="142">
        <f t="shared" si="1"/>
        <v>500</v>
      </c>
      <c r="O11" s="143">
        <f t="shared" si="2"/>
        <v>1890</v>
      </c>
      <c r="P11" s="144" t="s">
        <v>36</v>
      </c>
    </row>
    <row r="12" spans="1:16" ht="31" x14ac:dyDescent="0.35">
      <c r="A12" s="134">
        <v>46058</v>
      </c>
      <c r="B12" s="134" t="s">
        <v>722</v>
      </c>
      <c r="C12" s="135">
        <v>2</v>
      </c>
      <c r="D12" s="136" t="s">
        <v>8</v>
      </c>
      <c r="E12" s="30" t="s">
        <v>9</v>
      </c>
      <c r="F12" s="137" t="s">
        <v>14</v>
      </c>
      <c r="G12" s="31" t="s">
        <v>15</v>
      </c>
      <c r="H12" s="138" t="s">
        <v>16</v>
      </c>
      <c r="I12" s="108" t="s">
        <v>17</v>
      </c>
      <c r="J12" s="139">
        <v>660</v>
      </c>
      <c r="K12" s="140">
        <f t="shared" si="0"/>
        <v>1458.6</v>
      </c>
      <c r="L12" s="141">
        <v>2.21</v>
      </c>
      <c r="M12" s="142">
        <f>O11</f>
        <v>1890</v>
      </c>
      <c r="N12" s="142">
        <f t="shared" si="1"/>
        <v>660</v>
      </c>
      <c r="O12" s="143">
        <f t="shared" si="2"/>
        <v>1230</v>
      </c>
      <c r="P12" s="144" t="s">
        <v>36</v>
      </c>
    </row>
    <row r="13" spans="1:16" ht="31" x14ac:dyDescent="0.35">
      <c r="A13" s="134">
        <v>46058</v>
      </c>
      <c r="B13" s="134" t="s">
        <v>722</v>
      </c>
      <c r="C13" s="135">
        <v>3</v>
      </c>
      <c r="D13" s="136" t="s">
        <v>8</v>
      </c>
      <c r="E13" s="30" t="s">
        <v>10</v>
      </c>
      <c r="F13" s="31" t="s">
        <v>11</v>
      </c>
      <c r="G13" s="31" t="s">
        <v>12</v>
      </c>
      <c r="H13" s="138" t="s">
        <v>13</v>
      </c>
      <c r="I13" s="108" t="s">
        <v>18</v>
      </c>
      <c r="J13" s="139">
        <v>500</v>
      </c>
      <c r="K13" s="140">
        <f t="shared" si="0"/>
        <v>578</v>
      </c>
      <c r="L13" s="141">
        <v>1.1559999999999999</v>
      </c>
      <c r="M13" s="142">
        <f>O10</f>
        <v>15825</v>
      </c>
      <c r="N13" s="142">
        <f t="shared" si="1"/>
        <v>500</v>
      </c>
      <c r="O13" s="143">
        <f t="shared" si="2"/>
        <v>15325</v>
      </c>
      <c r="P13" s="144" t="s">
        <v>37</v>
      </c>
    </row>
    <row r="14" spans="1:16" ht="31" x14ac:dyDescent="0.35">
      <c r="A14" s="134">
        <v>46059</v>
      </c>
      <c r="B14" s="134" t="s">
        <v>722</v>
      </c>
      <c r="C14" s="135">
        <v>1</v>
      </c>
      <c r="D14" s="136" t="s">
        <v>8</v>
      </c>
      <c r="E14" s="30" t="s">
        <v>9</v>
      </c>
      <c r="F14" s="137" t="s">
        <v>14</v>
      </c>
      <c r="G14" s="31" t="s">
        <v>15</v>
      </c>
      <c r="H14" s="138" t="s">
        <v>16</v>
      </c>
      <c r="I14" s="108" t="s">
        <v>17</v>
      </c>
      <c r="J14" s="139">
        <v>500</v>
      </c>
      <c r="K14" s="140">
        <f t="shared" si="0"/>
        <v>1105</v>
      </c>
      <c r="L14" s="141">
        <v>2.21</v>
      </c>
      <c r="M14" s="142">
        <f>O12</f>
        <v>1230</v>
      </c>
      <c r="N14" s="142">
        <f t="shared" si="1"/>
        <v>500</v>
      </c>
      <c r="O14" s="143">
        <f t="shared" si="2"/>
        <v>730</v>
      </c>
      <c r="P14" s="144" t="s">
        <v>36</v>
      </c>
    </row>
    <row r="15" spans="1:16" ht="31" x14ac:dyDescent="0.35">
      <c r="A15" s="134">
        <v>46059</v>
      </c>
      <c r="B15" s="134" t="s">
        <v>722</v>
      </c>
      <c r="C15" s="135">
        <v>2</v>
      </c>
      <c r="D15" s="136" t="s">
        <v>8</v>
      </c>
      <c r="E15" s="30" t="s">
        <v>9</v>
      </c>
      <c r="F15" s="137" t="s">
        <v>14</v>
      </c>
      <c r="G15" s="31" t="s">
        <v>15</v>
      </c>
      <c r="H15" s="138" t="s">
        <v>16</v>
      </c>
      <c r="I15" s="108" t="s">
        <v>17</v>
      </c>
      <c r="J15" s="139">
        <v>250</v>
      </c>
      <c r="K15" s="140">
        <f t="shared" si="0"/>
        <v>552.5</v>
      </c>
      <c r="L15" s="141">
        <v>2.21</v>
      </c>
      <c r="M15" s="142">
        <f>O14</f>
        <v>730</v>
      </c>
      <c r="N15" s="142">
        <f t="shared" si="1"/>
        <v>250</v>
      </c>
      <c r="O15" s="143">
        <f t="shared" si="2"/>
        <v>480</v>
      </c>
      <c r="P15" s="144" t="s">
        <v>36</v>
      </c>
    </row>
    <row r="16" spans="1:16" ht="31" x14ac:dyDescent="0.35">
      <c r="A16" s="134">
        <v>46059</v>
      </c>
      <c r="B16" s="134" t="s">
        <v>722</v>
      </c>
      <c r="C16" s="135">
        <v>3</v>
      </c>
      <c r="D16" s="136" t="s">
        <v>8</v>
      </c>
      <c r="E16" s="30" t="s">
        <v>10</v>
      </c>
      <c r="F16" s="31" t="s">
        <v>11</v>
      </c>
      <c r="G16" s="31" t="s">
        <v>12</v>
      </c>
      <c r="H16" s="138" t="s">
        <v>13</v>
      </c>
      <c r="I16" s="108" t="s">
        <v>18</v>
      </c>
      <c r="J16" s="139">
        <v>525</v>
      </c>
      <c r="K16" s="140">
        <f t="shared" si="0"/>
        <v>606.9</v>
      </c>
      <c r="L16" s="141">
        <v>1.1559999999999999</v>
      </c>
      <c r="M16" s="142">
        <f>O13</f>
        <v>15325</v>
      </c>
      <c r="N16" s="142">
        <f t="shared" si="1"/>
        <v>525</v>
      </c>
      <c r="O16" s="143">
        <f t="shared" si="2"/>
        <v>14800</v>
      </c>
      <c r="P16" s="144" t="s">
        <v>37</v>
      </c>
    </row>
    <row r="17" spans="1:16" ht="31" x14ac:dyDescent="0.35">
      <c r="A17" s="134">
        <v>46059</v>
      </c>
      <c r="B17" s="134" t="s">
        <v>722</v>
      </c>
      <c r="C17" s="135">
        <v>1</v>
      </c>
      <c r="D17" s="136" t="s">
        <v>8</v>
      </c>
      <c r="E17" s="30" t="s">
        <v>9</v>
      </c>
      <c r="F17" s="137" t="s">
        <v>20</v>
      </c>
      <c r="G17" s="31" t="s">
        <v>15</v>
      </c>
      <c r="H17" s="138" t="s">
        <v>22</v>
      </c>
      <c r="I17" s="108" t="s">
        <v>21</v>
      </c>
      <c r="J17" s="139">
        <v>370</v>
      </c>
      <c r="K17" s="140">
        <f t="shared" si="0"/>
        <v>688.2</v>
      </c>
      <c r="L17" s="141">
        <v>1.86</v>
      </c>
      <c r="M17" s="142">
        <v>5760</v>
      </c>
      <c r="N17" s="142">
        <f t="shared" si="1"/>
        <v>370</v>
      </c>
      <c r="O17" s="143">
        <f t="shared" si="2"/>
        <v>5390</v>
      </c>
      <c r="P17" s="1" t="s">
        <v>35</v>
      </c>
    </row>
    <row r="18" spans="1:16" ht="31" x14ac:dyDescent="0.35">
      <c r="A18" s="134">
        <v>46060</v>
      </c>
      <c r="B18" s="134" t="s">
        <v>722</v>
      </c>
      <c r="C18" s="135">
        <v>1</v>
      </c>
      <c r="D18" s="136" t="s">
        <v>8</v>
      </c>
      <c r="E18" s="30" t="s">
        <v>9</v>
      </c>
      <c r="F18" s="137" t="s">
        <v>14</v>
      </c>
      <c r="G18" s="31" t="s">
        <v>15</v>
      </c>
      <c r="H18" s="138" t="s">
        <v>16</v>
      </c>
      <c r="I18" s="108" t="s">
        <v>17</v>
      </c>
      <c r="J18" s="139">
        <v>480</v>
      </c>
      <c r="K18" s="140">
        <f t="shared" si="0"/>
        <v>1060.8</v>
      </c>
      <c r="L18" s="141">
        <v>2.21</v>
      </c>
      <c r="M18" s="142">
        <f>O15</f>
        <v>480</v>
      </c>
      <c r="N18" s="142">
        <f>O15</f>
        <v>480</v>
      </c>
      <c r="O18" s="143">
        <f t="shared" si="2"/>
        <v>0</v>
      </c>
      <c r="P18" s="144" t="s">
        <v>36</v>
      </c>
    </row>
    <row r="19" spans="1:16" ht="31" x14ac:dyDescent="0.35">
      <c r="A19" s="134">
        <v>46060</v>
      </c>
      <c r="B19" s="134" t="s">
        <v>722</v>
      </c>
      <c r="C19" s="135">
        <v>3</v>
      </c>
      <c r="D19" s="136" t="s">
        <v>8</v>
      </c>
      <c r="E19" s="30" t="s">
        <v>10</v>
      </c>
      <c r="F19" s="31" t="s">
        <v>11</v>
      </c>
      <c r="G19" s="31" t="s">
        <v>12</v>
      </c>
      <c r="H19" s="138" t="s">
        <v>13</v>
      </c>
      <c r="I19" s="108" t="s">
        <v>18</v>
      </c>
      <c r="J19" s="139">
        <v>500</v>
      </c>
      <c r="K19" s="140">
        <f t="shared" si="0"/>
        <v>578</v>
      </c>
      <c r="L19" s="141">
        <v>1.1559999999999999</v>
      </c>
      <c r="M19" s="142">
        <f>O16</f>
        <v>14800</v>
      </c>
      <c r="N19" s="142">
        <f t="shared" ref="N19:N54" si="3">J19</f>
        <v>500</v>
      </c>
      <c r="O19" s="143">
        <f t="shared" si="2"/>
        <v>14300</v>
      </c>
      <c r="P19" s="144" t="s">
        <v>37</v>
      </c>
    </row>
    <row r="20" spans="1:16" ht="31" x14ac:dyDescent="0.35">
      <c r="A20" s="134">
        <v>46060</v>
      </c>
      <c r="B20" s="134" t="s">
        <v>722</v>
      </c>
      <c r="C20" s="135">
        <v>1</v>
      </c>
      <c r="D20" s="136" t="s">
        <v>8</v>
      </c>
      <c r="E20" s="30" t="s">
        <v>9</v>
      </c>
      <c r="F20" s="137" t="s">
        <v>20</v>
      </c>
      <c r="G20" s="31" t="s">
        <v>15</v>
      </c>
      <c r="H20" s="138" t="s">
        <v>22</v>
      </c>
      <c r="I20" s="108" t="s">
        <v>21</v>
      </c>
      <c r="J20" s="139">
        <v>1010</v>
      </c>
      <c r="K20" s="140">
        <f t="shared" si="0"/>
        <v>1878.6000000000001</v>
      </c>
      <c r="L20" s="141">
        <v>1.86</v>
      </c>
      <c r="M20" s="142">
        <f>O17</f>
        <v>5390</v>
      </c>
      <c r="N20" s="142">
        <f t="shared" si="3"/>
        <v>1010</v>
      </c>
      <c r="O20" s="143">
        <f t="shared" si="2"/>
        <v>4380</v>
      </c>
      <c r="P20" s="1" t="s">
        <v>35</v>
      </c>
    </row>
    <row r="21" spans="1:16" ht="31" x14ac:dyDescent="0.35">
      <c r="A21" s="134">
        <v>46062</v>
      </c>
      <c r="B21" s="134" t="s">
        <v>722</v>
      </c>
      <c r="C21" s="135">
        <v>1</v>
      </c>
      <c r="D21" s="136" t="s">
        <v>8</v>
      </c>
      <c r="E21" s="30" t="s">
        <v>9</v>
      </c>
      <c r="F21" s="137" t="s">
        <v>20</v>
      </c>
      <c r="G21" s="31" t="s">
        <v>15</v>
      </c>
      <c r="H21" s="138" t="s">
        <v>22</v>
      </c>
      <c r="I21" s="108" t="s">
        <v>21</v>
      </c>
      <c r="J21" s="139">
        <f>525+680</f>
        <v>1205</v>
      </c>
      <c r="K21" s="140">
        <f t="shared" si="0"/>
        <v>2241.3000000000002</v>
      </c>
      <c r="L21" s="141">
        <v>1.86</v>
      </c>
      <c r="M21" s="142">
        <f>O20</f>
        <v>4380</v>
      </c>
      <c r="N21" s="142">
        <f t="shared" si="3"/>
        <v>1205</v>
      </c>
      <c r="O21" s="143">
        <f t="shared" si="2"/>
        <v>3175</v>
      </c>
      <c r="P21" s="1" t="s">
        <v>35</v>
      </c>
    </row>
    <row r="22" spans="1:16" ht="31" x14ac:dyDescent="0.35">
      <c r="A22" s="134">
        <v>46062</v>
      </c>
      <c r="B22" s="134" t="s">
        <v>722</v>
      </c>
      <c r="C22" s="135">
        <v>2</v>
      </c>
      <c r="D22" s="136" t="s">
        <v>8</v>
      </c>
      <c r="E22" s="30" t="s">
        <v>10</v>
      </c>
      <c r="F22" s="31" t="s">
        <v>11</v>
      </c>
      <c r="G22" s="31" t="s">
        <v>12</v>
      </c>
      <c r="H22" s="138" t="s">
        <v>13</v>
      </c>
      <c r="I22" s="108" t="s">
        <v>18</v>
      </c>
      <c r="J22" s="139">
        <v>500</v>
      </c>
      <c r="K22" s="140">
        <f t="shared" si="0"/>
        <v>578</v>
      </c>
      <c r="L22" s="141">
        <v>1.1559999999999999</v>
      </c>
      <c r="M22" s="142">
        <f>O19</f>
        <v>14300</v>
      </c>
      <c r="N22" s="142">
        <f t="shared" si="3"/>
        <v>500</v>
      </c>
      <c r="O22" s="143">
        <f t="shared" si="2"/>
        <v>13800</v>
      </c>
      <c r="P22" s="144" t="s">
        <v>37</v>
      </c>
    </row>
    <row r="23" spans="1:16" ht="31" x14ac:dyDescent="0.35">
      <c r="A23" s="134">
        <v>46063</v>
      </c>
      <c r="B23" s="134" t="s">
        <v>722</v>
      </c>
      <c r="C23" s="135">
        <v>1</v>
      </c>
      <c r="D23" s="136" t="s">
        <v>8</v>
      </c>
      <c r="E23" s="30" t="s">
        <v>9</v>
      </c>
      <c r="F23" s="137" t="s">
        <v>20</v>
      </c>
      <c r="G23" s="31" t="s">
        <v>15</v>
      </c>
      <c r="H23" s="138" t="s">
        <v>22</v>
      </c>
      <c r="I23" s="108" t="s">
        <v>21</v>
      </c>
      <c r="J23" s="139">
        <f>550+850</f>
        <v>1400</v>
      </c>
      <c r="K23" s="140">
        <f t="shared" si="0"/>
        <v>2604</v>
      </c>
      <c r="L23" s="141">
        <v>1.86</v>
      </c>
      <c r="M23" s="142">
        <f t="shared" ref="M23:M28" si="4">O21</f>
        <v>3175</v>
      </c>
      <c r="N23" s="142">
        <f t="shared" si="3"/>
        <v>1400</v>
      </c>
      <c r="O23" s="143">
        <f t="shared" si="2"/>
        <v>1775</v>
      </c>
      <c r="P23" s="1" t="s">
        <v>35</v>
      </c>
    </row>
    <row r="24" spans="1:16" ht="31" x14ac:dyDescent="0.35">
      <c r="A24" s="134">
        <v>46063</v>
      </c>
      <c r="B24" s="134" t="s">
        <v>722</v>
      </c>
      <c r="C24" s="135">
        <v>2</v>
      </c>
      <c r="D24" s="136" t="s">
        <v>8</v>
      </c>
      <c r="E24" s="30" t="s">
        <v>10</v>
      </c>
      <c r="F24" s="31" t="s">
        <v>11</v>
      </c>
      <c r="G24" s="31" t="s">
        <v>12</v>
      </c>
      <c r="H24" s="138" t="s">
        <v>13</v>
      </c>
      <c r="I24" s="108" t="s">
        <v>18</v>
      </c>
      <c r="J24" s="139">
        <v>550</v>
      </c>
      <c r="K24" s="140">
        <f t="shared" si="0"/>
        <v>635.79999999999995</v>
      </c>
      <c r="L24" s="141">
        <v>1.1559999999999999</v>
      </c>
      <c r="M24" s="142">
        <f t="shared" si="4"/>
        <v>13800</v>
      </c>
      <c r="N24" s="142">
        <f t="shared" si="3"/>
        <v>550</v>
      </c>
      <c r="O24" s="143">
        <f t="shared" si="2"/>
        <v>13250</v>
      </c>
      <c r="P24" s="144" t="s">
        <v>37</v>
      </c>
    </row>
    <row r="25" spans="1:16" ht="31" x14ac:dyDescent="0.35">
      <c r="A25" s="134">
        <v>46064</v>
      </c>
      <c r="B25" s="134" t="s">
        <v>722</v>
      </c>
      <c r="C25" s="135">
        <v>1</v>
      </c>
      <c r="D25" s="136" t="s">
        <v>8</v>
      </c>
      <c r="E25" s="30" t="s">
        <v>9</v>
      </c>
      <c r="F25" s="137" t="s">
        <v>20</v>
      </c>
      <c r="G25" s="31" t="s">
        <v>15</v>
      </c>
      <c r="H25" s="138" t="s">
        <v>22</v>
      </c>
      <c r="I25" s="108" t="s">
        <v>21</v>
      </c>
      <c r="J25" s="139">
        <v>300</v>
      </c>
      <c r="K25" s="140">
        <f t="shared" si="0"/>
        <v>558</v>
      </c>
      <c r="L25" s="141">
        <v>1.86</v>
      </c>
      <c r="M25" s="142">
        <f t="shared" si="4"/>
        <v>1775</v>
      </c>
      <c r="N25" s="142">
        <f t="shared" si="3"/>
        <v>300</v>
      </c>
      <c r="O25" s="143">
        <f t="shared" si="2"/>
        <v>1475</v>
      </c>
      <c r="P25" s="1" t="s">
        <v>35</v>
      </c>
    </row>
    <row r="26" spans="1:16" ht="31" x14ac:dyDescent="0.35">
      <c r="A26" s="134">
        <v>46064</v>
      </c>
      <c r="B26" s="134" t="s">
        <v>722</v>
      </c>
      <c r="C26" s="135">
        <v>2</v>
      </c>
      <c r="D26" s="136" t="s">
        <v>8</v>
      </c>
      <c r="E26" s="30" t="s">
        <v>10</v>
      </c>
      <c r="F26" s="31" t="s">
        <v>11</v>
      </c>
      <c r="G26" s="31" t="s">
        <v>12</v>
      </c>
      <c r="H26" s="138" t="s">
        <v>13</v>
      </c>
      <c r="I26" s="108" t="s">
        <v>18</v>
      </c>
      <c r="J26" s="139">
        <v>375</v>
      </c>
      <c r="K26" s="140">
        <f t="shared" si="0"/>
        <v>433.49999999999994</v>
      </c>
      <c r="L26" s="141">
        <v>1.1559999999999999</v>
      </c>
      <c r="M26" s="142">
        <f t="shared" si="4"/>
        <v>13250</v>
      </c>
      <c r="N26" s="142">
        <f t="shared" si="3"/>
        <v>375</v>
      </c>
      <c r="O26" s="143">
        <f t="shared" si="2"/>
        <v>12875</v>
      </c>
      <c r="P26" s="144" t="s">
        <v>37</v>
      </c>
    </row>
    <row r="27" spans="1:16" ht="31" x14ac:dyDescent="0.35">
      <c r="A27" s="134">
        <v>46065</v>
      </c>
      <c r="B27" s="134" t="s">
        <v>722</v>
      </c>
      <c r="C27" s="135">
        <v>1</v>
      </c>
      <c r="D27" s="136" t="s">
        <v>8</v>
      </c>
      <c r="E27" s="30" t="s">
        <v>9</v>
      </c>
      <c r="F27" s="137" t="s">
        <v>20</v>
      </c>
      <c r="G27" s="31" t="s">
        <v>15</v>
      </c>
      <c r="H27" s="138" t="s">
        <v>22</v>
      </c>
      <c r="I27" s="108" t="s">
        <v>21</v>
      </c>
      <c r="J27" s="139">
        <v>725</v>
      </c>
      <c r="K27" s="140">
        <f t="shared" si="0"/>
        <v>1348.5</v>
      </c>
      <c r="L27" s="141">
        <v>1.86</v>
      </c>
      <c r="M27" s="142">
        <f t="shared" si="4"/>
        <v>1475</v>
      </c>
      <c r="N27" s="142">
        <f t="shared" si="3"/>
        <v>725</v>
      </c>
      <c r="O27" s="143">
        <f t="shared" si="2"/>
        <v>750</v>
      </c>
      <c r="P27" s="1" t="s">
        <v>35</v>
      </c>
    </row>
    <row r="28" spans="1:16" ht="31" x14ac:dyDescent="0.35">
      <c r="A28" s="134">
        <v>46065</v>
      </c>
      <c r="B28" s="134" t="s">
        <v>722</v>
      </c>
      <c r="C28" s="135">
        <v>2</v>
      </c>
      <c r="D28" s="136" t="s">
        <v>8</v>
      </c>
      <c r="E28" s="30" t="s">
        <v>10</v>
      </c>
      <c r="F28" s="31" t="s">
        <v>11</v>
      </c>
      <c r="G28" s="31" t="s">
        <v>12</v>
      </c>
      <c r="H28" s="138" t="s">
        <v>13</v>
      </c>
      <c r="I28" s="108" t="s">
        <v>18</v>
      </c>
      <c r="J28" s="139">
        <v>650</v>
      </c>
      <c r="K28" s="140">
        <f t="shared" si="0"/>
        <v>751.4</v>
      </c>
      <c r="L28" s="141">
        <v>1.1559999999999999</v>
      </c>
      <c r="M28" s="142">
        <f t="shared" si="4"/>
        <v>12875</v>
      </c>
      <c r="N28" s="142">
        <f t="shared" si="3"/>
        <v>650</v>
      </c>
      <c r="O28" s="143">
        <f t="shared" si="2"/>
        <v>12225</v>
      </c>
      <c r="P28" s="144" t="s">
        <v>37</v>
      </c>
    </row>
    <row r="29" spans="1:16" ht="31" x14ac:dyDescent="0.35">
      <c r="A29" s="134">
        <v>46066</v>
      </c>
      <c r="B29" s="134" t="s">
        <v>722</v>
      </c>
      <c r="C29" s="135">
        <v>1</v>
      </c>
      <c r="D29" s="136" t="s">
        <v>8</v>
      </c>
      <c r="E29" s="30" t="s">
        <v>10</v>
      </c>
      <c r="F29" s="31" t="s">
        <v>11</v>
      </c>
      <c r="G29" s="31" t="s">
        <v>12</v>
      </c>
      <c r="H29" s="138" t="s">
        <v>13</v>
      </c>
      <c r="I29" s="108" t="s">
        <v>18</v>
      </c>
      <c r="J29" s="139">
        <v>600</v>
      </c>
      <c r="K29" s="140">
        <f t="shared" si="0"/>
        <v>693.59999999999991</v>
      </c>
      <c r="L29" s="141">
        <v>1.1559999999999999</v>
      </c>
      <c r="M29" s="142">
        <f>O28</f>
        <v>12225</v>
      </c>
      <c r="N29" s="142">
        <f t="shared" si="3"/>
        <v>600</v>
      </c>
      <c r="O29" s="143">
        <f t="shared" si="2"/>
        <v>11625</v>
      </c>
      <c r="P29" s="144" t="s">
        <v>37</v>
      </c>
    </row>
    <row r="30" spans="1:16" ht="31" x14ac:dyDescent="0.35">
      <c r="A30" s="134">
        <v>46067</v>
      </c>
      <c r="B30" s="134" t="s">
        <v>722</v>
      </c>
      <c r="C30" s="135">
        <v>1</v>
      </c>
      <c r="D30" s="136" t="s">
        <v>8</v>
      </c>
      <c r="E30" s="30" t="s">
        <v>9</v>
      </c>
      <c r="F30" s="137" t="s">
        <v>20</v>
      </c>
      <c r="G30" s="31" t="s">
        <v>15</v>
      </c>
      <c r="H30" s="138" t="s">
        <v>22</v>
      </c>
      <c r="I30" s="108" t="s">
        <v>21</v>
      </c>
      <c r="J30" s="139">
        <v>750</v>
      </c>
      <c r="K30" s="140">
        <f t="shared" si="0"/>
        <v>1395</v>
      </c>
      <c r="L30" s="141">
        <v>1.86</v>
      </c>
      <c r="M30" s="142">
        <f>O27</f>
        <v>750</v>
      </c>
      <c r="N30" s="142">
        <f t="shared" si="3"/>
        <v>750</v>
      </c>
      <c r="O30" s="143">
        <f t="shared" si="2"/>
        <v>0</v>
      </c>
      <c r="P30" s="1" t="s">
        <v>35</v>
      </c>
    </row>
    <row r="31" spans="1:16" ht="31" x14ac:dyDescent="0.35">
      <c r="A31" s="134">
        <v>46067</v>
      </c>
      <c r="B31" s="134" t="s">
        <v>722</v>
      </c>
      <c r="C31" s="135">
        <v>2</v>
      </c>
      <c r="D31" s="136" t="s">
        <v>8</v>
      </c>
      <c r="E31" s="30" t="s">
        <v>10</v>
      </c>
      <c r="F31" s="31" t="s">
        <v>11</v>
      </c>
      <c r="G31" s="31" t="s">
        <v>12</v>
      </c>
      <c r="H31" s="138" t="s">
        <v>13</v>
      </c>
      <c r="I31" s="108" t="s">
        <v>18</v>
      </c>
      <c r="J31" s="139">
        <v>625</v>
      </c>
      <c r="K31" s="140">
        <f t="shared" si="0"/>
        <v>722.5</v>
      </c>
      <c r="L31" s="141">
        <v>1.1559999999999999</v>
      </c>
      <c r="M31" s="142">
        <f>O29</f>
        <v>11625</v>
      </c>
      <c r="N31" s="142">
        <f t="shared" si="3"/>
        <v>625</v>
      </c>
      <c r="O31" s="143">
        <f t="shared" si="2"/>
        <v>11000</v>
      </c>
      <c r="P31" s="144" t="s">
        <v>37</v>
      </c>
    </row>
    <row r="32" spans="1:16" ht="15.5" x14ac:dyDescent="0.35">
      <c r="A32" s="134">
        <v>46067</v>
      </c>
      <c r="B32" s="134" t="s">
        <v>722</v>
      </c>
      <c r="C32" s="135">
        <v>2</v>
      </c>
      <c r="D32" s="136" t="s">
        <v>8</v>
      </c>
      <c r="E32" s="30" t="s">
        <v>28</v>
      </c>
      <c r="F32" s="31" t="s">
        <v>31</v>
      </c>
      <c r="G32" s="31" t="s">
        <v>29</v>
      </c>
      <c r="H32" s="138" t="s">
        <v>30</v>
      </c>
      <c r="I32" s="108" t="s">
        <v>32</v>
      </c>
      <c r="J32" s="139">
        <v>1600</v>
      </c>
      <c r="K32" s="140">
        <f t="shared" si="0"/>
        <v>1248</v>
      </c>
      <c r="L32" s="141">
        <v>0.78</v>
      </c>
      <c r="M32" s="142">
        <v>26400</v>
      </c>
      <c r="N32" s="142">
        <f t="shared" si="3"/>
        <v>1600</v>
      </c>
      <c r="O32" s="143">
        <f t="shared" si="2"/>
        <v>24800</v>
      </c>
      <c r="P32" s="1" t="s">
        <v>36</v>
      </c>
    </row>
    <row r="33" spans="1:16" ht="31" x14ac:dyDescent="0.35">
      <c r="A33" s="134">
        <v>46069</v>
      </c>
      <c r="B33" s="134" t="s">
        <v>722</v>
      </c>
      <c r="C33" s="135">
        <v>1</v>
      </c>
      <c r="D33" s="136" t="s">
        <v>8</v>
      </c>
      <c r="E33" s="30" t="s">
        <v>10</v>
      </c>
      <c r="F33" s="31" t="s">
        <v>11</v>
      </c>
      <c r="G33" s="31" t="s">
        <v>12</v>
      </c>
      <c r="H33" s="138" t="s">
        <v>13</v>
      </c>
      <c r="I33" s="108" t="s">
        <v>18</v>
      </c>
      <c r="J33" s="139">
        <v>550</v>
      </c>
      <c r="K33" s="140">
        <f t="shared" si="0"/>
        <v>635.79999999999995</v>
      </c>
      <c r="L33" s="141">
        <v>1.1559999999999999</v>
      </c>
      <c r="M33" s="142">
        <f t="shared" ref="M33:M43" si="5">O31</f>
        <v>11000</v>
      </c>
      <c r="N33" s="142">
        <f t="shared" si="3"/>
        <v>550</v>
      </c>
      <c r="O33" s="143">
        <f t="shared" si="2"/>
        <v>10450</v>
      </c>
      <c r="P33" s="144" t="s">
        <v>37</v>
      </c>
    </row>
    <row r="34" spans="1:16" ht="15.5" x14ac:dyDescent="0.35">
      <c r="A34" s="134">
        <v>46069</v>
      </c>
      <c r="B34" s="134" t="s">
        <v>722</v>
      </c>
      <c r="C34" s="135">
        <v>2</v>
      </c>
      <c r="D34" s="136" t="s">
        <v>8</v>
      </c>
      <c r="E34" s="30" t="s">
        <v>28</v>
      </c>
      <c r="F34" s="31" t="s">
        <v>31</v>
      </c>
      <c r="G34" s="31" t="s">
        <v>29</v>
      </c>
      <c r="H34" s="138" t="s">
        <v>30</v>
      </c>
      <c r="I34" s="108" t="s">
        <v>32</v>
      </c>
      <c r="J34" s="139">
        <f>350+630+340</f>
        <v>1320</v>
      </c>
      <c r="K34" s="140">
        <f t="shared" si="0"/>
        <v>1029.6000000000001</v>
      </c>
      <c r="L34" s="141">
        <v>0.78</v>
      </c>
      <c r="M34" s="142">
        <f t="shared" si="5"/>
        <v>24800</v>
      </c>
      <c r="N34" s="142">
        <f t="shared" si="3"/>
        <v>1320</v>
      </c>
      <c r="O34" s="143">
        <f t="shared" ref="O34:O54" si="6">M34-N34</f>
        <v>23480</v>
      </c>
      <c r="P34" s="1" t="s">
        <v>36</v>
      </c>
    </row>
    <row r="35" spans="1:16" ht="31" x14ac:dyDescent="0.35">
      <c r="A35" s="134">
        <v>46070</v>
      </c>
      <c r="B35" s="134" t="s">
        <v>722</v>
      </c>
      <c r="C35" s="135">
        <v>1</v>
      </c>
      <c r="D35" s="136" t="s">
        <v>8</v>
      </c>
      <c r="E35" s="30" t="s">
        <v>10</v>
      </c>
      <c r="F35" s="31" t="s">
        <v>11</v>
      </c>
      <c r="G35" s="31" t="s">
        <v>12</v>
      </c>
      <c r="H35" s="138" t="s">
        <v>13</v>
      </c>
      <c r="I35" s="108" t="s">
        <v>18</v>
      </c>
      <c r="J35" s="139">
        <v>950</v>
      </c>
      <c r="K35" s="140">
        <f t="shared" si="0"/>
        <v>1098.1999999999998</v>
      </c>
      <c r="L35" s="141">
        <v>1.1559999999999999</v>
      </c>
      <c r="M35" s="142">
        <f t="shared" si="5"/>
        <v>10450</v>
      </c>
      <c r="N35" s="142">
        <f t="shared" si="3"/>
        <v>950</v>
      </c>
      <c r="O35" s="143">
        <f t="shared" si="6"/>
        <v>9500</v>
      </c>
      <c r="P35" s="144" t="s">
        <v>37</v>
      </c>
    </row>
    <row r="36" spans="1:16" ht="15.5" x14ac:dyDescent="0.35">
      <c r="A36" s="134">
        <v>46070</v>
      </c>
      <c r="B36" s="134" t="s">
        <v>722</v>
      </c>
      <c r="C36" s="135">
        <v>2</v>
      </c>
      <c r="D36" s="136" t="s">
        <v>8</v>
      </c>
      <c r="E36" s="30" t="s">
        <v>28</v>
      </c>
      <c r="F36" s="31" t="s">
        <v>31</v>
      </c>
      <c r="G36" s="31" t="s">
        <v>29</v>
      </c>
      <c r="H36" s="138" t="s">
        <v>30</v>
      </c>
      <c r="I36" s="108" t="s">
        <v>32</v>
      </c>
      <c r="J36" s="139">
        <v>1500</v>
      </c>
      <c r="K36" s="140">
        <f t="shared" si="0"/>
        <v>1170</v>
      </c>
      <c r="L36" s="141">
        <v>0.78</v>
      </c>
      <c r="M36" s="142">
        <f t="shared" si="5"/>
        <v>23480</v>
      </c>
      <c r="N36" s="142">
        <f t="shared" si="3"/>
        <v>1500</v>
      </c>
      <c r="O36" s="143">
        <f t="shared" si="6"/>
        <v>21980</v>
      </c>
      <c r="P36" s="1" t="s">
        <v>36</v>
      </c>
    </row>
    <row r="37" spans="1:16" ht="31" x14ac:dyDescent="0.35">
      <c r="A37" s="134">
        <v>46071</v>
      </c>
      <c r="B37" s="134" t="s">
        <v>722</v>
      </c>
      <c r="C37" s="135">
        <v>1</v>
      </c>
      <c r="D37" s="136" t="s">
        <v>8</v>
      </c>
      <c r="E37" s="30" t="s">
        <v>10</v>
      </c>
      <c r="F37" s="31" t="s">
        <v>11</v>
      </c>
      <c r="G37" s="31" t="s">
        <v>12</v>
      </c>
      <c r="H37" s="138" t="s">
        <v>13</v>
      </c>
      <c r="I37" s="108" t="s">
        <v>18</v>
      </c>
      <c r="J37" s="139">
        <v>700</v>
      </c>
      <c r="K37" s="140">
        <f t="shared" si="0"/>
        <v>809.19999999999993</v>
      </c>
      <c r="L37" s="141">
        <v>1.1559999999999999</v>
      </c>
      <c r="M37" s="142">
        <f t="shared" si="5"/>
        <v>9500</v>
      </c>
      <c r="N37" s="142">
        <f t="shared" si="3"/>
        <v>700</v>
      </c>
      <c r="O37" s="143">
        <f t="shared" si="6"/>
        <v>8800</v>
      </c>
      <c r="P37" s="144" t="s">
        <v>37</v>
      </c>
    </row>
    <row r="38" spans="1:16" ht="15.5" x14ac:dyDescent="0.35">
      <c r="A38" s="134">
        <v>46071</v>
      </c>
      <c r="B38" s="134" t="s">
        <v>722</v>
      </c>
      <c r="C38" s="135">
        <v>2</v>
      </c>
      <c r="D38" s="136" t="s">
        <v>8</v>
      </c>
      <c r="E38" s="30" t="s">
        <v>28</v>
      </c>
      <c r="F38" s="31" t="s">
        <v>31</v>
      </c>
      <c r="G38" s="31" t="s">
        <v>29</v>
      </c>
      <c r="H38" s="138" t="s">
        <v>30</v>
      </c>
      <c r="I38" s="108" t="s">
        <v>32</v>
      </c>
      <c r="J38" s="139">
        <f>600+800+650</f>
        <v>2050</v>
      </c>
      <c r="K38" s="140">
        <f t="shared" si="0"/>
        <v>1599</v>
      </c>
      <c r="L38" s="141">
        <v>0.78</v>
      </c>
      <c r="M38" s="142">
        <f t="shared" si="5"/>
        <v>21980</v>
      </c>
      <c r="N38" s="142">
        <f t="shared" si="3"/>
        <v>2050</v>
      </c>
      <c r="O38" s="143">
        <f t="shared" si="6"/>
        <v>19930</v>
      </c>
      <c r="P38" s="1" t="s">
        <v>36</v>
      </c>
    </row>
    <row r="39" spans="1:16" ht="31" x14ac:dyDescent="0.35">
      <c r="A39" s="134">
        <v>46072</v>
      </c>
      <c r="B39" s="134" t="s">
        <v>722</v>
      </c>
      <c r="C39" s="135">
        <v>1</v>
      </c>
      <c r="D39" s="136" t="s">
        <v>8</v>
      </c>
      <c r="E39" s="30" t="s">
        <v>10</v>
      </c>
      <c r="F39" s="31" t="s">
        <v>11</v>
      </c>
      <c r="G39" s="31" t="s">
        <v>12</v>
      </c>
      <c r="H39" s="138" t="s">
        <v>13</v>
      </c>
      <c r="I39" s="108" t="s">
        <v>18</v>
      </c>
      <c r="J39" s="139">
        <v>750</v>
      </c>
      <c r="K39" s="140">
        <f t="shared" si="0"/>
        <v>866.99999999999989</v>
      </c>
      <c r="L39" s="141">
        <v>1.1559999999999999</v>
      </c>
      <c r="M39" s="142">
        <f t="shared" si="5"/>
        <v>8800</v>
      </c>
      <c r="N39" s="142">
        <f t="shared" si="3"/>
        <v>750</v>
      </c>
      <c r="O39" s="143">
        <f t="shared" si="6"/>
        <v>8050</v>
      </c>
      <c r="P39" s="144" t="s">
        <v>37</v>
      </c>
    </row>
    <row r="40" spans="1:16" ht="15.5" x14ac:dyDescent="0.35">
      <c r="A40" s="134">
        <v>46072</v>
      </c>
      <c r="B40" s="134" t="s">
        <v>722</v>
      </c>
      <c r="C40" s="135">
        <v>2</v>
      </c>
      <c r="D40" s="136" t="s">
        <v>8</v>
      </c>
      <c r="E40" s="30" t="s">
        <v>28</v>
      </c>
      <c r="F40" s="31" t="s">
        <v>31</v>
      </c>
      <c r="G40" s="31" t="s">
        <v>29</v>
      </c>
      <c r="H40" s="138" t="s">
        <v>30</v>
      </c>
      <c r="I40" s="108" t="s">
        <v>32</v>
      </c>
      <c r="J40" s="139">
        <f>900+1420+600</f>
        <v>2920</v>
      </c>
      <c r="K40" s="140">
        <f t="shared" si="0"/>
        <v>2277.6</v>
      </c>
      <c r="L40" s="141">
        <v>0.78</v>
      </c>
      <c r="M40" s="142">
        <f t="shared" si="5"/>
        <v>19930</v>
      </c>
      <c r="N40" s="142">
        <f t="shared" si="3"/>
        <v>2920</v>
      </c>
      <c r="O40" s="143">
        <f t="shared" si="6"/>
        <v>17010</v>
      </c>
      <c r="P40" s="1" t="s">
        <v>36</v>
      </c>
    </row>
    <row r="41" spans="1:16" ht="31" x14ac:dyDescent="0.35">
      <c r="A41" s="134">
        <v>46073</v>
      </c>
      <c r="B41" s="134" t="s">
        <v>722</v>
      </c>
      <c r="C41" s="135">
        <v>1</v>
      </c>
      <c r="D41" s="136" t="s">
        <v>8</v>
      </c>
      <c r="E41" s="30" t="s">
        <v>10</v>
      </c>
      <c r="F41" s="31" t="s">
        <v>11</v>
      </c>
      <c r="G41" s="31" t="s">
        <v>12</v>
      </c>
      <c r="H41" s="138" t="s">
        <v>13</v>
      </c>
      <c r="I41" s="108" t="s">
        <v>18</v>
      </c>
      <c r="J41" s="139">
        <v>750</v>
      </c>
      <c r="K41" s="140">
        <f t="shared" si="0"/>
        <v>866.99999999999989</v>
      </c>
      <c r="L41" s="141">
        <v>1.1559999999999999</v>
      </c>
      <c r="M41" s="142">
        <f t="shared" si="5"/>
        <v>8050</v>
      </c>
      <c r="N41" s="142">
        <f t="shared" si="3"/>
        <v>750</v>
      </c>
      <c r="O41" s="143">
        <f t="shared" si="6"/>
        <v>7300</v>
      </c>
      <c r="P41" s="144" t="s">
        <v>37</v>
      </c>
    </row>
    <row r="42" spans="1:16" ht="15.5" x14ac:dyDescent="0.35">
      <c r="A42" s="134">
        <v>46073</v>
      </c>
      <c r="B42" s="134" t="s">
        <v>722</v>
      </c>
      <c r="C42" s="135">
        <v>2</v>
      </c>
      <c r="D42" s="136" t="s">
        <v>8</v>
      </c>
      <c r="E42" s="30" t="s">
        <v>28</v>
      </c>
      <c r="F42" s="31" t="s">
        <v>31</v>
      </c>
      <c r="G42" s="31" t="s">
        <v>29</v>
      </c>
      <c r="H42" s="138" t="s">
        <v>30</v>
      </c>
      <c r="I42" s="108" t="s">
        <v>32</v>
      </c>
      <c r="J42" s="139">
        <v>1900</v>
      </c>
      <c r="K42" s="140">
        <f t="shared" si="0"/>
        <v>1482</v>
      </c>
      <c r="L42" s="141">
        <v>0.78</v>
      </c>
      <c r="M42" s="142">
        <f t="shared" si="5"/>
        <v>17010</v>
      </c>
      <c r="N42" s="142">
        <f t="shared" si="3"/>
        <v>1900</v>
      </c>
      <c r="O42" s="143">
        <f t="shared" si="6"/>
        <v>15110</v>
      </c>
      <c r="P42" s="1" t="s">
        <v>36</v>
      </c>
    </row>
    <row r="43" spans="1:16" ht="31" x14ac:dyDescent="0.35">
      <c r="A43" s="134">
        <v>46074</v>
      </c>
      <c r="B43" s="134" t="s">
        <v>722</v>
      </c>
      <c r="C43" s="135">
        <v>1</v>
      </c>
      <c r="D43" s="136" t="s">
        <v>8</v>
      </c>
      <c r="E43" s="30" t="s">
        <v>10</v>
      </c>
      <c r="F43" s="31" t="s">
        <v>11</v>
      </c>
      <c r="G43" s="31" t="s">
        <v>12</v>
      </c>
      <c r="H43" s="138" t="s">
        <v>13</v>
      </c>
      <c r="I43" s="108" t="s">
        <v>18</v>
      </c>
      <c r="J43" s="139">
        <v>600</v>
      </c>
      <c r="K43" s="140">
        <f t="shared" si="0"/>
        <v>693.59999999999991</v>
      </c>
      <c r="L43" s="141">
        <v>1.1559999999999999</v>
      </c>
      <c r="M43" s="142">
        <f t="shared" si="5"/>
        <v>7300</v>
      </c>
      <c r="N43" s="142">
        <f t="shared" si="3"/>
        <v>600</v>
      </c>
      <c r="O43" s="143">
        <f t="shared" si="6"/>
        <v>6700</v>
      </c>
      <c r="P43" s="144" t="s">
        <v>37</v>
      </c>
    </row>
    <row r="44" spans="1:16" ht="31" x14ac:dyDescent="0.35">
      <c r="A44" s="134">
        <v>46074</v>
      </c>
      <c r="B44" s="134" t="s">
        <v>722</v>
      </c>
      <c r="C44" s="135">
        <v>2</v>
      </c>
      <c r="D44" s="136" t="s">
        <v>8</v>
      </c>
      <c r="E44" s="30" t="s">
        <v>9</v>
      </c>
      <c r="F44" s="31" t="s">
        <v>33</v>
      </c>
      <c r="G44" s="31" t="s">
        <v>15</v>
      </c>
      <c r="H44" s="138" t="s">
        <v>16</v>
      </c>
      <c r="I44" s="108" t="s">
        <v>34</v>
      </c>
      <c r="J44" s="139">
        <v>325</v>
      </c>
      <c r="K44" s="140">
        <f t="shared" si="0"/>
        <v>718.25</v>
      </c>
      <c r="L44" s="141">
        <v>2.21</v>
      </c>
      <c r="M44" s="142">
        <v>5040</v>
      </c>
      <c r="N44" s="142">
        <f t="shared" si="3"/>
        <v>325</v>
      </c>
      <c r="O44" s="143">
        <f t="shared" si="6"/>
        <v>4715</v>
      </c>
      <c r="P44" s="1" t="s">
        <v>37</v>
      </c>
    </row>
    <row r="45" spans="1:16" ht="31" x14ac:dyDescent="0.35">
      <c r="A45" s="134">
        <v>46076</v>
      </c>
      <c r="B45" s="134" t="s">
        <v>722</v>
      </c>
      <c r="C45" s="135">
        <v>1</v>
      </c>
      <c r="D45" s="136" t="s">
        <v>8</v>
      </c>
      <c r="E45" s="30" t="s">
        <v>10</v>
      </c>
      <c r="F45" s="31" t="s">
        <v>11</v>
      </c>
      <c r="G45" s="31" t="s">
        <v>12</v>
      </c>
      <c r="H45" s="138" t="s">
        <v>13</v>
      </c>
      <c r="I45" s="108" t="s">
        <v>18</v>
      </c>
      <c r="J45" s="139">
        <v>675</v>
      </c>
      <c r="K45" s="140">
        <f t="shared" si="0"/>
        <v>780.3</v>
      </c>
      <c r="L45" s="141">
        <v>1.1559999999999999</v>
      </c>
      <c r="M45" s="142">
        <f>O43</f>
        <v>6700</v>
      </c>
      <c r="N45" s="142">
        <f t="shared" si="3"/>
        <v>675</v>
      </c>
      <c r="O45" s="143">
        <f t="shared" si="6"/>
        <v>6025</v>
      </c>
      <c r="P45" s="144" t="s">
        <v>37</v>
      </c>
    </row>
    <row r="46" spans="1:16" ht="15.5" x14ac:dyDescent="0.35">
      <c r="A46" s="134">
        <v>46076</v>
      </c>
      <c r="B46" s="134" t="s">
        <v>722</v>
      </c>
      <c r="C46" s="135">
        <v>2</v>
      </c>
      <c r="D46" s="136" t="s">
        <v>8</v>
      </c>
      <c r="E46" s="30" t="s">
        <v>28</v>
      </c>
      <c r="F46" s="31" t="s">
        <v>31</v>
      </c>
      <c r="G46" s="31" t="s">
        <v>29</v>
      </c>
      <c r="H46" s="138" t="s">
        <v>30</v>
      </c>
      <c r="I46" s="108" t="s">
        <v>32</v>
      </c>
      <c r="J46" s="139">
        <f>1050+1200</f>
        <v>2250</v>
      </c>
      <c r="K46" s="140">
        <f t="shared" si="0"/>
        <v>1755</v>
      </c>
      <c r="L46" s="141">
        <v>0.78</v>
      </c>
      <c r="M46" s="142">
        <f>O42</f>
        <v>15110</v>
      </c>
      <c r="N46" s="142">
        <f t="shared" si="3"/>
        <v>2250</v>
      </c>
      <c r="O46" s="143">
        <f t="shared" si="6"/>
        <v>12860</v>
      </c>
      <c r="P46" s="1" t="s">
        <v>36</v>
      </c>
    </row>
    <row r="47" spans="1:16" ht="31" x14ac:dyDescent="0.35">
      <c r="A47" s="134">
        <v>46077</v>
      </c>
      <c r="B47" s="134" t="s">
        <v>722</v>
      </c>
      <c r="C47" s="135">
        <v>1</v>
      </c>
      <c r="D47" s="136" t="s">
        <v>8</v>
      </c>
      <c r="E47" s="30" t="s">
        <v>10</v>
      </c>
      <c r="F47" s="31" t="s">
        <v>11</v>
      </c>
      <c r="G47" s="31" t="s">
        <v>12</v>
      </c>
      <c r="H47" s="138" t="s">
        <v>13</v>
      </c>
      <c r="I47" s="108" t="s">
        <v>18</v>
      </c>
      <c r="J47" s="139">
        <v>650</v>
      </c>
      <c r="K47" s="140">
        <f t="shared" si="0"/>
        <v>751.4</v>
      </c>
      <c r="L47" s="141">
        <v>1.1559999999999999</v>
      </c>
      <c r="M47" s="142">
        <f>O45</f>
        <v>6025</v>
      </c>
      <c r="N47" s="142">
        <f t="shared" si="3"/>
        <v>650</v>
      </c>
      <c r="O47" s="143">
        <f t="shared" si="6"/>
        <v>5375</v>
      </c>
      <c r="P47" s="144" t="s">
        <v>37</v>
      </c>
    </row>
    <row r="48" spans="1:16" ht="15.5" x14ac:dyDescent="0.35">
      <c r="A48" s="134">
        <v>46077</v>
      </c>
      <c r="B48" s="134" t="s">
        <v>722</v>
      </c>
      <c r="C48" s="135">
        <v>2</v>
      </c>
      <c r="D48" s="136" t="s">
        <v>8</v>
      </c>
      <c r="E48" s="30" t="s">
        <v>28</v>
      </c>
      <c r="F48" s="31" t="s">
        <v>31</v>
      </c>
      <c r="G48" s="31" t="s">
        <v>29</v>
      </c>
      <c r="H48" s="138" t="s">
        <v>30</v>
      </c>
      <c r="I48" s="108" t="s">
        <v>32</v>
      </c>
      <c r="J48" s="139">
        <v>640</v>
      </c>
      <c r="K48" s="140">
        <f t="shared" si="0"/>
        <v>499.20000000000005</v>
      </c>
      <c r="L48" s="141">
        <v>0.78</v>
      </c>
      <c r="M48" s="142">
        <f>O44</f>
        <v>4715</v>
      </c>
      <c r="N48" s="142">
        <f t="shared" si="3"/>
        <v>640</v>
      </c>
      <c r="O48" s="143">
        <f t="shared" si="6"/>
        <v>4075</v>
      </c>
      <c r="P48" s="1" t="s">
        <v>36</v>
      </c>
    </row>
    <row r="49" spans="1:16" ht="31" x14ac:dyDescent="0.35">
      <c r="A49" s="134">
        <v>46077</v>
      </c>
      <c r="B49" s="134" t="s">
        <v>722</v>
      </c>
      <c r="C49" s="135">
        <v>2</v>
      </c>
      <c r="D49" s="136" t="s">
        <v>8</v>
      </c>
      <c r="E49" s="30" t="s">
        <v>9</v>
      </c>
      <c r="F49" s="31" t="s">
        <v>33</v>
      </c>
      <c r="G49" s="31" t="s">
        <v>15</v>
      </c>
      <c r="H49" s="138" t="s">
        <v>16</v>
      </c>
      <c r="I49" s="108" t="s">
        <v>34</v>
      </c>
      <c r="J49" s="139">
        <v>50</v>
      </c>
      <c r="K49" s="140">
        <f t="shared" si="0"/>
        <v>110.5</v>
      </c>
      <c r="L49" s="141">
        <v>2.21</v>
      </c>
      <c r="M49" s="142">
        <f>O44</f>
        <v>4715</v>
      </c>
      <c r="N49" s="142">
        <f t="shared" si="3"/>
        <v>50</v>
      </c>
      <c r="O49" s="143">
        <f t="shared" si="6"/>
        <v>4665</v>
      </c>
      <c r="P49" s="1" t="s">
        <v>37</v>
      </c>
    </row>
    <row r="50" spans="1:16" ht="31" x14ac:dyDescent="0.35">
      <c r="A50" s="134">
        <v>46078</v>
      </c>
      <c r="B50" s="134" t="s">
        <v>722</v>
      </c>
      <c r="C50" s="135">
        <v>1</v>
      </c>
      <c r="D50" s="136" t="s">
        <v>8</v>
      </c>
      <c r="E50" s="30" t="s">
        <v>10</v>
      </c>
      <c r="F50" s="31" t="s">
        <v>11</v>
      </c>
      <c r="G50" s="31" t="s">
        <v>12</v>
      </c>
      <c r="H50" s="138" t="s">
        <v>13</v>
      </c>
      <c r="I50" s="108" t="s">
        <v>18</v>
      </c>
      <c r="J50" s="139">
        <v>675</v>
      </c>
      <c r="K50" s="140">
        <f t="shared" si="0"/>
        <v>780.3</v>
      </c>
      <c r="L50" s="141">
        <v>1.1559999999999999</v>
      </c>
      <c r="M50" s="142">
        <f>O47</f>
        <v>5375</v>
      </c>
      <c r="N50" s="142">
        <f t="shared" si="3"/>
        <v>675</v>
      </c>
      <c r="O50" s="143">
        <f t="shared" si="6"/>
        <v>4700</v>
      </c>
      <c r="P50" s="144" t="s">
        <v>37</v>
      </c>
    </row>
    <row r="51" spans="1:16" ht="15.5" x14ac:dyDescent="0.35">
      <c r="A51" s="134">
        <v>46078</v>
      </c>
      <c r="B51" s="134" t="s">
        <v>722</v>
      </c>
      <c r="C51" s="135">
        <v>2</v>
      </c>
      <c r="D51" s="136" t="s">
        <v>8</v>
      </c>
      <c r="E51" s="30" t="s">
        <v>28</v>
      </c>
      <c r="F51" s="31" t="s">
        <v>31</v>
      </c>
      <c r="G51" s="31" t="s">
        <v>29</v>
      </c>
      <c r="H51" s="138" t="s">
        <v>30</v>
      </c>
      <c r="I51" s="108" t="s">
        <v>32</v>
      </c>
      <c r="J51" s="139">
        <v>1900</v>
      </c>
      <c r="K51" s="140">
        <f t="shared" si="0"/>
        <v>1482</v>
      </c>
      <c r="L51" s="141">
        <v>0.78</v>
      </c>
      <c r="M51" s="142">
        <f>O46</f>
        <v>12860</v>
      </c>
      <c r="N51" s="142">
        <f t="shared" si="3"/>
        <v>1900</v>
      </c>
      <c r="O51" s="143">
        <f t="shared" si="6"/>
        <v>10960</v>
      </c>
      <c r="P51" s="1" t="s">
        <v>36</v>
      </c>
    </row>
    <row r="52" spans="1:16" ht="31" x14ac:dyDescent="0.35">
      <c r="A52" s="134">
        <v>46079</v>
      </c>
      <c r="B52" s="134" t="s">
        <v>722</v>
      </c>
      <c r="C52" s="135">
        <v>1</v>
      </c>
      <c r="D52" s="136" t="s">
        <v>8</v>
      </c>
      <c r="E52" s="30" t="s">
        <v>10</v>
      </c>
      <c r="F52" s="31" t="s">
        <v>11</v>
      </c>
      <c r="G52" s="31" t="s">
        <v>12</v>
      </c>
      <c r="H52" s="138" t="s">
        <v>13</v>
      </c>
      <c r="I52" s="108" t="s">
        <v>18</v>
      </c>
      <c r="J52" s="139">
        <v>600</v>
      </c>
      <c r="K52" s="140">
        <f t="shared" si="0"/>
        <v>693.59999999999991</v>
      </c>
      <c r="L52" s="141">
        <v>1.1559999999999999</v>
      </c>
      <c r="M52" s="142">
        <f>O50</f>
        <v>4700</v>
      </c>
      <c r="N52" s="142">
        <f t="shared" si="3"/>
        <v>600</v>
      </c>
      <c r="O52" s="143">
        <f t="shared" si="6"/>
        <v>4100</v>
      </c>
      <c r="P52" s="1" t="s">
        <v>36</v>
      </c>
    </row>
    <row r="53" spans="1:16" ht="15.5" x14ac:dyDescent="0.35">
      <c r="A53" s="134">
        <v>46079</v>
      </c>
      <c r="B53" s="134" t="s">
        <v>722</v>
      </c>
      <c r="C53" s="135">
        <v>2</v>
      </c>
      <c r="D53" s="136" t="s">
        <v>8</v>
      </c>
      <c r="E53" s="30" t="s">
        <v>28</v>
      </c>
      <c r="F53" s="31" t="s">
        <v>31</v>
      </c>
      <c r="G53" s="31" t="s">
        <v>29</v>
      </c>
      <c r="H53" s="138" t="s">
        <v>30</v>
      </c>
      <c r="I53" s="108" t="s">
        <v>32</v>
      </c>
      <c r="J53" s="139">
        <v>400</v>
      </c>
      <c r="K53" s="140">
        <f t="shared" si="0"/>
        <v>312</v>
      </c>
      <c r="L53" s="141">
        <v>0.78</v>
      </c>
      <c r="M53" s="142">
        <f>O51</f>
        <v>10960</v>
      </c>
      <c r="N53" s="142">
        <f t="shared" si="3"/>
        <v>400</v>
      </c>
      <c r="O53" s="143">
        <f t="shared" si="6"/>
        <v>10560</v>
      </c>
      <c r="P53" s="1" t="s">
        <v>36</v>
      </c>
    </row>
    <row r="54" spans="1:16" ht="31" x14ac:dyDescent="0.35">
      <c r="A54" s="134">
        <v>46079</v>
      </c>
      <c r="B54" s="134" t="s">
        <v>722</v>
      </c>
      <c r="C54" s="135">
        <v>3</v>
      </c>
      <c r="D54" s="136" t="s">
        <v>8</v>
      </c>
      <c r="E54" s="30" t="s">
        <v>97</v>
      </c>
      <c r="F54" s="31" t="s">
        <v>95</v>
      </c>
      <c r="G54" s="31" t="s">
        <v>98</v>
      </c>
      <c r="H54" s="138" t="s">
        <v>99</v>
      </c>
      <c r="I54" s="108" t="s">
        <v>94</v>
      </c>
      <c r="J54" s="139">
        <v>75</v>
      </c>
      <c r="K54" s="140">
        <f t="shared" si="0"/>
        <v>208.49999999999997</v>
      </c>
      <c r="L54" s="141">
        <v>2.78</v>
      </c>
      <c r="M54" s="142">
        <f>150</f>
        <v>150</v>
      </c>
      <c r="N54" s="142">
        <f t="shared" si="3"/>
        <v>75</v>
      </c>
      <c r="O54" s="143">
        <f t="shared" si="6"/>
        <v>75</v>
      </c>
      <c r="P54" s="1" t="s">
        <v>36</v>
      </c>
    </row>
    <row r="55" spans="1:16" ht="31" x14ac:dyDescent="0.35">
      <c r="A55" s="134">
        <v>46080</v>
      </c>
      <c r="B55" s="134" t="s">
        <v>722</v>
      </c>
      <c r="C55" s="135">
        <v>1</v>
      </c>
      <c r="D55" s="136" t="s">
        <v>8</v>
      </c>
      <c r="E55" s="30" t="s">
        <v>10</v>
      </c>
      <c r="F55" s="31" t="s">
        <v>11</v>
      </c>
      <c r="G55" s="31" t="s">
        <v>12</v>
      </c>
      <c r="H55" s="138" t="s">
        <v>13</v>
      </c>
      <c r="I55" s="108" t="s">
        <v>18</v>
      </c>
      <c r="J55" s="139">
        <v>850</v>
      </c>
      <c r="K55" s="140">
        <f t="shared" si="0"/>
        <v>985.99999999999989</v>
      </c>
      <c r="L55" s="141">
        <v>1.1599999999999999</v>
      </c>
      <c r="M55" s="142">
        <v>4100</v>
      </c>
      <c r="N55" s="142">
        <v>850</v>
      </c>
      <c r="O55" s="143">
        <v>3250</v>
      </c>
      <c r="P55" s="1" t="s">
        <v>36</v>
      </c>
    </row>
    <row r="56" spans="1:16" ht="15.5" x14ac:dyDescent="0.35">
      <c r="A56" s="134">
        <v>46080</v>
      </c>
      <c r="B56" s="134" t="s">
        <v>722</v>
      </c>
      <c r="C56" s="135">
        <v>2</v>
      </c>
      <c r="D56" s="136" t="s">
        <v>8</v>
      </c>
      <c r="E56" s="30" t="s">
        <v>28</v>
      </c>
      <c r="F56" s="31" t="s">
        <v>31</v>
      </c>
      <c r="G56" s="31" t="s">
        <v>29</v>
      </c>
      <c r="H56" s="138" t="s">
        <v>30</v>
      </c>
      <c r="I56" s="108" t="s">
        <v>32</v>
      </c>
      <c r="J56" s="139">
        <v>1950</v>
      </c>
      <c r="K56" s="140">
        <f t="shared" si="0"/>
        <v>1521</v>
      </c>
      <c r="L56" s="141">
        <v>0.78</v>
      </c>
      <c r="M56" s="142">
        <v>9920</v>
      </c>
      <c r="N56" s="142">
        <v>1950</v>
      </c>
      <c r="O56" s="143">
        <v>7970</v>
      </c>
      <c r="P56" s="1" t="s">
        <v>36</v>
      </c>
    </row>
    <row r="57" spans="1:16" ht="31" x14ac:dyDescent="0.35">
      <c r="A57" s="134">
        <v>46080</v>
      </c>
      <c r="B57" s="134" t="s">
        <v>722</v>
      </c>
      <c r="C57" s="135">
        <v>3</v>
      </c>
      <c r="D57" s="136" t="s">
        <v>8</v>
      </c>
      <c r="E57" s="30" t="s">
        <v>100</v>
      </c>
      <c r="F57" s="31" t="s">
        <v>101</v>
      </c>
      <c r="G57" s="31" t="s">
        <v>102</v>
      </c>
      <c r="H57" s="138" t="s">
        <v>103</v>
      </c>
      <c r="I57" s="108" t="s">
        <v>94</v>
      </c>
      <c r="J57" s="139">
        <v>75</v>
      </c>
      <c r="K57" s="140">
        <f t="shared" si="0"/>
        <v>209.25</v>
      </c>
      <c r="L57" s="141">
        <v>2.79</v>
      </c>
      <c r="M57" s="142">
        <v>75</v>
      </c>
      <c r="N57" s="142">
        <v>75</v>
      </c>
      <c r="O57" s="143">
        <v>0</v>
      </c>
      <c r="P57" s="1" t="s">
        <v>36</v>
      </c>
    </row>
    <row r="58" spans="1:16" ht="31" x14ac:dyDescent="0.35">
      <c r="A58" s="134">
        <v>46081</v>
      </c>
      <c r="B58" s="134" t="s">
        <v>722</v>
      </c>
      <c r="C58" s="135">
        <v>1</v>
      </c>
      <c r="D58" s="136" t="s">
        <v>8</v>
      </c>
      <c r="E58" s="30" t="s">
        <v>10</v>
      </c>
      <c r="F58" s="31" t="s">
        <v>11</v>
      </c>
      <c r="G58" s="31" t="s">
        <v>12</v>
      </c>
      <c r="H58" s="138" t="s">
        <v>13</v>
      </c>
      <c r="I58" s="108" t="s">
        <v>18</v>
      </c>
      <c r="J58" s="139">
        <v>950</v>
      </c>
      <c r="K58" s="140">
        <f t="shared" si="0"/>
        <v>1102</v>
      </c>
      <c r="L58" s="141">
        <v>1.1599999999999999</v>
      </c>
      <c r="M58" s="142">
        <f>O55</f>
        <v>3250</v>
      </c>
      <c r="N58" s="142">
        <f t="shared" ref="N58:N89" si="7">J58</f>
        <v>950</v>
      </c>
      <c r="O58" s="143">
        <f t="shared" ref="O58:O89" si="8">M58-N58</f>
        <v>2300</v>
      </c>
      <c r="P58" s="1" t="s">
        <v>36</v>
      </c>
    </row>
    <row r="59" spans="1:16" ht="15.5" x14ac:dyDescent="0.35">
      <c r="A59" s="134">
        <v>46081</v>
      </c>
      <c r="B59" s="134" t="s">
        <v>722</v>
      </c>
      <c r="C59" s="135">
        <v>2</v>
      </c>
      <c r="D59" s="136" t="s">
        <v>8</v>
      </c>
      <c r="E59" s="30" t="s">
        <v>28</v>
      </c>
      <c r="F59" s="31" t="s">
        <v>31</v>
      </c>
      <c r="G59" s="31" t="s">
        <v>29</v>
      </c>
      <c r="H59" s="138" t="s">
        <v>30</v>
      </c>
      <c r="I59" s="108" t="s">
        <v>32</v>
      </c>
      <c r="J59" s="139">
        <v>1600</v>
      </c>
      <c r="K59" s="140">
        <f t="shared" si="0"/>
        <v>1248</v>
      </c>
      <c r="L59" s="141">
        <v>0.78</v>
      </c>
      <c r="M59" s="142">
        <f>O56</f>
        <v>7970</v>
      </c>
      <c r="N59" s="142">
        <f t="shared" si="7"/>
        <v>1600</v>
      </c>
      <c r="O59" s="143">
        <f t="shared" si="8"/>
        <v>6370</v>
      </c>
      <c r="P59" s="1" t="s">
        <v>36</v>
      </c>
    </row>
    <row r="60" spans="1:16" ht="31" x14ac:dyDescent="0.35">
      <c r="A60" s="134">
        <v>46083</v>
      </c>
      <c r="B60" s="134" t="s">
        <v>723</v>
      </c>
      <c r="C60" s="135">
        <v>1</v>
      </c>
      <c r="D60" s="136" t="s">
        <v>8</v>
      </c>
      <c r="E60" s="30" t="s">
        <v>10</v>
      </c>
      <c r="F60" s="31" t="s">
        <v>11</v>
      </c>
      <c r="G60" s="31" t="s">
        <v>12</v>
      </c>
      <c r="H60" s="138" t="s">
        <v>13</v>
      </c>
      <c r="I60" s="108" t="s">
        <v>18</v>
      </c>
      <c r="J60" s="139">
        <v>2300</v>
      </c>
      <c r="K60" s="140">
        <f t="shared" si="0"/>
        <v>2668</v>
      </c>
      <c r="L60" s="141">
        <v>1.1599999999999999</v>
      </c>
      <c r="M60" s="142">
        <f>O58</f>
        <v>2300</v>
      </c>
      <c r="N60" s="142">
        <f t="shared" si="7"/>
        <v>2300</v>
      </c>
      <c r="O60" s="143">
        <f t="shared" si="8"/>
        <v>0</v>
      </c>
      <c r="P60" s="1" t="s">
        <v>36</v>
      </c>
    </row>
    <row r="61" spans="1:16" ht="15.5" x14ac:dyDescent="0.35">
      <c r="A61" s="134">
        <v>46083</v>
      </c>
      <c r="B61" s="134" t="s">
        <v>723</v>
      </c>
      <c r="C61" s="135">
        <v>2</v>
      </c>
      <c r="D61" s="136" t="s">
        <v>8</v>
      </c>
      <c r="E61" s="30" t="s">
        <v>28</v>
      </c>
      <c r="F61" s="31" t="s">
        <v>31</v>
      </c>
      <c r="G61" s="31" t="s">
        <v>29</v>
      </c>
      <c r="H61" s="138" t="s">
        <v>30</v>
      </c>
      <c r="I61" s="108" t="s">
        <v>32</v>
      </c>
      <c r="J61" s="139">
        <v>600</v>
      </c>
      <c r="K61" s="140">
        <f t="shared" si="0"/>
        <v>468</v>
      </c>
      <c r="L61" s="141">
        <v>0.78</v>
      </c>
      <c r="M61" s="142">
        <f>O59</f>
        <v>6370</v>
      </c>
      <c r="N61" s="142">
        <f t="shared" si="7"/>
        <v>600</v>
      </c>
      <c r="O61" s="143">
        <f t="shared" si="8"/>
        <v>5770</v>
      </c>
      <c r="P61" s="1" t="s">
        <v>36</v>
      </c>
    </row>
    <row r="62" spans="1:16" ht="31" x14ac:dyDescent="0.35">
      <c r="A62" s="134">
        <v>46084</v>
      </c>
      <c r="B62" s="134" t="s">
        <v>723</v>
      </c>
      <c r="C62" s="135">
        <v>1</v>
      </c>
      <c r="D62" s="136" t="s">
        <v>8</v>
      </c>
      <c r="E62" s="30" t="s">
        <v>132</v>
      </c>
      <c r="F62" s="31" t="s">
        <v>93</v>
      </c>
      <c r="G62" s="31" t="s">
        <v>133</v>
      </c>
      <c r="H62" s="138" t="s">
        <v>134</v>
      </c>
      <c r="I62" s="108" t="s">
        <v>92</v>
      </c>
      <c r="J62" s="139">
        <v>125</v>
      </c>
      <c r="K62" s="140">
        <f t="shared" si="0"/>
        <v>221.25</v>
      </c>
      <c r="L62" s="141">
        <v>1.77</v>
      </c>
      <c r="M62" s="142">
        <v>2000</v>
      </c>
      <c r="N62" s="142">
        <f t="shared" si="7"/>
        <v>125</v>
      </c>
      <c r="O62" s="143">
        <f t="shared" si="8"/>
        <v>1875</v>
      </c>
      <c r="P62" s="1" t="s">
        <v>36</v>
      </c>
    </row>
    <row r="63" spans="1:16" ht="15.5" x14ac:dyDescent="0.35">
      <c r="A63" s="134">
        <v>46084</v>
      </c>
      <c r="B63" s="134" t="s">
        <v>723</v>
      </c>
      <c r="C63" s="135">
        <v>2</v>
      </c>
      <c r="D63" s="136" t="s">
        <v>8</v>
      </c>
      <c r="E63" s="30" t="s">
        <v>28</v>
      </c>
      <c r="F63" s="31" t="s">
        <v>31</v>
      </c>
      <c r="G63" s="31" t="s">
        <v>29</v>
      </c>
      <c r="H63" s="138" t="s">
        <v>30</v>
      </c>
      <c r="I63" s="108" t="s">
        <v>32</v>
      </c>
      <c r="J63" s="139">
        <v>1200</v>
      </c>
      <c r="K63" s="140">
        <f t="shared" si="0"/>
        <v>936</v>
      </c>
      <c r="L63" s="141">
        <v>0.78</v>
      </c>
      <c r="M63" s="142">
        <f>O61</f>
        <v>5770</v>
      </c>
      <c r="N63" s="142">
        <f t="shared" si="7"/>
        <v>1200</v>
      </c>
      <c r="O63" s="143">
        <f t="shared" si="8"/>
        <v>4570</v>
      </c>
      <c r="P63" s="1" t="s">
        <v>36</v>
      </c>
    </row>
    <row r="64" spans="1:16" ht="31" x14ac:dyDescent="0.35">
      <c r="A64" s="134">
        <v>46086</v>
      </c>
      <c r="B64" s="134" t="s">
        <v>723</v>
      </c>
      <c r="C64" s="135">
        <v>1</v>
      </c>
      <c r="D64" s="136" t="s">
        <v>8</v>
      </c>
      <c r="E64" s="30" t="s">
        <v>132</v>
      </c>
      <c r="F64" s="31" t="s">
        <v>93</v>
      </c>
      <c r="G64" s="31" t="s">
        <v>133</v>
      </c>
      <c r="H64" s="138" t="s">
        <v>134</v>
      </c>
      <c r="I64" s="108" t="s">
        <v>92</v>
      </c>
      <c r="J64" s="139">
        <v>200</v>
      </c>
      <c r="K64" s="140">
        <f t="shared" si="0"/>
        <v>354</v>
      </c>
      <c r="L64" s="141">
        <v>1.77</v>
      </c>
      <c r="M64" s="142">
        <f>O62</f>
        <v>1875</v>
      </c>
      <c r="N64" s="142">
        <f t="shared" si="7"/>
        <v>200</v>
      </c>
      <c r="O64" s="143">
        <f t="shared" si="8"/>
        <v>1675</v>
      </c>
      <c r="P64" s="1" t="s">
        <v>36</v>
      </c>
    </row>
    <row r="65" spans="1:16" ht="15.5" x14ac:dyDescent="0.35">
      <c r="A65" s="134">
        <v>46086</v>
      </c>
      <c r="B65" s="134" t="s">
        <v>723</v>
      </c>
      <c r="C65" s="135">
        <v>2</v>
      </c>
      <c r="D65" s="136" t="s">
        <v>8</v>
      </c>
      <c r="E65" s="30" t="s">
        <v>28</v>
      </c>
      <c r="F65" s="31" t="s">
        <v>31</v>
      </c>
      <c r="G65" s="31" t="s">
        <v>29</v>
      </c>
      <c r="H65" s="138" t="s">
        <v>30</v>
      </c>
      <c r="I65" s="108" t="s">
        <v>32</v>
      </c>
      <c r="J65" s="139">
        <v>700</v>
      </c>
      <c r="K65" s="140">
        <f t="shared" si="0"/>
        <v>546</v>
      </c>
      <c r="L65" s="141">
        <v>0.78</v>
      </c>
      <c r="M65" s="142">
        <f>O63</f>
        <v>4570</v>
      </c>
      <c r="N65" s="142">
        <f t="shared" si="7"/>
        <v>700</v>
      </c>
      <c r="O65" s="143">
        <f t="shared" si="8"/>
        <v>3870</v>
      </c>
      <c r="P65" s="1" t="s">
        <v>36</v>
      </c>
    </row>
    <row r="66" spans="1:16" ht="31" x14ac:dyDescent="0.35">
      <c r="A66" s="134">
        <v>46087</v>
      </c>
      <c r="B66" s="134" t="s">
        <v>723</v>
      </c>
      <c r="C66" s="135">
        <v>1</v>
      </c>
      <c r="D66" s="136" t="s">
        <v>8</v>
      </c>
      <c r="E66" s="30" t="s">
        <v>132</v>
      </c>
      <c r="F66" s="31" t="s">
        <v>93</v>
      </c>
      <c r="G66" s="31" t="s">
        <v>133</v>
      </c>
      <c r="H66" s="138" t="s">
        <v>134</v>
      </c>
      <c r="I66" s="108" t="s">
        <v>92</v>
      </c>
      <c r="J66" s="139">
        <v>325</v>
      </c>
      <c r="K66" s="140">
        <f t="shared" ref="K66:K129" si="9">L66*J66</f>
        <v>575.25</v>
      </c>
      <c r="L66" s="141">
        <v>1.77</v>
      </c>
      <c r="M66" s="142">
        <f>O64</f>
        <v>1675</v>
      </c>
      <c r="N66" s="142">
        <f t="shared" si="7"/>
        <v>325</v>
      </c>
      <c r="O66" s="143">
        <f t="shared" si="8"/>
        <v>1350</v>
      </c>
      <c r="P66" s="1" t="s">
        <v>36</v>
      </c>
    </row>
    <row r="67" spans="1:16" ht="15.5" x14ac:dyDescent="0.35">
      <c r="A67" s="134">
        <v>46087</v>
      </c>
      <c r="B67" s="134" t="s">
        <v>723</v>
      </c>
      <c r="C67" s="135">
        <v>2</v>
      </c>
      <c r="D67" s="136" t="s">
        <v>8</v>
      </c>
      <c r="E67" s="30" t="s">
        <v>28</v>
      </c>
      <c r="F67" s="31" t="s">
        <v>31</v>
      </c>
      <c r="G67" s="31" t="s">
        <v>29</v>
      </c>
      <c r="H67" s="138" t="s">
        <v>30</v>
      </c>
      <c r="I67" s="108" t="s">
        <v>32</v>
      </c>
      <c r="J67" s="139">
        <v>1550</v>
      </c>
      <c r="K67" s="140">
        <f t="shared" si="9"/>
        <v>1209</v>
      </c>
      <c r="L67" s="141">
        <v>0.78</v>
      </c>
      <c r="M67" s="142">
        <f>O65</f>
        <v>3870</v>
      </c>
      <c r="N67" s="142">
        <f t="shared" si="7"/>
        <v>1550</v>
      </c>
      <c r="O67" s="143">
        <f t="shared" si="8"/>
        <v>2320</v>
      </c>
      <c r="P67" s="1" t="s">
        <v>36</v>
      </c>
    </row>
    <row r="68" spans="1:16" ht="31" x14ac:dyDescent="0.35">
      <c r="A68" s="134">
        <v>46087</v>
      </c>
      <c r="B68" s="134" t="s">
        <v>723</v>
      </c>
      <c r="C68" s="135">
        <v>2</v>
      </c>
      <c r="D68" s="136" t="s">
        <v>8</v>
      </c>
      <c r="E68" s="30" t="s">
        <v>9</v>
      </c>
      <c r="F68" s="31" t="s">
        <v>33</v>
      </c>
      <c r="G68" s="31" t="s">
        <v>15</v>
      </c>
      <c r="H68" s="138" t="s">
        <v>16</v>
      </c>
      <c r="I68" s="108" t="s">
        <v>34</v>
      </c>
      <c r="J68" s="139">
        <v>600</v>
      </c>
      <c r="K68" s="140">
        <f t="shared" si="9"/>
        <v>1326</v>
      </c>
      <c r="L68" s="141">
        <v>2.21</v>
      </c>
      <c r="M68" s="142">
        <f>4665</f>
        <v>4665</v>
      </c>
      <c r="N68" s="142">
        <f t="shared" si="7"/>
        <v>600</v>
      </c>
      <c r="O68" s="143">
        <f t="shared" si="8"/>
        <v>4065</v>
      </c>
      <c r="P68" s="1" t="s">
        <v>37</v>
      </c>
    </row>
    <row r="69" spans="1:16" ht="31" x14ac:dyDescent="0.35">
      <c r="A69" s="134">
        <v>46088</v>
      </c>
      <c r="B69" s="134" t="s">
        <v>723</v>
      </c>
      <c r="C69" s="135">
        <v>1</v>
      </c>
      <c r="D69" s="136" t="s">
        <v>8</v>
      </c>
      <c r="E69" s="30" t="s">
        <v>132</v>
      </c>
      <c r="F69" s="31" t="s">
        <v>93</v>
      </c>
      <c r="G69" s="31" t="s">
        <v>133</v>
      </c>
      <c r="H69" s="138" t="s">
        <v>134</v>
      </c>
      <c r="I69" s="108" t="s">
        <v>92</v>
      </c>
      <c r="J69" s="139">
        <v>300</v>
      </c>
      <c r="K69" s="140">
        <f t="shared" si="9"/>
        <v>531</v>
      </c>
      <c r="L69" s="141">
        <v>1.77</v>
      </c>
      <c r="M69" s="142">
        <f t="shared" ref="M69:M78" si="10">O66</f>
        <v>1350</v>
      </c>
      <c r="N69" s="142">
        <f t="shared" si="7"/>
        <v>300</v>
      </c>
      <c r="O69" s="143">
        <f t="shared" si="8"/>
        <v>1050</v>
      </c>
      <c r="P69" s="1" t="s">
        <v>36</v>
      </c>
    </row>
    <row r="70" spans="1:16" ht="15.5" x14ac:dyDescent="0.35">
      <c r="A70" s="134">
        <v>46088</v>
      </c>
      <c r="B70" s="134" t="s">
        <v>723</v>
      </c>
      <c r="C70" s="135">
        <v>2</v>
      </c>
      <c r="D70" s="136" t="s">
        <v>8</v>
      </c>
      <c r="E70" s="30" t="s">
        <v>28</v>
      </c>
      <c r="F70" s="31" t="s">
        <v>31</v>
      </c>
      <c r="G70" s="31" t="s">
        <v>29</v>
      </c>
      <c r="H70" s="138" t="s">
        <v>30</v>
      </c>
      <c r="I70" s="108" t="s">
        <v>32</v>
      </c>
      <c r="J70" s="139">
        <v>1350</v>
      </c>
      <c r="K70" s="140">
        <f t="shared" si="9"/>
        <v>1053</v>
      </c>
      <c r="L70" s="141">
        <v>0.78</v>
      </c>
      <c r="M70" s="142">
        <f t="shared" si="10"/>
        <v>2320</v>
      </c>
      <c r="N70" s="142">
        <f t="shared" si="7"/>
        <v>1350</v>
      </c>
      <c r="O70" s="143">
        <f t="shared" si="8"/>
        <v>970</v>
      </c>
      <c r="P70" s="1" t="s">
        <v>36</v>
      </c>
    </row>
    <row r="71" spans="1:16" ht="31" x14ac:dyDescent="0.35">
      <c r="A71" s="134">
        <v>46088</v>
      </c>
      <c r="B71" s="134" t="s">
        <v>723</v>
      </c>
      <c r="C71" s="135">
        <v>2</v>
      </c>
      <c r="D71" s="136" t="s">
        <v>8</v>
      </c>
      <c r="E71" s="30" t="s">
        <v>9</v>
      </c>
      <c r="F71" s="31" t="s">
        <v>33</v>
      </c>
      <c r="G71" s="31" t="s">
        <v>15</v>
      </c>
      <c r="H71" s="138" t="s">
        <v>16</v>
      </c>
      <c r="I71" s="108" t="s">
        <v>34</v>
      </c>
      <c r="J71" s="139">
        <v>250</v>
      </c>
      <c r="K71" s="140">
        <f t="shared" si="9"/>
        <v>552.5</v>
      </c>
      <c r="L71" s="141">
        <v>2.21</v>
      </c>
      <c r="M71" s="142">
        <f t="shared" si="10"/>
        <v>4065</v>
      </c>
      <c r="N71" s="142">
        <f t="shared" si="7"/>
        <v>250</v>
      </c>
      <c r="O71" s="143">
        <f t="shared" si="8"/>
        <v>3815</v>
      </c>
      <c r="P71" s="1" t="s">
        <v>37</v>
      </c>
    </row>
    <row r="72" spans="1:16" ht="31" x14ac:dyDescent="0.35">
      <c r="A72" s="134">
        <v>46090</v>
      </c>
      <c r="B72" s="134" t="s">
        <v>723</v>
      </c>
      <c r="C72" s="135">
        <v>1</v>
      </c>
      <c r="D72" s="136" t="s">
        <v>8</v>
      </c>
      <c r="E72" s="30" t="s">
        <v>132</v>
      </c>
      <c r="F72" s="31" t="s">
        <v>93</v>
      </c>
      <c r="G72" s="31" t="s">
        <v>133</v>
      </c>
      <c r="H72" s="138" t="s">
        <v>134</v>
      </c>
      <c r="I72" s="108" t="s">
        <v>92</v>
      </c>
      <c r="J72" s="139">
        <v>325</v>
      </c>
      <c r="K72" s="140">
        <f t="shared" si="9"/>
        <v>575.25</v>
      </c>
      <c r="L72" s="141">
        <v>1.77</v>
      </c>
      <c r="M72" s="142">
        <f t="shared" si="10"/>
        <v>1050</v>
      </c>
      <c r="N72" s="142">
        <f t="shared" si="7"/>
        <v>325</v>
      </c>
      <c r="O72" s="143">
        <f t="shared" si="8"/>
        <v>725</v>
      </c>
      <c r="P72" s="1" t="s">
        <v>36</v>
      </c>
    </row>
    <row r="73" spans="1:16" ht="15.5" x14ac:dyDescent="0.35">
      <c r="A73" s="134">
        <v>46090</v>
      </c>
      <c r="B73" s="134" t="s">
        <v>723</v>
      </c>
      <c r="C73" s="135">
        <v>2</v>
      </c>
      <c r="D73" s="136" t="s">
        <v>8</v>
      </c>
      <c r="E73" s="30" t="s">
        <v>28</v>
      </c>
      <c r="F73" s="31" t="s">
        <v>31</v>
      </c>
      <c r="G73" s="31" t="s">
        <v>29</v>
      </c>
      <c r="H73" s="138" t="s">
        <v>30</v>
      </c>
      <c r="I73" s="108" t="s">
        <v>32</v>
      </c>
      <c r="J73" s="139">
        <v>500</v>
      </c>
      <c r="K73" s="140">
        <f t="shared" si="9"/>
        <v>390</v>
      </c>
      <c r="L73" s="141">
        <v>0.78</v>
      </c>
      <c r="M73" s="142">
        <f t="shared" si="10"/>
        <v>970</v>
      </c>
      <c r="N73" s="142">
        <f t="shared" si="7"/>
        <v>500</v>
      </c>
      <c r="O73" s="143">
        <f t="shared" si="8"/>
        <v>470</v>
      </c>
      <c r="P73" s="1" t="s">
        <v>36</v>
      </c>
    </row>
    <row r="74" spans="1:16" ht="31" x14ac:dyDescent="0.35">
      <c r="A74" s="134">
        <v>46090</v>
      </c>
      <c r="B74" s="134" t="s">
        <v>723</v>
      </c>
      <c r="C74" s="135">
        <v>2</v>
      </c>
      <c r="D74" s="136" t="s">
        <v>8</v>
      </c>
      <c r="E74" s="30" t="s">
        <v>9</v>
      </c>
      <c r="F74" s="31" t="s">
        <v>33</v>
      </c>
      <c r="G74" s="31" t="s">
        <v>15</v>
      </c>
      <c r="H74" s="138" t="s">
        <v>16</v>
      </c>
      <c r="I74" s="108" t="s">
        <v>34</v>
      </c>
      <c r="J74" s="139">
        <v>670</v>
      </c>
      <c r="K74" s="140">
        <f t="shared" si="9"/>
        <v>1480.7</v>
      </c>
      <c r="L74" s="141">
        <v>2.21</v>
      </c>
      <c r="M74" s="142">
        <f t="shared" si="10"/>
        <v>3815</v>
      </c>
      <c r="N74" s="142">
        <f t="shared" si="7"/>
        <v>670</v>
      </c>
      <c r="O74" s="143">
        <f t="shared" si="8"/>
        <v>3145</v>
      </c>
      <c r="P74" s="1" t="s">
        <v>37</v>
      </c>
    </row>
    <row r="75" spans="1:16" ht="31" x14ac:dyDescent="0.35">
      <c r="A75" s="134">
        <v>46091</v>
      </c>
      <c r="B75" s="134" t="s">
        <v>723</v>
      </c>
      <c r="C75" s="135">
        <v>1</v>
      </c>
      <c r="D75" s="136" t="s">
        <v>8</v>
      </c>
      <c r="E75" s="30" t="s">
        <v>132</v>
      </c>
      <c r="F75" s="31" t="s">
        <v>93</v>
      </c>
      <c r="G75" s="31" t="s">
        <v>133</v>
      </c>
      <c r="H75" s="138" t="s">
        <v>134</v>
      </c>
      <c r="I75" s="108" t="s">
        <v>92</v>
      </c>
      <c r="J75" s="139">
        <v>275</v>
      </c>
      <c r="K75" s="140">
        <f t="shared" si="9"/>
        <v>486.75</v>
      </c>
      <c r="L75" s="141">
        <v>1.77</v>
      </c>
      <c r="M75" s="142">
        <f t="shared" si="10"/>
        <v>725</v>
      </c>
      <c r="N75" s="142">
        <f t="shared" si="7"/>
        <v>275</v>
      </c>
      <c r="O75" s="143">
        <f t="shared" si="8"/>
        <v>450</v>
      </c>
      <c r="P75" s="1" t="s">
        <v>36</v>
      </c>
    </row>
    <row r="76" spans="1:16" ht="15.5" x14ac:dyDescent="0.35">
      <c r="A76" s="134">
        <v>46091</v>
      </c>
      <c r="B76" s="134" t="s">
        <v>723</v>
      </c>
      <c r="C76" s="135">
        <v>2</v>
      </c>
      <c r="D76" s="136" t="s">
        <v>8</v>
      </c>
      <c r="E76" s="30" t="s">
        <v>28</v>
      </c>
      <c r="F76" s="31" t="s">
        <v>31</v>
      </c>
      <c r="G76" s="31" t="s">
        <v>29</v>
      </c>
      <c r="H76" s="138" t="s">
        <v>30</v>
      </c>
      <c r="I76" s="108" t="s">
        <v>32</v>
      </c>
      <c r="J76" s="139">
        <v>470</v>
      </c>
      <c r="K76" s="140">
        <f t="shared" si="9"/>
        <v>366.6</v>
      </c>
      <c r="L76" s="141">
        <v>0.78</v>
      </c>
      <c r="M76" s="142">
        <f t="shared" si="10"/>
        <v>470</v>
      </c>
      <c r="N76" s="142">
        <f t="shared" si="7"/>
        <v>470</v>
      </c>
      <c r="O76" s="143">
        <f t="shared" si="8"/>
        <v>0</v>
      </c>
      <c r="P76" s="1" t="s">
        <v>36</v>
      </c>
    </row>
    <row r="77" spans="1:16" ht="31" x14ac:dyDescent="0.35">
      <c r="A77" s="134">
        <v>46091</v>
      </c>
      <c r="B77" s="134" t="s">
        <v>723</v>
      </c>
      <c r="C77" s="135">
        <v>2</v>
      </c>
      <c r="D77" s="136" t="s">
        <v>8</v>
      </c>
      <c r="E77" s="30" t="s">
        <v>9</v>
      </c>
      <c r="F77" s="31" t="s">
        <v>33</v>
      </c>
      <c r="G77" s="31" t="s">
        <v>15</v>
      </c>
      <c r="H77" s="138" t="s">
        <v>16</v>
      </c>
      <c r="I77" s="108" t="s">
        <v>34</v>
      </c>
      <c r="J77" s="139">
        <v>475</v>
      </c>
      <c r="K77" s="140">
        <f t="shared" si="9"/>
        <v>1049.75</v>
      </c>
      <c r="L77" s="141">
        <v>2.21</v>
      </c>
      <c r="M77" s="142">
        <f t="shared" si="10"/>
        <v>3145</v>
      </c>
      <c r="N77" s="142">
        <f t="shared" si="7"/>
        <v>475</v>
      </c>
      <c r="O77" s="143">
        <f t="shared" si="8"/>
        <v>2670</v>
      </c>
      <c r="P77" s="1" t="s">
        <v>37</v>
      </c>
    </row>
    <row r="78" spans="1:16" ht="31" x14ac:dyDescent="0.35">
      <c r="A78" s="145">
        <v>46094</v>
      </c>
      <c r="B78" s="134" t="s">
        <v>723</v>
      </c>
      <c r="C78" s="135">
        <v>1</v>
      </c>
      <c r="D78" s="136" t="s">
        <v>8</v>
      </c>
      <c r="E78" s="30" t="s">
        <v>132</v>
      </c>
      <c r="F78" s="31" t="s">
        <v>93</v>
      </c>
      <c r="G78" s="31" t="s">
        <v>133</v>
      </c>
      <c r="H78" s="146" t="s">
        <v>134</v>
      </c>
      <c r="I78" s="108" t="s">
        <v>92</v>
      </c>
      <c r="J78" s="139">
        <v>350</v>
      </c>
      <c r="K78" s="140">
        <f t="shared" si="9"/>
        <v>619.5</v>
      </c>
      <c r="L78" s="141">
        <v>1.77</v>
      </c>
      <c r="M78" s="142">
        <f t="shared" si="10"/>
        <v>450</v>
      </c>
      <c r="N78" s="142">
        <f t="shared" si="7"/>
        <v>350</v>
      </c>
      <c r="O78" s="143">
        <f t="shared" si="8"/>
        <v>100</v>
      </c>
      <c r="P78" s="1" t="s">
        <v>36</v>
      </c>
    </row>
    <row r="79" spans="1:16" ht="15.5" x14ac:dyDescent="0.35">
      <c r="A79" s="145">
        <v>46094</v>
      </c>
      <c r="B79" s="134" t="s">
        <v>723</v>
      </c>
      <c r="C79" s="135">
        <v>2</v>
      </c>
      <c r="D79" s="136" t="s">
        <v>8</v>
      </c>
      <c r="E79" s="30" t="s">
        <v>140</v>
      </c>
      <c r="F79" s="31" t="s">
        <v>89</v>
      </c>
      <c r="G79" s="31" t="s">
        <v>141</v>
      </c>
      <c r="H79" s="146" t="s">
        <v>90</v>
      </c>
      <c r="I79" s="108" t="s">
        <v>142</v>
      </c>
      <c r="J79" s="139">
        <v>300</v>
      </c>
      <c r="K79" s="140">
        <f t="shared" si="9"/>
        <v>583.5</v>
      </c>
      <c r="L79" s="141">
        <v>1.9450000000000001</v>
      </c>
      <c r="M79" s="142">
        <v>2000</v>
      </c>
      <c r="N79" s="142">
        <f t="shared" si="7"/>
        <v>300</v>
      </c>
      <c r="O79" s="143">
        <f t="shared" si="8"/>
        <v>1700</v>
      </c>
      <c r="P79" s="1" t="s">
        <v>36</v>
      </c>
    </row>
    <row r="80" spans="1:16" ht="31" x14ac:dyDescent="0.35">
      <c r="A80" s="145">
        <v>46094</v>
      </c>
      <c r="B80" s="134" t="s">
        <v>723</v>
      </c>
      <c r="C80" s="135">
        <v>2</v>
      </c>
      <c r="D80" s="136" t="s">
        <v>8</v>
      </c>
      <c r="E80" s="30" t="s">
        <v>9</v>
      </c>
      <c r="F80" s="31" t="s">
        <v>33</v>
      </c>
      <c r="G80" s="31" t="s">
        <v>15</v>
      </c>
      <c r="H80" s="138" t="s">
        <v>16</v>
      </c>
      <c r="I80" s="108" t="s">
        <v>34</v>
      </c>
      <c r="J80" s="139">
        <v>750</v>
      </c>
      <c r="K80" s="140">
        <f t="shared" si="9"/>
        <v>1657.5</v>
      </c>
      <c r="L80" s="141">
        <v>2.21</v>
      </c>
      <c r="M80" s="142">
        <f>O77</f>
        <v>2670</v>
      </c>
      <c r="N80" s="142">
        <f t="shared" si="7"/>
        <v>750</v>
      </c>
      <c r="O80" s="143">
        <f t="shared" si="8"/>
        <v>1920</v>
      </c>
      <c r="P80" s="1" t="s">
        <v>37</v>
      </c>
    </row>
    <row r="81" spans="1:16" ht="15.5" x14ac:dyDescent="0.35">
      <c r="A81" s="145">
        <v>46095</v>
      </c>
      <c r="B81" s="134" t="s">
        <v>723</v>
      </c>
      <c r="C81" s="135">
        <v>1</v>
      </c>
      <c r="D81" s="136" t="s">
        <v>8</v>
      </c>
      <c r="E81" s="31" t="s">
        <v>66</v>
      </c>
      <c r="F81" s="31" t="s">
        <v>73</v>
      </c>
      <c r="G81" s="31" t="s">
        <v>143</v>
      </c>
      <c r="H81" s="146" t="s">
        <v>144</v>
      </c>
      <c r="I81" s="108" t="s">
        <v>72</v>
      </c>
      <c r="J81" s="139">
        <v>400</v>
      </c>
      <c r="K81" s="140">
        <f t="shared" si="9"/>
        <v>612</v>
      </c>
      <c r="L81" s="141">
        <v>1.53</v>
      </c>
      <c r="M81" s="142">
        <v>5060</v>
      </c>
      <c r="N81" s="142">
        <f t="shared" si="7"/>
        <v>400</v>
      </c>
      <c r="O81" s="143">
        <f t="shared" si="8"/>
        <v>4660</v>
      </c>
      <c r="P81" s="1" t="s">
        <v>36</v>
      </c>
    </row>
    <row r="82" spans="1:16" ht="15.5" x14ac:dyDescent="0.35">
      <c r="A82" s="145">
        <v>46095</v>
      </c>
      <c r="B82" s="134" t="s">
        <v>723</v>
      </c>
      <c r="C82" s="135">
        <v>2</v>
      </c>
      <c r="D82" s="136" t="s">
        <v>8</v>
      </c>
      <c r="E82" s="30" t="s">
        <v>140</v>
      </c>
      <c r="F82" s="31" t="s">
        <v>89</v>
      </c>
      <c r="G82" s="31" t="s">
        <v>141</v>
      </c>
      <c r="H82" s="146" t="s">
        <v>90</v>
      </c>
      <c r="I82" s="108" t="s">
        <v>142</v>
      </c>
      <c r="J82" s="139">
        <v>650</v>
      </c>
      <c r="K82" s="140">
        <f t="shared" si="9"/>
        <v>1264.25</v>
      </c>
      <c r="L82" s="141">
        <v>1.9450000000000001</v>
      </c>
      <c r="M82" s="142">
        <f t="shared" ref="M82:M88" si="11">O79</f>
        <v>1700</v>
      </c>
      <c r="N82" s="142">
        <f t="shared" si="7"/>
        <v>650</v>
      </c>
      <c r="O82" s="143">
        <f t="shared" si="8"/>
        <v>1050</v>
      </c>
      <c r="P82" s="1" t="s">
        <v>36</v>
      </c>
    </row>
    <row r="83" spans="1:16" ht="31" x14ac:dyDescent="0.35">
      <c r="A83" s="145">
        <v>46095</v>
      </c>
      <c r="B83" s="134" t="s">
        <v>723</v>
      </c>
      <c r="C83" s="135">
        <v>2</v>
      </c>
      <c r="D83" s="136" t="s">
        <v>8</v>
      </c>
      <c r="E83" s="30" t="s">
        <v>9</v>
      </c>
      <c r="F83" s="31" t="s">
        <v>33</v>
      </c>
      <c r="G83" s="31" t="s">
        <v>15</v>
      </c>
      <c r="H83" s="138" t="s">
        <v>16</v>
      </c>
      <c r="I83" s="108" t="s">
        <v>34</v>
      </c>
      <c r="J83" s="139">
        <v>425</v>
      </c>
      <c r="K83" s="140">
        <f t="shared" si="9"/>
        <v>939.25</v>
      </c>
      <c r="L83" s="141">
        <v>2.21</v>
      </c>
      <c r="M83" s="142">
        <f t="shared" si="11"/>
        <v>1920</v>
      </c>
      <c r="N83" s="142">
        <f t="shared" si="7"/>
        <v>425</v>
      </c>
      <c r="O83" s="143">
        <f t="shared" si="8"/>
        <v>1495</v>
      </c>
      <c r="P83" s="1" t="s">
        <v>37</v>
      </c>
    </row>
    <row r="84" spans="1:16" ht="15.5" x14ac:dyDescent="0.35">
      <c r="A84" s="145">
        <v>46097</v>
      </c>
      <c r="B84" s="134" t="s">
        <v>723</v>
      </c>
      <c r="C84" s="135">
        <v>1</v>
      </c>
      <c r="D84" s="136" t="s">
        <v>8</v>
      </c>
      <c r="E84" s="31" t="s">
        <v>66</v>
      </c>
      <c r="F84" s="31" t="s">
        <v>73</v>
      </c>
      <c r="G84" s="31" t="s">
        <v>143</v>
      </c>
      <c r="H84" s="146" t="s">
        <v>144</v>
      </c>
      <c r="I84" s="108" t="s">
        <v>72</v>
      </c>
      <c r="J84" s="139">
        <v>1050</v>
      </c>
      <c r="K84" s="140">
        <f t="shared" si="9"/>
        <v>1606.5</v>
      </c>
      <c r="L84" s="141">
        <v>1.53</v>
      </c>
      <c r="M84" s="142">
        <f t="shared" si="11"/>
        <v>4660</v>
      </c>
      <c r="N84" s="142">
        <f t="shared" si="7"/>
        <v>1050</v>
      </c>
      <c r="O84" s="143">
        <f t="shared" si="8"/>
        <v>3610</v>
      </c>
      <c r="P84" s="1" t="s">
        <v>36</v>
      </c>
    </row>
    <row r="85" spans="1:16" ht="15.5" x14ac:dyDescent="0.35">
      <c r="A85" s="145">
        <v>46097</v>
      </c>
      <c r="B85" s="134" t="s">
        <v>723</v>
      </c>
      <c r="C85" s="135">
        <v>2</v>
      </c>
      <c r="D85" s="136" t="s">
        <v>8</v>
      </c>
      <c r="E85" s="30" t="s">
        <v>140</v>
      </c>
      <c r="F85" s="31" t="s">
        <v>89</v>
      </c>
      <c r="G85" s="31" t="s">
        <v>141</v>
      </c>
      <c r="H85" s="146" t="s">
        <v>90</v>
      </c>
      <c r="I85" s="108" t="s">
        <v>142</v>
      </c>
      <c r="J85" s="139">
        <v>750</v>
      </c>
      <c r="K85" s="140">
        <f t="shared" si="9"/>
        <v>1458.75</v>
      </c>
      <c r="L85" s="141">
        <v>1.9450000000000001</v>
      </c>
      <c r="M85" s="142">
        <f t="shared" si="11"/>
        <v>1050</v>
      </c>
      <c r="N85" s="142">
        <f t="shared" si="7"/>
        <v>750</v>
      </c>
      <c r="O85" s="143">
        <f t="shared" si="8"/>
        <v>300</v>
      </c>
      <c r="P85" s="1" t="s">
        <v>36</v>
      </c>
    </row>
    <row r="86" spans="1:16" ht="31" x14ac:dyDescent="0.35">
      <c r="A86" s="145">
        <v>46097</v>
      </c>
      <c r="B86" s="134" t="s">
        <v>723</v>
      </c>
      <c r="C86" s="135">
        <v>2</v>
      </c>
      <c r="D86" s="136" t="s">
        <v>8</v>
      </c>
      <c r="E86" s="30" t="s">
        <v>9</v>
      </c>
      <c r="F86" s="31" t="s">
        <v>33</v>
      </c>
      <c r="G86" s="31" t="s">
        <v>15</v>
      </c>
      <c r="H86" s="138" t="s">
        <v>16</v>
      </c>
      <c r="I86" s="108" t="s">
        <v>34</v>
      </c>
      <c r="J86" s="139">
        <v>125</v>
      </c>
      <c r="K86" s="140">
        <f t="shared" si="9"/>
        <v>276.25</v>
      </c>
      <c r="L86" s="141">
        <v>2.21</v>
      </c>
      <c r="M86" s="142">
        <f t="shared" si="11"/>
        <v>1495</v>
      </c>
      <c r="N86" s="142">
        <f t="shared" si="7"/>
        <v>125</v>
      </c>
      <c r="O86" s="143">
        <f t="shared" si="8"/>
        <v>1370</v>
      </c>
      <c r="P86" s="1" t="s">
        <v>37</v>
      </c>
    </row>
    <row r="87" spans="1:16" ht="15.5" x14ac:dyDescent="0.35">
      <c r="A87" s="145">
        <v>46098</v>
      </c>
      <c r="B87" s="134" t="s">
        <v>723</v>
      </c>
      <c r="C87" s="135">
        <v>1</v>
      </c>
      <c r="D87" s="136" t="s">
        <v>8</v>
      </c>
      <c r="E87" s="31" t="s">
        <v>66</v>
      </c>
      <c r="F87" s="31" t="s">
        <v>73</v>
      </c>
      <c r="G87" s="31" t="s">
        <v>143</v>
      </c>
      <c r="H87" s="146" t="s">
        <v>144</v>
      </c>
      <c r="I87" s="108" t="s">
        <v>72</v>
      </c>
      <c r="J87" s="139">
        <v>1200</v>
      </c>
      <c r="K87" s="140">
        <f t="shared" si="9"/>
        <v>1836</v>
      </c>
      <c r="L87" s="141">
        <v>1.53</v>
      </c>
      <c r="M87" s="142">
        <f t="shared" si="11"/>
        <v>3610</v>
      </c>
      <c r="N87" s="142">
        <f t="shared" si="7"/>
        <v>1200</v>
      </c>
      <c r="O87" s="143">
        <f t="shared" si="8"/>
        <v>2410</v>
      </c>
      <c r="P87" s="1" t="s">
        <v>36</v>
      </c>
    </row>
    <row r="88" spans="1:16" ht="15.5" x14ac:dyDescent="0.35">
      <c r="A88" s="145">
        <v>46098</v>
      </c>
      <c r="B88" s="134" t="s">
        <v>723</v>
      </c>
      <c r="C88" s="135">
        <v>2</v>
      </c>
      <c r="D88" s="136" t="s">
        <v>8</v>
      </c>
      <c r="E88" s="30" t="s">
        <v>140</v>
      </c>
      <c r="F88" s="31" t="s">
        <v>89</v>
      </c>
      <c r="G88" s="31" t="s">
        <v>141</v>
      </c>
      <c r="H88" s="146" t="s">
        <v>90</v>
      </c>
      <c r="I88" s="108" t="s">
        <v>142</v>
      </c>
      <c r="J88" s="139">
        <v>300</v>
      </c>
      <c r="K88" s="140">
        <f t="shared" si="9"/>
        <v>583.5</v>
      </c>
      <c r="L88" s="141">
        <v>1.9450000000000001</v>
      </c>
      <c r="M88" s="142">
        <f t="shared" si="11"/>
        <v>300</v>
      </c>
      <c r="N88" s="142">
        <f t="shared" si="7"/>
        <v>300</v>
      </c>
      <c r="O88" s="143">
        <f t="shared" si="8"/>
        <v>0</v>
      </c>
      <c r="P88" s="1" t="s">
        <v>36</v>
      </c>
    </row>
    <row r="89" spans="1:16" ht="15.5" x14ac:dyDescent="0.35">
      <c r="A89" s="145">
        <v>46098</v>
      </c>
      <c r="B89" s="134" t="s">
        <v>723</v>
      </c>
      <c r="C89" s="135">
        <v>2</v>
      </c>
      <c r="D89" s="136" t="s">
        <v>8</v>
      </c>
      <c r="E89" s="30" t="s">
        <v>140</v>
      </c>
      <c r="F89" s="31" t="s">
        <v>91</v>
      </c>
      <c r="G89" s="31" t="s">
        <v>141</v>
      </c>
      <c r="H89" s="146" t="s">
        <v>90</v>
      </c>
      <c r="I89" s="108" t="s">
        <v>149</v>
      </c>
      <c r="J89" s="139">
        <v>500</v>
      </c>
      <c r="K89" s="140">
        <f t="shared" si="9"/>
        <v>972.5</v>
      </c>
      <c r="L89" s="141">
        <v>1.9450000000000001</v>
      </c>
      <c r="M89" s="142">
        <v>2000</v>
      </c>
      <c r="N89" s="142">
        <f t="shared" si="7"/>
        <v>500</v>
      </c>
      <c r="O89" s="143">
        <f t="shared" si="8"/>
        <v>1500</v>
      </c>
      <c r="P89" s="1" t="s">
        <v>36</v>
      </c>
    </row>
    <row r="90" spans="1:16" ht="15.5" x14ac:dyDescent="0.35">
      <c r="A90" s="145">
        <v>46099</v>
      </c>
      <c r="B90" s="134" t="s">
        <v>723</v>
      </c>
      <c r="C90" s="135">
        <v>1</v>
      </c>
      <c r="D90" s="136" t="s">
        <v>8</v>
      </c>
      <c r="E90" s="31" t="s">
        <v>66</v>
      </c>
      <c r="F90" s="31" t="s">
        <v>73</v>
      </c>
      <c r="G90" s="31" t="s">
        <v>143</v>
      </c>
      <c r="H90" s="146" t="s">
        <v>144</v>
      </c>
      <c r="I90" s="108" t="s">
        <v>72</v>
      </c>
      <c r="J90" s="139">
        <v>850</v>
      </c>
      <c r="K90" s="140">
        <f t="shared" si="9"/>
        <v>1300.5</v>
      </c>
      <c r="L90" s="141">
        <v>1.53</v>
      </c>
      <c r="M90" s="142">
        <f>O87</f>
        <v>2410</v>
      </c>
      <c r="N90" s="142">
        <f t="shared" ref="N90:N121" si="12">J90</f>
        <v>850</v>
      </c>
      <c r="O90" s="143">
        <f t="shared" ref="O90:O121" si="13">M90-N90</f>
        <v>1560</v>
      </c>
    </row>
    <row r="91" spans="1:16" ht="15.5" x14ac:dyDescent="0.35">
      <c r="A91" s="145">
        <v>46099</v>
      </c>
      <c r="B91" s="134" t="s">
        <v>723</v>
      </c>
      <c r="C91" s="135">
        <v>2</v>
      </c>
      <c r="D91" s="136" t="s">
        <v>8</v>
      </c>
      <c r="E91" s="30" t="s">
        <v>140</v>
      </c>
      <c r="F91" s="31" t="s">
        <v>91</v>
      </c>
      <c r="G91" s="31" t="s">
        <v>141</v>
      </c>
      <c r="H91" s="146" t="s">
        <v>90</v>
      </c>
      <c r="I91" s="108" t="s">
        <v>149</v>
      </c>
      <c r="J91" s="139">
        <v>700</v>
      </c>
      <c r="K91" s="140">
        <f t="shared" si="9"/>
        <v>1361.5</v>
      </c>
      <c r="L91" s="141">
        <v>1.9450000000000001</v>
      </c>
      <c r="M91" s="142">
        <f>O89</f>
        <v>1500</v>
      </c>
      <c r="N91" s="142">
        <f t="shared" si="12"/>
        <v>700</v>
      </c>
      <c r="O91" s="143">
        <f t="shared" si="13"/>
        <v>800</v>
      </c>
    </row>
    <row r="92" spans="1:16" ht="15.5" x14ac:dyDescent="0.35">
      <c r="A92" s="145">
        <v>46100</v>
      </c>
      <c r="B92" s="134" t="s">
        <v>723</v>
      </c>
      <c r="C92" s="15">
        <v>1</v>
      </c>
      <c r="D92" s="136" t="s">
        <v>8</v>
      </c>
      <c r="E92" s="30" t="s">
        <v>140</v>
      </c>
      <c r="F92" s="31" t="s">
        <v>91</v>
      </c>
      <c r="G92" s="31" t="s">
        <v>141</v>
      </c>
      <c r="H92" s="146" t="s">
        <v>90</v>
      </c>
      <c r="I92" s="108" t="s">
        <v>149</v>
      </c>
      <c r="J92" s="139">
        <v>400</v>
      </c>
      <c r="K92" s="140">
        <f t="shared" si="9"/>
        <v>778</v>
      </c>
      <c r="L92" s="141">
        <v>1.9450000000000001</v>
      </c>
      <c r="M92" s="142">
        <f>O91</f>
        <v>800</v>
      </c>
      <c r="N92" s="142">
        <f t="shared" si="12"/>
        <v>400</v>
      </c>
      <c r="O92" s="143">
        <f t="shared" si="13"/>
        <v>400</v>
      </c>
    </row>
    <row r="93" spans="1:16" ht="31" x14ac:dyDescent="0.35">
      <c r="A93" s="145">
        <v>46100</v>
      </c>
      <c r="B93" s="134" t="s">
        <v>723</v>
      </c>
      <c r="C93" s="15">
        <v>2</v>
      </c>
      <c r="D93" s="136" t="s">
        <v>8</v>
      </c>
      <c r="E93" s="30" t="s">
        <v>9</v>
      </c>
      <c r="F93" s="31" t="s">
        <v>105</v>
      </c>
      <c r="G93" s="31" t="s">
        <v>15</v>
      </c>
      <c r="H93" s="138" t="s">
        <v>150</v>
      </c>
      <c r="I93" s="108" t="s">
        <v>104</v>
      </c>
      <c r="J93" s="139">
        <v>850</v>
      </c>
      <c r="K93" s="140">
        <f t="shared" si="9"/>
        <v>1037</v>
      </c>
      <c r="L93" s="141">
        <v>1.22</v>
      </c>
      <c r="M93" s="142">
        <v>4200</v>
      </c>
      <c r="N93" s="142">
        <f t="shared" si="12"/>
        <v>850</v>
      </c>
      <c r="O93" s="143">
        <f t="shared" si="13"/>
        <v>3350</v>
      </c>
    </row>
    <row r="94" spans="1:16" ht="31" x14ac:dyDescent="0.25">
      <c r="A94" s="147">
        <v>46102</v>
      </c>
      <c r="B94" s="134" t="s">
        <v>723</v>
      </c>
      <c r="C94" s="15">
        <v>1</v>
      </c>
      <c r="D94" s="15" t="s">
        <v>8</v>
      </c>
      <c r="E94" s="30" t="s">
        <v>9</v>
      </c>
      <c r="F94" s="31" t="s">
        <v>105</v>
      </c>
      <c r="G94" s="31" t="s">
        <v>15</v>
      </c>
      <c r="H94" s="138" t="s">
        <v>150</v>
      </c>
      <c r="I94" s="108" t="s">
        <v>104</v>
      </c>
      <c r="J94" s="139">
        <v>1450</v>
      </c>
      <c r="K94" s="140">
        <f t="shared" si="9"/>
        <v>1769</v>
      </c>
      <c r="L94" s="141">
        <v>1.22</v>
      </c>
      <c r="M94" s="142">
        <f>O93</f>
        <v>3350</v>
      </c>
      <c r="N94" s="142">
        <f t="shared" si="12"/>
        <v>1450</v>
      </c>
      <c r="O94" s="143">
        <f t="shared" si="13"/>
        <v>1900</v>
      </c>
    </row>
    <row r="95" spans="1:16" ht="31" x14ac:dyDescent="0.25">
      <c r="A95" s="147">
        <v>46102</v>
      </c>
      <c r="B95" s="134" t="s">
        <v>723</v>
      </c>
      <c r="C95" s="15">
        <v>1</v>
      </c>
      <c r="D95" s="15" t="s">
        <v>8</v>
      </c>
      <c r="E95" s="30" t="s">
        <v>9</v>
      </c>
      <c r="F95" s="31" t="s">
        <v>105</v>
      </c>
      <c r="G95" s="31" t="s">
        <v>15</v>
      </c>
      <c r="H95" s="138" t="s">
        <v>150</v>
      </c>
      <c r="I95" s="108" t="s">
        <v>104</v>
      </c>
      <c r="J95" s="139">
        <v>1425</v>
      </c>
      <c r="K95" s="140">
        <f t="shared" si="9"/>
        <v>1738.5</v>
      </c>
      <c r="L95" s="141">
        <v>1.22</v>
      </c>
      <c r="M95" s="142">
        <f>O94</f>
        <v>1900</v>
      </c>
      <c r="N95" s="142">
        <f t="shared" si="12"/>
        <v>1425</v>
      </c>
      <c r="O95" s="143">
        <f t="shared" si="13"/>
        <v>475</v>
      </c>
    </row>
    <row r="96" spans="1:16" ht="31" x14ac:dyDescent="0.25">
      <c r="A96" s="145">
        <v>46104</v>
      </c>
      <c r="B96" s="134" t="s">
        <v>723</v>
      </c>
      <c r="C96" s="15">
        <v>1</v>
      </c>
      <c r="D96" s="15" t="s">
        <v>8</v>
      </c>
      <c r="E96" s="30" t="s">
        <v>9</v>
      </c>
      <c r="F96" s="31" t="s">
        <v>105</v>
      </c>
      <c r="G96" s="31" t="s">
        <v>15</v>
      </c>
      <c r="H96" s="138" t="s">
        <v>150</v>
      </c>
      <c r="I96" s="108" t="s">
        <v>104</v>
      </c>
      <c r="J96" s="139">
        <v>350</v>
      </c>
      <c r="K96" s="140">
        <f t="shared" si="9"/>
        <v>427</v>
      </c>
      <c r="L96" s="141">
        <v>1.22</v>
      </c>
      <c r="M96" s="142">
        <f>O95</f>
        <v>475</v>
      </c>
      <c r="N96" s="142">
        <f t="shared" si="12"/>
        <v>350</v>
      </c>
      <c r="O96" s="143">
        <f t="shared" si="13"/>
        <v>125</v>
      </c>
    </row>
    <row r="97" spans="1:15" ht="15.5" x14ac:dyDescent="0.35">
      <c r="A97" s="145">
        <v>46104</v>
      </c>
      <c r="B97" s="134" t="s">
        <v>723</v>
      </c>
      <c r="C97" s="15">
        <v>1</v>
      </c>
      <c r="D97" s="136" t="s">
        <v>8</v>
      </c>
      <c r="E97" s="30" t="s">
        <v>140</v>
      </c>
      <c r="F97" s="31" t="s">
        <v>91</v>
      </c>
      <c r="G97" s="31" t="s">
        <v>141</v>
      </c>
      <c r="H97" s="146" t="s">
        <v>90</v>
      </c>
      <c r="I97" s="108" t="s">
        <v>149</v>
      </c>
      <c r="J97" s="139">
        <v>300</v>
      </c>
      <c r="K97" s="140">
        <f t="shared" si="9"/>
        <v>583.5</v>
      </c>
      <c r="L97" s="141">
        <v>1.9450000000000001</v>
      </c>
      <c r="M97" s="142">
        <f>O92</f>
        <v>400</v>
      </c>
      <c r="N97" s="142">
        <f t="shared" si="12"/>
        <v>300</v>
      </c>
      <c r="O97" s="143">
        <f t="shared" si="13"/>
        <v>100</v>
      </c>
    </row>
    <row r="98" spans="1:15" ht="15.5" x14ac:dyDescent="0.35">
      <c r="A98" s="145">
        <v>46104</v>
      </c>
      <c r="B98" s="134" t="s">
        <v>723</v>
      </c>
      <c r="C98" s="135">
        <v>1</v>
      </c>
      <c r="D98" s="136" t="s">
        <v>8</v>
      </c>
      <c r="E98" s="31" t="s">
        <v>66</v>
      </c>
      <c r="F98" s="31" t="s">
        <v>73</v>
      </c>
      <c r="G98" s="31" t="s">
        <v>143</v>
      </c>
      <c r="H98" s="146" t="s">
        <v>144</v>
      </c>
      <c r="I98" s="108" t="s">
        <v>72</v>
      </c>
      <c r="J98" s="139">
        <f>575+375</f>
        <v>950</v>
      </c>
      <c r="K98" s="140">
        <f t="shared" si="9"/>
        <v>1453.5</v>
      </c>
      <c r="L98" s="141">
        <v>1.53</v>
      </c>
      <c r="M98" s="142">
        <f>O90</f>
        <v>1560</v>
      </c>
      <c r="N98" s="142">
        <f t="shared" si="12"/>
        <v>950</v>
      </c>
      <c r="O98" s="143">
        <f t="shared" si="13"/>
        <v>610</v>
      </c>
    </row>
    <row r="99" spans="1:15" ht="31" x14ac:dyDescent="0.25">
      <c r="A99" s="145">
        <v>46105</v>
      </c>
      <c r="B99" s="134" t="s">
        <v>723</v>
      </c>
      <c r="C99" s="15">
        <v>1</v>
      </c>
      <c r="D99" s="15" t="s">
        <v>8</v>
      </c>
      <c r="E99" s="30" t="s">
        <v>9</v>
      </c>
      <c r="F99" s="31" t="s">
        <v>105</v>
      </c>
      <c r="G99" s="31" t="s">
        <v>15</v>
      </c>
      <c r="H99" s="138" t="s">
        <v>150</v>
      </c>
      <c r="I99" s="108" t="s">
        <v>104</v>
      </c>
      <c r="J99" s="139">
        <v>125</v>
      </c>
      <c r="K99" s="140">
        <f t="shared" si="9"/>
        <v>152.5</v>
      </c>
      <c r="L99" s="141">
        <v>1.22</v>
      </c>
      <c r="M99" s="142">
        <f>O96</f>
        <v>125</v>
      </c>
      <c r="N99" s="142">
        <f t="shared" si="12"/>
        <v>125</v>
      </c>
      <c r="O99" s="143">
        <f t="shared" si="13"/>
        <v>0</v>
      </c>
    </row>
    <row r="100" spans="1:15" ht="15.5" x14ac:dyDescent="0.35">
      <c r="A100" s="145">
        <v>46105</v>
      </c>
      <c r="B100" s="134" t="s">
        <v>723</v>
      </c>
      <c r="C100" s="15">
        <v>1</v>
      </c>
      <c r="D100" s="136" t="s">
        <v>8</v>
      </c>
      <c r="E100" s="30" t="s">
        <v>140</v>
      </c>
      <c r="F100" s="31" t="s">
        <v>91</v>
      </c>
      <c r="G100" s="31" t="s">
        <v>141</v>
      </c>
      <c r="H100" s="146" t="s">
        <v>90</v>
      </c>
      <c r="I100" s="108" t="s">
        <v>149</v>
      </c>
      <c r="J100" s="139">
        <v>100</v>
      </c>
      <c r="K100" s="140">
        <f t="shared" si="9"/>
        <v>194.5</v>
      </c>
      <c r="L100" s="141">
        <v>1.9450000000000001</v>
      </c>
      <c r="M100" s="142">
        <f>O97</f>
        <v>100</v>
      </c>
      <c r="N100" s="142">
        <f t="shared" si="12"/>
        <v>100</v>
      </c>
      <c r="O100" s="143">
        <f t="shared" si="13"/>
        <v>0</v>
      </c>
    </row>
    <row r="101" spans="1:15" ht="15.5" x14ac:dyDescent="0.35">
      <c r="A101" s="145">
        <v>46105</v>
      </c>
      <c r="B101" s="134" t="s">
        <v>723</v>
      </c>
      <c r="C101" s="135">
        <v>1</v>
      </c>
      <c r="D101" s="136" t="s">
        <v>8</v>
      </c>
      <c r="E101" s="31" t="s">
        <v>66</v>
      </c>
      <c r="F101" s="31" t="s">
        <v>73</v>
      </c>
      <c r="G101" s="31" t="s">
        <v>143</v>
      </c>
      <c r="H101" s="146" t="s">
        <v>144</v>
      </c>
      <c r="I101" s="108" t="s">
        <v>72</v>
      </c>
      <c r="J101" s="139">
        <v>475</v>
      </c>
      <c r="K101" s="140">
        <f t="shared" si="9"/>
        <v>726.75</v>
      </c>
      <c r="L101" s="141">
        <v>1.53</v>
      </c>
      <c r="M101" s="142">
        <f>O98</f>
        <v>610</v>
      </c>
      <c r="N101" s="142">
        <f t="shared" si="12"/>
        <v>475</v>
      </c>
      <c r="O101" s="143">
        <f t="shared" si="13"/>
        <v>135</v>
      </c>
    </row>
    <row r="102" spans="1:15" ht="31" x14ac:dyDescent="0.35">
      <c r="A102" s="145">
        <v>46105</v>
      </c>
      <c r="B102" s="134" t="s">
        <v>723</v>
      </c>
      <c r="C102" s="135">
        <v>2</v>
      </c>
      <c r="D102" s="136" t="s">
        <v>8</v>
      </c>
      <c r="E102" s="30" t="s">
        <v>9</v>
      </c>
      <c r="F102" s="31" t="s">
        <v>33</v>
      </c>
      <c r="G102" s="31" t="s">
        <v>15</v>
      </c>
      <c r="H102" s="138" t="s">
        <v>16</v>
      </c>
      <c r="I102" s="108" t="s">
        <v>34</v>
      </c>
      <c r="J102" s="139">
        <v>700</v>
      </c>
      <c r="K102" s="140">
        <f t="shared" si="9"/>
        <v>1547</v>
      </c>
      <c r="L102" s="141">
        <v>2.21</v>
      </c>
      <c r="M102" s="142">
        <v>1370</v>
      </c>
      <c r="N102" s="142">
        <f t="shared" si="12"/>
        <v>700</v>
      </c>
      <c r="O102" s="143">
        <f t="shared" si="13"/>
        <v>670</v>
      </c>
    </row>
    <row r="103" spans="1:15" ht="31" x14ac:dyDescent="0.35">
      <c r="A103" s="145">
        <v>46106</v>
      </c>
      <c r="B103" s="134" t="s">
        <v>723</v>
      </c>
      <c r="C103" s="135">
        <v>2</v>
      </c>
      <c r="D103" s="136" t="s">
        <v>8</v>
      </c>
      <c r="E103" s="30" t="s">
        <v>9</v>
      </c>
      <c r="F103" s="31" t="s">
        <v>33</v>
      </c>
      <c r="G103" s="31" t="s">
        <v>15</v>
      </c>
      <c r="H103" s="138" t="s">
        <v>16</v>
      </c>
      <c r="I103" s="108" t="s">
        <v>34</v>
      </c>
      <c r="J103" s="139">
        <v>670</v>
      </c>
      <c r="K103" s="140">
        <f t="shared" si="9"/>
        <v>1480.7</v>
      </c>
      <c r="L103" s="141">
        <v>2.21</v>
      </c>
      <c r="M103" s="142">
        <f>O102</f>
        <v>670</v>
      </c>
      <c r="N103" s="142">
        <f t="shared" si="12"/>
        <v>670</v>
      </c>
      <c r="O103" s="143">
        <f t="shared" si="13"/>
        <v>0</v>
      </c>
    </row>
    <row r="104" spans="1:15" ht="31" x14ac:dyDescent="0.35">
      <c r="A104" s="145">
        <v>46107</v>
      </c>
      <c r="B104" s="134" t="s">
        <v>723</v>
      </c>
      <c r="C104" s="135">
        <v>2</v>
      </c>
      <c r="D104" s="136" t="s">
        <v>8</v>
      </c>
      <c r="E104" s="30" t="s">
        <v>9</v>
      </c>
      <c r="F104" s="31" t="s">
        <v>58</v>
      </c>
      <c r="G104" s="31" t="s">
        <v>15</v>
      </c>
      <c r="H104" s="138" t="s">
        <v>22</v>
      </c>
      <c r="I104" s="108" t="s">
        <v>57</v>
      </c>
      <c r="J104" s="139">
        <v>375</v>
      </c>
      <c r="K104" s="140">
        <f t="shared" si="9"/>
        <v>701.25</v>
      </c>
      <c r="L104" s="141">
        <v>1.87</v>
      </c>
      <c r="M104" s="142">
        <v>5760</v>
      </c>
      <c r="N104" s="142">
        <f t="shared" si="12"/>
        <v>375</v>
      </c>
      <c r="O104" s="143">
        <f t="shared" si="13"/>
        <v>5385</v>
      </c>
    </row>
    <row r="105" spans="1:15" ht="15.5" x14ac:dyDescent="0.35">
      <c r="A105" s="145">
        <v>46108</v>
      </c>
      <c r="B105" s="134" t="s">
        <v>723</v>
      </c>
      <c r="C105" s="135">
        <v>2</v>
      </c>
      <c r="D105" s="136" t="s">
        <v>8</v>
      </c>
      <c r="E105" s="30" t="s">
        <v>107</v>
      </c>
      <c r="F105" s="31" t="s">
        <v>108</v>
      </c>
      <c r="G105" s="31" t="s">
        <v>158</v>
      </c>
      <c r="H105" s="138" t="s">
        <v>159</v>
      </c>
      <c r="I105" s="108" t="s">
        <v>106</v>
      </c>
      <c r="J105" s="139">
        <v>2750</v>
      </c>
      <c r="K105" s="140">
        <f t="shared" si="9"/>
        <v>3698.75</v>
      </c>
      <c r="L105" s="141">
        <v>1.345</v>
      </c>
      <c r="M105" s="142">
        <v>14400</v>
      </c>
      <c r="N105" s="142">
        <f t="shared" si="12"/>
        <v>2750</v>
      </c>
      <c r="O105" s="143">
        <f t="shared" si="13"/>
        <v>11650</v>
      </c>
    </row>
    <row r="106" spans="1:15" ht="15.5" x14ac:dyDescent="0.35">
      <c r="A106" s="145">
        <v>46109</v>
      </c>
      <c r="B106" s="134" t="s">
        <v>723</v>
      </c>
      <c r="C106" s="135">
        <v>2</v>
      </c>
      <c r="D106" s="136" t="s">
        <v>8</v>
      </c>
      <c r="E106" s="30" t="s">
        <v>107</v>
      </c>
      <c r="F106" s="31" t="s">
        <v>108</v>
      </c>
      <c r="G106" s="31" t="s">
        <v>158</v>
      </c>
      <c r="H106" s="138" t="s">
        <v>159</v>
      </c>
      <c r="I106" s="108" t="s">
        <v>106</v>
      </c>
      <c r="J106" s="139">
        <v>2760</v>
      </c>
      <c r="K106" s="140">
        <f t="shared" si="9"/>
        <v>3712.2</v>
      </c>
      <c r="L106" s="141">
        <v>1.345</v>
      </c>
      <c r="M106" s="142">
        <f>O105</f>
        <v>11650</v>
      </c>
      <c r="N106" s="142">
        <f t="shared" si="12"/>
        <v>2760</v>
      </c>
      <c r="O106" s="143">
        <f t="shared" si="13"/>
        <v>8890</v>
      </c>
    </row>
    <row r="107" spans="1:15" ht="15.5" x14ac:dyDescent="0.35">
      <c r="A107" s="145">
        <v>46110</v>
      </c>
      <c r="B107" s="134" t="s">
        <v>723</v>
      </c>
      <c r="C107" s="135">
        <v>2</v>
      </c>
      <c r="D107" s="136" t="s">
        <v>8</v>
      </c>
      <c r="E107" s="30" t="s">
        <v>107</v>
      </c>
      <c r="F107" s="31" t="s">
        <v>108</v>
      </c>
      <c r="G107" s="31" t="s">
        <v>158</v>
      </c>
      <c r="H107" s="138" t="s">
        <v>159</v>
      </c>
      <c r="I107" s="108" t="s">
        <v>106</v>
      </c>
      <c r="J107" s="139">
        <v>1550</v>
      </c>
      <c r="K107" s="140">
        <f t="shared" si="9"/>
        <v>2084.75</v>
      </c>
      <c r="L107" s="141">
        <v>1.345</v>
      </c>
      <c r="M107" s="142">
        <f>O106</f>
        <v>8890</v>
      </c>
      <c r="N107" s="142">
        <f t="shared" si="12"/>
        <v>1550</v>
      </c>
      <c r="O107" s="143">
        <f t="shared" si="13"/>
        <v>7340</v>
      </c>
    </row>
    <row r="108" spans="1:15" ht="15.5" x14ac:dyDescent="0.35">
      <c r="A108" s="145">
        <v>46112</v>
      </c>
      <c r="B108" s="134" t="s">
        <v>723</v>
      </c>
      <c r="C108" s="135">
        <v>1</v>
      </c>
      <c r="D108" s="136" t="s">
        <v>8</v>
      </c>
      <c r="E108" s="30" t="s">
        <v>107</v>
      </c>
      <c r="F108" s="31" t="s">
        <v>108</v>
      </c>
      <c r="G108" s="31" t="s">
        <v>158</v>
      </c>
      <c r="H108" s="138" t="s">
        <v>159</v>
      </c>
      <c r="I108" s="108" t="s">
        <v>106</v>
      </c>
      <c r="J108" s="139">
        <v>75</v>
      </c>
      <c r="K108" s="140">
        <f t="shared" si="9"/>
        <v>100.875</v>
      </c>
      <c r="L108" s="141">
        <v>1.345</v>
      </c>
      <c r="M108" s="142">
        <f>O107</f>
        <v>7340</v>
      </c>
      <c r="N108" s="142">
        <f t="shared" si="12"/>
        <v>75</v>
      </c>
      <c r="O108" s="143">
        <f t="shared" si="13"/>
        <v>7265</v>
      </c>
    </row>
    <row r="109" spans="1:15" ht="31" x14ac:dyDescent="0.35">
      <c r="A109" s="145">
        <v>46112</v>
      </c>
      <c r="B109" s="134" t="s">
        <v>723</v>
      </c>
      <c r="C109" s="135">
        <v>1</v>
      </c>
      <c r="D109" s="136" t="s">
        <v>8</v>
      </c>
      <c r="E109" s="30" t="s">
        <v>9</v>
      </c>
      <c r="F109" s="31" t="s">
        <v>58</v>
      </c>
      <c r="G109" s="31" t="s">
        <v>15</v>
      </c>
      <c r="H109" s="138" t="s">
        <v>22</v>
      </c>
      <c r="I109" s="108" t="s">
        <v>57</v>
      </c>
      <c r="J109" s="139">
        <v>650</v>
      </c>
      <c r="K109" s="140">
        <f t="shared" si="9"/>
        <v>1215.5</v>
      </c>
      <c r="L109" s="141">
        <v>1.87</v>
      </c>
      <c r="M109" s="142">
        <f>O104</f>
        <v>5385</v>
      </c>
      <c r="N109" s="142">
        <f t="shared" si="12"/>
        <v>650</v>
      </c>
      <c r="O109" s="143">
        <f t="shared" si="13"/>
        <v>4735</v>
      </c>
    </row>
    <row r="110" spans="1:15" ht="15.5" x14ac:dyDescent="0.35">
      <c r="A110" s="145">
        <v>46112</v>
      </c>
      <c r="B110" s="134" t="s">
        <v>723</v>
      </c>
      <c r="C110" s="135">
        <v>1</v>
      </c>
      <c r="D110" s="136" t="s">
        <v>8</v>
      </c>
      <c r="E110" s="32" t="s">
        <v>66</v>
      </c>
      <c r="F110" s="32" t="s">
        <v>71</v>
      </c>
      <c r="G110" s="31" t="s">
        <v>158</v>
      </c>
      <c r="H110" s="138" t="s">
        <v>159</v>
      </c>
      <c r="I110" s="108" t="s">
        <v>70</v>
      </c>
      <c r="J110" s="139">
        <v>600</v>
      </c>
      <c r="K110" s="140">
        <f t="shared" si="9"/>
        <v>1032</v>
      </c>
      <c r="L110" s="141">
        <v>1.72</v>
      </c>
      <c r="M110" s="142">
        <v>2000</v>
      </c>
      <c r="N110" s="142">
        <f t="shared" si="12"/>
        <v>600</v>
      </c>
      <c r="O110" s="143">
        <f t="shared" si="13"/>
        <v>1400</v>
      </c>
    </row>
    <row r="111" spans="1:15" ht="15.5" x14ac:dyDescent="0.25">
      <c r="A111" s="145">
        <v>46112</v>
      </c>
      <c r="B111" s="134" t="s">
        <v>723</v>
      </c>
      <c r="C111" s="15">
        <v>2</v>
      </c>
      <c r="D111" s="15" t="s">
        <v>8</v>
      </c>
      <c r="E111" s="32" t="s">
        <v>75</v>
      </c>
      <c r="F111" s="32" t="s">
        <v>76</v>
      </c>
      <c r="G111" s="15" t="s">
        <v>160</v>
      </c>
      <c r="H111" s="32" t="s">
        <v>77</v>
      </c>
      <c r="I111" s="108" t="s">
        <v>74</v>
      </c>
      <c r="J111" s="15">
        <v>25</v>
      </c>
      <c r="K111" s="15">
        <f t="shared" si="9"/>
        <v>125.25</v>
      </c>
      <c r="L111" s="15">
        <v>5.01</v>
      </c>
      <c r="M111" s="15">
        <v>350</v>
      </c>
      <c r="N111" s="15">
        <f t="shared" si="12"/>
        <v>25</v>
      </c>
      <c r="O111" s="143">
        <f t="shared" si="13"/>
        <v>325</v>
      </c>
    </row>
    <row r="112" spans="1:15" ht="31" x14ac:dyDescent="0.35">
      <c r="A112" s="145">
        <v>46113</v>
      </c>
      <c r="B112" s="145" t="s">
        <v>724</v>
      </c>
      <c r="C112" s="135">
        <v>1</v>
      </c>
      <c r="D112" s="136" t="s">
        <v>8</v>
      </c>
      <c r="E112" s="30" t="s">
        <v>9</v>
      </c>
      <c r="F112" s="31" t="s">
        <v>58</v>
      </c>
      <c r="G112" s="31" t="s">
        <v>15</v>
      </c>
      <c r="H112" s="138" t="s">
        <v>22</v>
      </c>
      <c r="I112" s="108" t="s">
        <v>57</v>
      </c>
      <c r="J112" s="139">
        <v>600</v>
      </c>
      <c r="K112" s="140">
        <f t="shared" si="9"/>
        <v>1122</v>
      </c>
      <c r="L112" s="141">
        <v>1.87</v>
      </c>
      <c r="M112" s="142">
        <f>O109</f>
        <v>4735</v>
      </c>
      <c r="N112" s="142">
        <f t="shared" si="12"/>
        <v>600</v>
      </c>
      <c r="O112" s="143">
        <f t="shared" si="13"/>
        <v>4135</v>
      </c>
    </row>
    <row r="113" spans="1:15" ht="15.5" x14ac:dyDescent="0.35">
      <c r="A113" s="145">
        <v>46113</v>
      </c>
      <c r="B113" s="145" t="s">
        <v>724</v>
      </c>
      <c r="C113" s="135">
        <v>1</v>
      </c>
      <c r="D113" s="136" t="s">
        <v>8</v>
      </c>
      <c r="E113" s="32" t="s">
        <v>66</v>
      </c>
      <c r="F113" s="32" t="s">
        <v>71</v>
      </c>
      <c r="G113" s="31" t="s">
        <v>158</v>
      </c>
      <c r="H113" s="138" t="s">
        <v>159</v>
      </c>
      <c r="I113" s="108" t="s">
        <v>70</v>
      </c>
      <c r="J113" s="139">
        <v>550</v>
      </c>
      <c r="K113" s="140">
        <f t="shared" si="9"/>
        <v>946</v>
      </c>
      <c r="L113" s="141">
        <v>1.72</v>
      </c>
      <c r="M113" s="142">
        <f>O110</f>
        <v>1400</v>
      </c>
      <c r="N113" s="142">
        <f t="shared" si="12"/>
        <v>550</v>
      </c>
      <c r="O113" s="143">
        <f t="shared" si="13"/>
        <v>850</v>
      </c>
    </row>
    <row r="114" spans="1:15" ht="15.5" x14ac:dyDescent="0.25">
      <c r="A114" s="145">
        <v>46113</v>
      </c>
      <c r="B114" s="145" t="s">
        <v>724</v>
      </c>
      <c r="C114" s="15">
        <v>2</v>
      </c>
      <c r="D114" s="15" t="s">
        <v>8</v>
      </c>
      <c r="E114" s="32" t="s">
        <v>75</v>
      </c>
      <c r="F114" s="32" t="s">
        <v>76</v>
      </c>
      <c r="G114" s="15" t="s">
        <v>160</v>
      </c>
      <c r="H114" s="32" t="s">
        <v>77</v>
      </c>
      <c r="I114" s="108" t="s">
        <v>74</v>
      </c>
      <c r="J114" s="15">
        <v>70</v>
      </c>
      <c r="K114" s="140">
        <f t="shared" si="9"/>
        <v>350.7</v>
      </c>
      <c r="L114" s="15">
        <v>5.01</v>
      </c>
      <c r="M114" s="15">
        <f>O111</f>
        <v>325</v>
      </c>
      <c r="N114" s="15">
        <f t="shared" si="12"/>
        <v>70</v>
      </c>
      <c r="O114" s="143">
        <f t="shared" si="13"/>
        <v>255</v>
      </c>
    </row>
    <row r="115" spans="1:15" ht="15.5" x14ac:dyDescent="0.35">
      <c r="A115" s="145">
        <v>46113</v>
      </c>
      <c r="B115" s="145" t="s">
        <v>724</v>
      </c>
      <c r="C115" s="135">
        <v>1</v>
      </c>
      <c r="D115" s="136" t="s">
        <v>8</v>
      </c>
      <c r="E115" s="30" t="s">
        <v>107</v>
      </c>
      <c r="F115" s="31" t="s">
        <v>108</v>
      </c>
      <c r="G115" s="31" t="s">
        <v>158</v>
      </c>
      <c r="H115" s="138" t="s">
        <v>159</v>
      </c>
      <c r="I115" s="108" t="s">
        <v>106</v>
      </c>
      <c r="J115" s="139">
        <v>370</v>
      </c>
      <c r="K115" s="140">
        <f t="shared" si="9"/>
        <v>497.65</v>
      </c>
      <c r="L115" s="141">
        <v>1.345</v>
      </c>
      <c r="M115" s="142">
        <f>O108</f>
        <v>7265</v>
      </c>
      <c r="N115" s="142">
        <f t="shared" si="12"/>
        <v>370</v>
      </c>
      <c r="O115" s="143">
        <f t="shared" si="13"/>
        <v>6895</v>
      </c>
    </row>
    <row r="116" spans="1:15" ht="15.5" x14ac:dyDescent="0.25">
      <c r="A116" s="145">
        <v>46114</v>
      </c>
      <c r="B116" s="145" t="s">
        <v>724</v>
      </c>
      <c r="C116" s="15">
        <v>1</v>
      </c>
      <c r="D116" s="15" t="s">
        <v>8</v>
      </c>
      <c r="E116" s="32" t="s">
        <v>75</v>
      </c>
      <c r="F116" s="32" t="s">
        <v>76</v>
      </c>
      <c r="G116" s="15" t="s">
        <v>160</v>
      </c>
      <c r="H116" s="32" t="s">
        <v>77</v>
      </c>
      <c r="I116" s="108" t="s">
        <v>74</v>
      </c>
      <c r="J116" s="15">
        <v>80</v>
      </c>
      <c r="K116" s="140">
        <f t="shared" si="9"/>
        <v>400.79999999999995</v>
      </c>
      <c r="L116" s="15">
        <v>5.01</v>
      </c>
      <c r="M116" s="15">
        <f>O114</f>
        <v>255</v>
      </c>
      <c r="N116" s="15">
        <f t="shared" si="12"/>
        <v>80</v>
      </c>
      <c r="O116" s="143">
        <f t="shared" si="13"/>
        <v>175</v>
      </c>
    </row>
    <row r="117" spans="1:15" ht="15.5" x14ac:dyDescent="0.35">
      <c r="A117" s="145">
        <v>46114</v>
      </c>
      <c r="B117" s="145" t="s">
        <v>724</v>
      </c>
      <c r="C117" s="135">
        <v>2</v>
      </c>
      <c r="D117" s="136" t="s">
        <v>8</v>
      </c>
      <c r="E117" s="30" t="s">
        <v>107</v>
      </c>
      <c r="F117" s="31" t="s">
        <v>108</v>
      </c>
      <c r="G117" s="31" t="s">
        <v>158</v>
      </c>
      <c r="H117" s="138" t="s">
        <v>159</v>
      </c>
      <c r="I117" s="108" t="s">
        <v>106</v>
      </c>
      <c r="J117" s="139">
        <f>1025+950</f>
        <v>1975</v>
      </c>
      <c r="K117" s="140">
        <f t="shared" si="9"/>
        <v>2656.375</v>
      </c>
      <c r="L117" s="141">
        <v>1.345</v>
      </c>
      <c r="M117" s="142">
        <f>O115</f>
        <v>6895</v>
      </c>
      <c r="N117" s="142">
        <f t="shared" si="12"/>
        <v>1975</v>
      </c>
      <c r="O117" s="143">
        <f t="shared" si="13"/>
        <v>4920</v>
      </c>
    </row>
    <row r="118" spans="1:15" ht="15.5" x14ac:dyDescent="0.25">
      <c r="A118" s="145">
        <v>46115</v>
      </c>
      <c r="B118" s="145" t="s">
        <v>724</v>
      </c>
      <c r="C118" s="15">
        <v>1</v>
      </c>
      <c r="D118" s="15" t="s">
        <v>8</v>
      </c>
      <c r="E118" s="32" t="s">
        <v>75</v>
      </c>
      <c r="F118" s="32" t="s">
        <v>76</v>
      </c>
      <c r="G118" s="15" t="s">
        <v>160</v>
      </c>
      <c r="H118" s="32" t="s">
        <v>77</v>
      </c>
      <c r="I118" s="108" t="s">
        <v>74</v>
      </c>
      <c r="J118" s="15">
        <v>100</v>
      </c>
      <c r="K118" s="140">
        <f t="shared" si="9"/>
        <v>501</v>
      </c>
      <c r="L118" s="15">
        <v>5.01</v>
      </c>
      <c r="M118" s="15">
        <f>O116</f>
        <v>175</v>
      </c>
      <c r="N118" s="15">
        <f t="shared" si="12"/>
        <v>100</v>
      </c>
      <c r="O118" s="143">
        <f t="shared" si="13"/>
        <v>75</v>
      </c>
    </row>
    <row r="119" spans="1:15" ht="15.5" x14ac:dyDescent="0.35">
      <c r="A119" s="145">
        <v>46115</v>
      </c>
      <c r="B119" s="145" t="s">
        <v>724</v>
      </c>
      <c r="C119" s="135">
        <v>2</v>
      </c>
      <c r="D119" s="136" t="s">
        <v>8</v>
      </c>
      <c r="E119" s="30" t="s">
        <v>107</v>
      </c>
      <c r="F119" s="31" t="s">
        <v>108</v>
      </c>
      <c r="G119" s="31" t="s">
        <v>158</v>
      </c>
      <c r="H119" s="138" t="s">
        <v>159</v>
      </c>
      <c r="I119" s="108" t="s">
        <v>106</v>
      </c>
      <c r="J119" s="139">
        <v>1150</v>
      </c>
      <c r="K119" s="140">
        <f t="shared" si="9"/>
        <v>1546.75</v>
      </c>
      <c r="L119" s="141">
        <v>1.345</v>
      </c>
      <c r="M119" s="142">
        <f>O117</f>
        <v>4920</v>
      </c>
      <c r="N119" s="142">
        <f t="shared" si="12"/>
        <v>1150</v>
      </c>
      <c r="O119" s="143">
        <f t="shared" si="13"/>
        <v>3770</v>
      </c>
    </row>
    <row r="120" spans="1:15" ht="31" x14ac:dyDescent="0.35">
      <c r="A120" s="145">
        <v>46115</v>
      </c>
      <c r="B120" s="145" t="s">
        <v>724</v>
      </c>
      <c r="C120" s="135">
        <v>1</v>
      </c>
      <c r="D120" s="136" t="s">
        <v>8</v>
      </c>
      <c r="E120" s="30" t="s">
        <v>9</v>
      </c>
      <c r="F120" s="31" t="s">
        <v>58</v>
      </c>
      <c r="G120" s="31" t="s">
        <v>15</v>
      </c>
      <c r="H120" s="138" t="s">
        <v>22</v>
      </c>
      <c r="I120" s="108" t="s">
        <v>57</v>
      </c>
      <c r="J120" s="139">
        <v>300</v>
      </c>
      <c r="K120" s="140">
        <f t="shared" si="9"/>
        <v>561</v>
      </c>
      <c r="L120" s="141">
        <v>1.87</v>
      </c>
      <c r="M120" s="142">
        <f>O112</f>
        <v>4135</v>
      </c>
      <c r="N120" s="142">
        <f t="shared" si="12"/>
        <v>300</v>
      </c>
      <c r="O120" s="143">
        <f t="shared" si="13"/>
        <v>3835</v>
      </c>
    </row>
    <row r="121" spans="1:15" ht="15.5" x14ac:dyDescent="0.35">
      <c r="A121" s="145">
        <v>46115</v>
      </c>
      <c r="B121" s="145" t="s">
        <v>724</v>
      </c>
      <c r="C121" s="135">
        <v>1</v>
      </c>
      <c r="D121" s="136" t="s">
        <v>8</v>
      </c>
      <c r="E121" s="32" t="s">
        <v>66</v>
      </c>
      <c r="F121" s="32" t="s">
        <v>71</v>
      </c>
      <c r="G121" s="31" t="s">
        <v>158</v>
      </c>
      <c r="H121" s="138" t="s">
        <v>159</v>
      </c>
      <c r="I121" s="108" t="s">
        <v>70</v>
      </c>
      <c r="J121" s="139">
        <v>300</v>
      </c>
      <c r="K121" s="140">
        <f t="shared" si="9"/>
        <v>516</v>
      </c>
      <c r="L121" s="141">
        <v>1.72</v>
      </c>
      <c r="M121" s="142">
        <f>O113</f>
        <v>850</v>
      </c>
      <c r="N121" s="142">
        <f t="shared" si="12"/>
        <v>300</v>
      </c>
      <c r="O121" s="143">
        <f t="shared" si="13"/>
        <v>550</v>
      </c>
    </row>
    <row r="122" spans="1:15" ht="15.5" x14ac:dyDescent="0.25">
      <c r="A122" s="145">
        <v>46116</v>
      </c>
      <c r="B122" s="145" t="s">
        <v>724</v>
      </c>
      <c r="C122" s="15">
        <v>1</v>
      </c>
      <c r="D122" s="15" t="s">
        <v>8</v>
      </c>
      <c r="E122" s="32" t="s">
        <v>75</v>
      </c>
      <c r="F122" s="32" t="s">
        <v>76</v>
      </c>
      <c r="G122" s="15" t="s">
        <v>160</v>
      </c>
      <c r="H122" s="32" t="s">
        <v>77</v>
      </c>
      <c r="I122" s="108" t="s">
        <v>74</v>
      </c>
      <c r="J122" s="15">
        <v>75</v>
      </c>
      <c r="K122" s="140">
        <f t="shared" si="9"/>
        <v>375.75</v>
      </c>
      <c r="L122" s="15">
        <v>5.01</v>
      </c>
      <c r="M122" s="15">
        <f>O118</f>
        <v>75</v>
      </c>
      <c r="N122" s="15">
        <f t="shared" ref="N122:N153" si="14">J122</f>
        <v>75</v>
      </c>
      <c r="O122" s="143">
        <f t="shared" ref="O122:O153" si="15">M122-N122</f>
        <v>0</v>
      </c>
    </row>
    <row r="123" spans="1:15" ht="15.5" x14ac:dyDescent="0.25">
      <c r="A123" s="145">
        <v>46116</v>
      </c>
      <c r="B123" s="145" t="s">
        <v>724</v>
      </c>
      <c r="C123" s="15">
        <v>1</v>
      </c>
      <c r="D123" s="15" t="s">
        <v>8</v>
      </c>
      <c r="E123" s="32" t="s">
        <v>75</v>
      </c>
      <c r="F123" s="32" t="s">
        <v>80</v>
      </c>
      <c r="G123" s="15" t="s">
        <v>160</v>
      </c>
      <c r="H123" s="32" t="s">
        <v>81</v>
      </c>
      <c r="I123" s="108" t="s">
        <v>79</v>
      </c>
      <c r="J123" s="15">
        <v>30</v>
      </c>
      <c r="K123" s="140">
        <f t="shared" si="9"/>
        <v>183.6</v>
      </c>
      <c r="L123" s="148">
        <v>6.12</v>
      </c>
      <c r="M123" s="15">
        <f>1020</f>
        <v>1020</v>
      </c>
      <c r="N123" s="15">
        <f t="shared" si="14"/>
        <v>30</v>
      </c>
      <c r="O123" s="143">
        <f t="shared" si="15"/>
        <v>990</v>
      </c>
    </row>
    <row r="124" spans="1:15" ht="15.5" x14ac:dyDescent="0.35">
      <c r="A124" s="145">
        <v>46116</v>
      </c>
      <c r="B124" s="145" t="s">
        <v>724</v>
      </c>
      <c r="C124" s="135">
        <v>2</v>
      </c>
      <c r="D124" s="136" t="s">
        <v>8</v>
      </c>
      <c r="E124" s="30" t="s">
        <v>107</v>
      </c>
      <c r="F124" s="31" t="s">
        <v>108</v>
      </c>
      <c r="G124" s="31" t="s">
        <v>158</v>
      </c>
      <c r="H124" s="138" t="s">
        <v>159</v>
      </c>
      <c r="I124" s="108" t="s">
        <v>106</v>
      </c>
      <c r="J124" s="139">
        <v>1200</v>
      </c>
      <c r="K124" s="140">
        <f t="shared" si="9"/>
        <v>1614</v>
      </c>
      <c r="L124" s="141">
        <v>1.345</v>
      </c>
      <c r="M124" s="142">
        <f>O119</f>
        <v>3770</v>
      </c>
      <c r="N124" s="142">
        <f t="shared" si="14"/>
        <v>1200</v>
      </c>
      <c r="O124" s="143">
        <f t="shared" si="15"/>
        <v>2570</v>
      </c>
    </row>
    <row r="125" spans="1:15" ht="31" x14ac:dyDescent="0.35">
      <c r="A125" s="145">
        <v>46116</v>
      </c>
      <c r="B125" s="145" t="s">
        <v>724</v>
      </c>
      <c r="C125" s="135">
        <v>1</v>
      </c>
      <c r="D125" s="136" t="s">
        <v>8</v>
      </c>
      <c r="E125" s="30" t="s">
        <v>9</v>
      </c>
      <c r="F125" s="31" t="s">
        <v>58</v>
      </c>
      <c r="G125" s="31" t="s">
        <v>15</v>
      </c>
      <c r="H125" s="138" t="s">
        <v>22</v>
      </c>
      <c r="I125" s="108" t="s">
        <v>57</v>
      </c>
      <c r="J125" s="139">
        <v>775</v>
      </c>
      <c r="K125" s="140">
        <f t="shared" si="9"/>
        <v>1449.25</v>
      </c>
      <c r="L125" s="141">
        <v>1.87</v>
      </c>
      <c r="M125" s="142">
        <f>O120</f>
        <v>3835</v>
      </c>
      <c r="N125" s="142">
        <f t="shared" si="14"/>
        <v>775</v>
      </c>
      <c r="O125" s="143">
        <f t="shared" si="15"/>
        <v>3060</v>
      </c>
    </row>
    <row r="126" spans="1:15" ht="15.5" x14ac:dyDescent="0.25">
      <c r="A126" s="145">
        <v>46118</v>
      </c>
      <c r="B126" s="145" t="s">
        <v>724</v>
      </c>
      <c r="C126" s="15">
        <v>1</v>
      </c>
      <c r="D126" s="15" t="s">
        <v>8</v>
      </c>
      <c r="E126" s="32" t="s">
        <v>75</v>
      </c>
      <c r="F126" s="32" t="s">
        <v>80</v>
      </c>
      <c r="G126" s="15" t="s">
        <v>160</v>
      </c>
      <c r="H126" s="32" t="s">
        <v>81</v>
      </c>
      <c r="I126" s="108" t="s">
        <v>79</v>
      </c>
      <c r="J126" s="15">
        <v>100</v>
      </c>
      <c r="K126" s="140">
        <f t="shared" si="9"/>
        <v>612</v>
      </c>
      <c r="L126" s="148">
        <v>6.12</v>
      </c>
      <c r="M126" s="15">
        <f>O123</f>
        <v>990</v>
      </c>
      <c r="N126" s="15">
        <f t="shared" si="14"/>
        <v>100</v>
      </c>
      <c r="O126" s="143">
        <f t="shared" si="15"/>
        <v>890</v>
      </c>
    </row>
    <row r="127" spans="1:15" ht="15.5" x14ac:dyDescent="0.35">
      <c r="A127" s="145">
        <v>46118</v>
      </c>
      <c r="B127" s="145" t="s">
        <v>724</v>
      </c>
      <c r="C127" s="135">
        <v>2</v>
      </c>
      <c r="D127" s="136" t="s">
        <v>8</v>
      </c>
      <c r="E127" s="30" t="s">
        <v>107</v>
      </c>
      <c r="F127" s="31" t="s">
        <v>108</v>
      </c>
      <c r="G127" s="31" t="s">
        <v>158</v>
      </c>
      <c r="H127" s="138" t="s">
        <v>159</v>
      </c>
      <c r="I127" s="108" t="s">
        <v>106</v>
      </c>
      <c r="J127" s="139">
        <v>1000</v>
      </c>
      <c r="K127" s="140">
        <f t="shared" si="9"/>
        <v>1345</v>
      </c>
      <c r="L127" s="141">
        <v>1.345</v>
      </c>
      <c r="M127" s="142">
        <f>O124</f>
        <v>2570</v>
      </c>
      <c r="N127" s="142">
        <f t="shared" si="14"/>
        <v>1000</v>
      </c>
      <c r="O127" s="143">
        <f t="shared" si="15"/>
        <v>1570</v>
      </c>
    </row>
    <row r="128" spans="1:15" ht="31" x14ac:dyDescent="0.35">
      <c r="A128" s="145">
        <v>46118</v>
      </c>
      <c r="B128" s="145" t="s">
        <v>724</v>
      </c>
      <c r="C128" s="135">
        <v>1</v>
      </c>
      <c r="D128" s="136" t="s">
        <v>8</v>
      </c>
      <c r="E128" s="30" t="s">
        <v>9</v>
      </c>
      <c r="F128" s="31" t="s">
        <v>58</v>
      </c>
      <c r="G128" s="31" t="s">
        <v>15</v>
      </c>
      <c r="H128" s="138" t="s">
        <v>22</v>
      </c>
      <c r="I128" s="108" t="s">
        <v>57</v>
      </c>
      <c r="J128" s="139">
        <v>725</v>
      </c>
      <c r="K128" s="140">
        <f t="shared" si="9"/>
        <v>1355.75</v>
      </c>
      <c r="L128" s="141">
        <v>1.87</v>
      </c>
      <c r="M128" s="142">
        <f>O125</f>
        <v>3060</v>
      </c>
      <c r="N128" s="142">
        <f t="shared" si="14"/>
        <v>725</v>
      </c>
      <c r="O128" s="143">
        <f t="shared" si="15"/>
        <v>2335</v>
      </c>
    </row>
    <row r="129" spans="1:15" ht="15.5" x14ac:dyDescent="0.25">
      <c r="A129" s="145">
        <v>46119</v>
      </c>
      <c r="B129" s="145" t="s">
        <v>724</v>
      </c>
      <c r="C129" s="15">
        <v>1</v>
      </c>
      <c r="D129" s="15" t="s">
        <v>8</v>
      </c>
      <c r="E129" s="32" t="s">
        <v>75</v>
      </c>
      <c r="F129" s="32" t="s">
        <v>80</v>
      </c>
      <c r="G129" s="15" t="s">
        <v>160</v>
      </c>
      <c r="H129" s="32" t="s">
        <v>81</v>
      </c>
      <c r="I129" s="108" t="s">
        <v>79</v>
      </c>
      <c r="J129" s="15">
        <v>110</v>
      </c>
      <c r="K129" s="140">
        <f t="shared" si="9"/>
        <v>673.2</v>
      </c>
      <c r="L129" s="148">
        <v>6.12</v>
      </c>
      <c r="M129" s="15">
        <f>O126</f>
        <v>890</v>
      </c>
      <c r="N129" s="15">
        <f t="shared" si="14"/>
        <v>110</v>
      </c>
      <c r="O129" s="143">
        <f t="shared" si="15"/>
        <v>780</v>
      </c>
    </row>
    <row r="130" spans="1:15" ht="31" x14ac:dyDescent="0.35">
      <c r="A130" s="145">
        <v>46119</v>
      </c>
      <c r="B130" s="145" t="s">
        <v>724</v>
      </c>
      <c r="C130" s="135">
        <v>2</v>
      </c>
      <c r="D130" s="136" t="s">
        <v>8</v>
      </c>
      <c r="E130" s="30" t="s">
        <v>9</v>
      </c>
      <c r="F130" s="31" t="s">
        <v>58</v>
      </c>
      <c r="G130" s="31" t="s">
        <v>15</v>
      </c>
      <c r="H130" s="138" t="s">
        <v>22</v>
      </c>
      <c r="I130" s="108" t="s">
        <v>57</v>
      </c>
      <c r="J130" s="139">
        <v>900</v>
      </c>
      <c r="K130" s="140">
        <f t="shared" ref="K130:K193" si="16">L130*J130</f>
        <v>1683</v>
      </c>
      <c r="L130" s="141">
        <v>1.87</v>
      </c>
      <c r="M130" s="142">
        <f>O128</f>
        <v>2335</v>
      </c>
      <c r="N130" s="142">
        <f t="shared" si="14"/>
        <v>900</v>
      </c>
      <c r="O130" s="143">
        <f t="shared" si="15"/>
        <v>1435</v>
      </c>
    </row>
    <row r="131" spans="1:15" ht="15.5" x14ac:dyDescent="0.35">
      <c r="A131" s="145">
        <v>46119</v>
      </c>
      <c r="B131" s="145" t="s">
        <v>724</v>
      </c>
      <c r="C131" s="135">
        <v>1</v>
      </c>
      <c r="D131" s="136" t="s">
        <v>8</v>
      </c>
      <c r="E131" s="32" t="s">
        <v>66</v>
      </c>
      <c r="F131" s="32" t="s">
        <v>71</v>
      </c>
      <c r="G131" s="31" t="s">
        <v>158</v>
      </c>
      <c r="H131" s="138" t="s">
        <v>159</v>
      </c>
      <c r="I131" s="108" t="s">
        <v>70</v>
      </c>
      <c r="J131" s="139">
        <v>450</v>
      </c>
      <c r="K131" s="140">
        <f t="shared" si="16"/>
        <v>774</v>
      </c>
      <c r="L131" s="141">
        <v>1.72</v>
      </c>
      <c r="M131" s="142">
        <f>O121</f>
        <v>550</v>
      </c>
      <c r="N131" s="142">
        <f t="shared" si="14"/>
        <v>450</v>
      </c>
      <c r="O131" s="143">
        <f t="shared" si="15"/>
        <v>100</v>
      </c>
    </row>
    <row r="132" spans="1:15" ht="15.5" x14ac:dyDescent="0.25">
      <c r="A132" s="145">
        <v>46120</v>
      </c>
      <c r="B132" s="145" t="s">
        <v>724</v>
      </c>
      <c r="C132" s="15">
        <v>1</v>
      </c>
      <c r="D132" s="15" t="s">
        <v>8</v>
      </c>
      <c r="E132" s="32" t="s">
        <v>75</v>
      </c>
      <c r="F132" s="32" t="s">
        <v>80</v>
      </c>
      <c r="G132" s="15" t="s">
        <v>160</v>
      </c>
      <c r="H132" s="32" t="s">
        <v>81</v>
      </c>
      <c r="I132" s="108" t="s">
        <v>79</v>
      </c>
      <c r="J132" s="15">
        <v>120</v>
      </c>
      <c r="K132" s="140">
        <f t="shared" si="16"/>
        <v>734.4</v>
      </c>
      <c r="L132" s="148">
        <v>6.12</v>
      </c>
      <c r="M132" s="15">
        <f>O129</f>
        <v>780</v>
      </c>
      <c r="N132" s="15">
        <f t="shared" si="14"/>
        <v>120</v>
      </c>
      <c r="O132" s="143">
        <f t="shared" si="15"/>
        <v>660</v>
      </c>
    </row>
    <row r="133" spans="1:15" ht="31" x14ac:dyDescent="0.35">
      <c r="A133" s="145">
        <v>46120</v>
      </c>
      <c r="B133" s="145" t="s">
        <v>724</v>
      </c>
      <c r="C133" s="135">
        <v>2</v>
      </c>
      <c r="D133" s="136" t="s">
        <v>8</v>
      </c>
      <c r="E133" s="30" t="s">
        <v>9</v>
      </c>
      <c r="F133" s="31" t="s">
        <v>58</v>
      </c>
      <c r="G133" s="31" t="s">
        <v>15</v>
      </c>
      <c r="H133" s="138" t="s">
        <v>22</v>
      </c>
      <c r="I133" s="108" t="s">
        <v>57</v>
      </c>
      <c r="J133" s="139">
        <f>550+575</f>
        <v>1125</v>
      </c>
      <c r="K133" s="140">
        <f t="shared" si="16"/>
        <v>2103.75</v>
      </c>
      <c r="L133" s="141">
        <v>1.87</v>
      </c>
      <c r="M133" s="142">
        <f>O130</f>
        <v>1435</v>
      </c>
      <c r="N133" s="142">
        <f t="shared" si="14"/>
        <v>1125</v>
      </c>
      <c r="O133" s="143">
        <f t="shared" si="15"/>
        <v>310</v>
      </c>
    </row>
    <row r="134" spans="1:15" ht="15.5" x14ac:dyDescent="0.35">
      <c r="A134" s="145">
        <v>46120</v>
      </c>
      <c r="B134" s="145" t="s">
        <v>724</v>
      </c>
      <c r="C134" s="135">
        <v>1</v>
      </c>
      <c r="D134" s="136" t="s">
        <v>8</v>
      </c>
      <c r="E134" s="31" t="s">
        <v>66</v>
      </c>
      <c r="F134" s="31" t="s">
        <v>73</v>
      </c>
      <c r="G134" s="31" t="s">
        <v>143</v>
      </c>
      <c r="H134" s="146" t="s">
        <v>144</v>
      </c>
      <c r="I134" s="108" t="s">
        <v>72</v>
      </c>
      <c r="J134" s="139">
        <v>135</v>
      </c>
      <c r="K134" s="140">
        <f t="shared" si="16"/>
        <v>206.55</v>
      </c>
      <c r="L134" s="141">
        <v>1.53</v>
      </c>
      <c r="M134" s="142">
        <f>O101</f>
        <v>135</v>
      </c>
      <c r="N134" s="142">
        <f t="shared" si="14"/>
        <v>135</v>
      </c>
      <c r="O134" s="143">
        <f t="shared" si="15"/>
        <v>0</v>
      </c>
    </row>
    <row r="135" spans="1:15" ht="15.5" x14ac:dyDescent="0.25">
      <c r="A135" s="145">
        <v>46121</v>
      </c>
      <c r="B135" s="145" t="s">
        <v>724</v>
      </c>
      <c r="C135" s="15">
        <v>1</v>
      </c>
      <c r="D135" s="15" t="s">
        <v>8</v>
      </c>
      <c r="E135" s="32" t="s">
        <v>75</v>
      </c>
      <c r="F135" s="32" t="s">
        <v>80</v>
      </c>
      <c r="G135" s="15" t="s">
        <v>160</v>
      </c>
      <c r="H135" s="32" t="s">
        <v>81</v>
      </c>
      <c r="I135" s="108" t="s">
        <v>79</v>
      </c>
      <c r="J135" s="15">
        <v>120</v>
      </c>
      <c r="K135" s="140">
        <f t="shared" si="16"/>
        <v>734.4</v>
      </c>
      <c r="L135" s="148">
        <v>6.12</v>
      </c>
      <c r="M135" s="15">
        <f>O132</f>
        <v>660</v>
      </c>
      <c r="N135" s="15">
        <f t="shared" si="14"/>
        <v>120</v>
      </c>
      <c r="O135" s="143">
        <f t="shared" si="15"/>
        <v>540</v>
      </c>
    </row>
    <row r="136" spans="1:15" ht="31" x14ac:dyDescent="0.35">
      <c r="A136" s="145">
        <v>46121</v>
      </c>
      <c r="B136" s="145" t="s">
        <v>724</v>
      </c>
      <c r="C136" s="135">
        <v>2</v>
      </c>
      <c r="D136" s="136" t="s">
        <v>8</v>
      </c>
      <c r="E136" s="30" t="s">
        <v>9</v>
      </c>
      <c r="F136" s="31" t="s">
        <v>58</v>
      </c>
      <c r="G136" s="31" t="s">
        <v>15</v>
      </c>
      <c r="H136" s="138" t="s">
        <v>22</v>
      </c>
      <c r="I136" s="108" t="s">
        <v>57</v>
      </c>
      <c r="J136" s="139">
        <v>310</v>
      </c>
      <c r="K136" s="140">
        <f t="shared" si="16"/>
        <v>579.70000000000005</v>
      </c>
      <c r="L136" s="141">
        <v>1.87</v>
      </c>
      <c r="M136" s="142">
        <f>O133</f>
        <v>310</v>
      </c>
      <c r="N136" s="142">
        <f t="shared" si="14"/>
        <v>310</v>
      </c>
      <c r="O136" s="143">
        <f t="shared" si="15"/>
        <v>0</v>
      </c>
    </row>
    <row r="137" spans="1:15" ht="31" x14ac:dyDescent="0.35">
      <c r="A137" s="145">
        <v>46121</v>
      </c>
      <c r="B137" s="145" t="s">
        <v>724</v>
      </c>
      <c r="C137" s="135">
        <v>2</v>
      </c>
      <c r="D137" s="136" t="s">
        <v>8</v>
      </c>
      <c r="E137" s="30" t="s">
        <v>9</v>
      </c>
      <c r="F137" s="31" t="s">
        <v>146</v>
      </c>
      <c r="G137" s="31" t="s">
        <v>15</v>
      </c>
      <c r="H137" s="138" t="s">
        <v>22</v>
      </c>
      <c r="I137" s="108" t="s">
        <v>145</v>
      </c>
      <c r="J137" s="139">
        <v>775</v>
      </c>
      <c r="K137" s="140">
        <f t="shared" si="16"/>
        <v>1449.25</v>
      </c>
      <c r="L137" s="141">
        <v>1.87</v>
      </c>
      <c r="M137" s="142">
        <v>5760</v>
      </c>
      <c r="N137" s="142">
        <f t="shared" si="14"/>
        <v>775</v>
      </c>
      <c r="O137" s="143">
        <f t="shared" si="15"/>
        <v>4985</v>
      </c>
    </row>
    <row r="138" spans="1:15" ht="15.5" x14ac:dyDescent="0.25">
      <c r="A138" s="145">
        <v>46122</v>
      </c>
      <c r="B138" s="145" t="s">
        <v>724</v>
      </c>
      <c r="C138" s="15">
        <v>1</v>
      </c>
      <c r="D138" s="15" t="s">
        <v>8</v>
      </c>
      <c r="E138" s="32" t="s">
        <v>75</v>
      </c>
      <c r="F138" s="32" t="s">
        <v>80</v>
      </c>
      <c r="G138" s="15" t="s">
        <v>160</v>
      </c>
      <c r="H138" s="32" t="s">
        <v>81</v>
      </c>
      <c r="I138" s="108" t="s">
        <v>79</v>
      </c>
      <c r="J138" s="15">
        <v>120</v>
      </c>
      <c r="K138" s="140">
        <f t="shared" si="16"/>
        <v>734.4</v>
      </c>
      <c r="L138" s="148">
        <v>6.12</v>
      </c>
      <c r="M138" s="15">
        <f>O135</f>
        <v>540</v>
      </c>
      <c r="N138" s="15">
        <f t="shared" si="14"/>
        <v>120</v>
      </c>
      <c r="O138" s="143">
        <f t="shared" si="15"/>
        <v>420</v>
      </c>
    </row>
    <row r="139" spans="1:15" ht="31" x14ac:dyDescent="0.35">
      <c r="A139" s="145">
        <v>46122</v>
      </c>
      <c r="B139" s="145" t="s">
        <v>724</v>
      </c>
      <c r="C139" s="135">
        <v>2</v>
      </c>
      <c r="D139" s="136" t="s">
        <v>8</v>
      </c>
      <c r="E139" s="30" t="s">
        <v>9</v>
      </c>
      <c r="F139" s="31" t="s">
        <v>146</v>
      </c>
      <c r="G139" s="31" t="s">
        <v>15</v>
      </c>
      <c r="H139" s="138" t="s">
        <v>22</v>
      </c>
      <c r="I139" s="108" t="s">
        <v>145</v>
      </c>
      <c r="J139" s="139">
        <v>200</v>
      </c>
      <c r="K139" s="140">
        <f t="shared" si="16"/>
        <v>374</v>
      </c>
      <c r="L139" s="141">
        <v>1.87</v>
      </c>
      <c r="M139" s="142">
        <f>O137</f>
        <v>4985</v>
      </c>
      <c r="N139" s="142">
        <f t="shared" si="14"/>
        <v>200</v>
      </c>
      <c r="O139" s="143">
        <f t="shared" si="15"/>
        <v>4785</v>
      </c>
    </row>
    <row r="140" spans="1:15" ht="15.5" x14ac:dyDescent="0.35">
      <c r="A140" s="145">
        <v>46122</v>
      </c>
      <c r="B140" s="145" t="s">
        <v>724</v>
      </c>
      <c r="C140" s="135">
        <v>2</v>
      </c>
      <c r="D140" s="136" t="s">
        <v>8</v>
      </c>
      <c r="E140" s="30" t="s">
        <v>107</v>
      </c>
      <c r="F140" s="31" t="s">
        <v>108</v>
      </c>
      <c r="G140" s="31" t="s">
        <v>158</v>
      </c>
      <c r="H140" s="138" t="s">
        <v>159</v>
      </c>
      <c r="I140" s="108" t="s">
        <v>106</v>
      </c>
      <c r="J140" s="139">
        <v>1570</v>
      </c>
      <c r="K140" s="140">
        <f t="shared" si="16"/>
        <v>2111.65</v>
      </c>
      <c r="L140" s="141">
        <v>1.345</v>
      </c>
      <c r="M140" s="142">
        <f>O127</f>
        <v>1570</v>
      </c>
      <c r="N140" s="142">
        <f t="shared" si="14"/>
        <v>1570</v>
      </c>
      <c r="O140" s="143">
        <f t="shared" si="15"/>
        <v>0</v>
      </c>
    </row>
    <row r="141" spans="1:15" ht="15.5" x14ac:dyDescent="0.35">
      <c r="A141" s="145">
        <v>46123</v>
      </c>
      <c r="B141" s="145" t="s">
        <v>724</v>
      </c>
      <c r="C141" s="135">
        <v>2</v>
      </c>
      <c r="D141" s="136" t="s">
        <v>8</v>
      </c>
      <c r="E141" s="30" t="s">
        <v>107</v>
      </c>
      <c r="F141" s="31" t="s">
        <v>108</v>
      </c>
      <c r="G141" s="31" t="s">
        <v>158</v>
      </c>
      <c r="H141" s="138" t="s">
        <v>159</v>
      </c>
      <c r="I141" s="108" t="s">
        <v>106</v>
      </c>
      <c r="J141" s="139">
        <v>2400</v>
      </c>
      <c r="K141" s="140">
        <f t="shared" si="16"/>
        <v>3228</v>
      </c>
      <c r="L141" s="141">
        <v>1.345</v>
      </c>
      <c r="M141" s="142">
        <v>2400</v>
      </c>
      <c r="N141" s="142">
        <f t="shared" si="14"/>
        <v>2400</v>
      </c>
      <c r="O141" s="143">
        <f t="shared" si="15"/>
        <v>0</v>
      </c>
    </row>
    <row r="142" spans="1:15" ht="31" x14ac:dyDescent="0.35">
      <c r="A142" s="145">
        <v>46123</v>
      </c>
      <c r="B142" s="145" t="s">
        <v>724</v>
      </c>
      <c r="C142" s="135">
        <v>2</v>
      </c>
      <c r="D142" s="136" t="s">
        <v>8</v>
      </c>
      <c r="E142" s="30" t="s">
        <v>9</v>
      </c>
      <c r="F142" s="31" t="s">
        <v>146</v>
      </c>
      <c r="G142" s="31" t="s">
        <v>15</v>
      </c>
      <c r="H142" s="138" t="s">
        <v>22</v>
      </c>
      <c r="I142" s="108" t="s">
        <v>145</v>
      </c>
      <c r="J142" s="139">
        <v>50</v>
      </c>
      <c r="K142" s="140">
        <f t="shared" si="16"/>
        <v>93.5</v>
      </c>
      <c r="L142" s="141">
        <v>1.87</v>
      </c>
      <c r="M142" s="142">
        <f>O139</f>
        <v>4785</v>
      </c>
      <c r="N142" s="142">
        <f t="shared" si="14"/>
        <v>50</v>
      </c>
      <c r="O142" s="143">
        <f t="shared" si="15"/>
        <v>4735</v>
      </c>
    </row>
    <row r="143" spans="1:15" ht="31" x14ac:dyDescent="0.35">
      <c r="A143" s="145">
        <v>46125</v>
      </c>
      <c r="B143" s="145" t="s">
        <v>724</v>
      </c>
      <c r="C143" s="135">
        <v>2</v>
      </c>
      <c r="D143" s="136" t="s">
        <v>8</v>
      </c>
      <c r="E143" s="30" t="s">
        <v>9</v>
      </c>
      <c r="F143" s="31" t="s">
        <v>146</v>
      </c>
      <c r="G143" s="31" t="s">
        <v>15</v>
      </c>
      <c r="H143" s="138" t="s">
        <v>22</v>
      </c>
      <c r="I143" s="108" t="s">
        <v>145</v>
      </c>
      <c r="J143" s="139">
        <v>625</v>
      </c>
      <c r="K143" s="140">
        <f t="shared" si="16"/>
        <v>1168.75</v>
      </c>
      <c r="L143" s="141">
        <v>1.87</v>
      </c>
      <c r="M143" s="142">
        <f>O142</f>
        <v>4735</v>
      </c>
      <c r="N143" s="142">
        <f t="shared" si="14"/>
        <v>625</v>
      </c>
      <c r="O143" s="143">
        <f t="shared" si="15"/>
        <v>4110</v>
      </c>
    </row>
    <row r="144" spans="1:15" ht="31" x14ac:dyDescent="0.35">
      <c r="A144" s="145">
        <v>46125</v>
      </c>
      <c r="B144" s="145" t="s">
        <v>724</v>
      </c>
      <c r="C144" s="135">
        <v>2</v>
      </c>
      <c r="D144" s="136" t="s">
        <v>8</v>
      </c>
      <c r="E144" s="30" t="s">
        <v>9</v>
      </c>
      <c r="F144" s="31" t="s">
        <v>152</v>
      </c>
      <c r="G144" s="31" t="s">
        <v>15</v>
      </c>
      <c r="H144" s="138" t="s">
        <v>22</v>
      </c>
      <c r="I144" s="108" t="s">
        <v>151</v>
      </c>
      <c r="J144" s="139">
        <v>260</v>
      </c>
      <c r="K144" s="140">
        <f t="shared" si="16"/>
        <v>577.20000000000005</v>
      </c>
      <c r="L144" s="141">
        <v>2.2200000000000002</v>
      </c>
      <c r="M144" s="142">
        <v>5040</v>
      </c>
      <c r="N144" s="142">
        <f t="shared" si="14"/>
        <v>260</v>
      </c>
      <c r="O144" s="143">
        <f t="shared" si="15"/>
        <v>4780</v>
      </c>
    </row>
    <row r="145" spans="1:15" ht="15.5" x14ac:dyDescent="0.25">
      <c r="A145" s="145">
        <v>46125</v>
      </c>
      <c r="B145" s="145" t="s">
        <v>724</v>
      </c>
      <c r="C145" s="15">
        <v>1</v>
      </c>
      <c r="D145" s="15" t="s">
        <v>8</v>
      </c>
      <c r="E145" s="32" t="s">
        <v>75</v>
      </c>
      <c r="F145" s="32" t="s">
        <v>80</v>
      </c>
      <c r="G145" s="15" t="s">
        <v>160</v>
      </c>
      <c r="H145" s="32" t="s">
        <v>81</v>
      </c>
      <c r="I145" s="108" t="s">
        <v>79</v>
      </c>
      <c r="J145" s="15">
        <v>100</v>
      </c>
      <c r="K145" s="140">
        <f t="shared" si="16"/>
        <v>612</v>
      </c>
      <c r="L145" s="148">
        <v>6.12</v>
      </c>
      <c r="M145" s="15">
        <f>O138</f>
        <v>420</v>
      </c>
      <c r="N145" s="15">
        <f t="shared" si="14"/>
        <v>100</v>
      </c>
      <c r="O145" s="143">
        <f t="shared" si="15"/>
        <v>320</v>
      </c>
    </row>
    <row r="146" spans="1:15" ht="15.5" x14ac:dyDescent="0.25">
      <c r="A146" s="145">
        <v>46125</v>
      </c>
      <c r="B146" s="145" t="s">
        <v>724</v>
      </c>
      <c r="C146" s="15">
        <v>1</v>
      </c>
      <c r="D146" s="15" t="s">
        <v>8</v>
      </c>
      <c r="E146" s="15" t="s">
        <v>172</v>
      </c>
      <c r="F146" s="15" t="s">
        <v>128</v>
      </c>
      <c r="G146" s="31" t="s">
        <v>158</v>
      </c>
      <c r="H146" s="15" t="s">
        <v>110</v>
      </c>
      <c r="I146" s="109" t="s">
        <v>184</v>
      </c>
      <c r="J146" s="15">
        <v>100</v>
      </c>
      <c r="K146" s="140">
        <f t="shared" si="16"/>
        <v>146</v>
      </c>
      <c r="L146" s="148">
        <v>1.46</v>
      </c>
      <c r="M146" s="15">
        <v>3000</v>
      </c>
      <c r="N146" s="15">
        <f t="shared" si="14"/>
        <v>100</v>
      </c>
      <c r="O146" s="143">
        <f t="shared" si="15"/>
        <v>2900</v>
      </c>
    </row>
    <row r="147" spans="1:15" ht="31" x14ac:dyDescent="0.35">
      <c r="A147" s="145">
        <v>46126</v>
      </c>
      <c r="B147" s="145" t="s">
        <v>724</v>
      </c>
      <c r="C147" s="135">
        <v>2</v>
      </c>
      <c r="D147" s="136" t="s">
        <v>8</v>
      </c>
      <c r="E147" s="30" t="s">
        <v>9</v>
      </c>
      <c r="F147" s="31" t="s">
        <v>152</v>
      </c>
      <c r="G147" s="31" t="s">
        <v>15</v>
      </c>
      <c r="H147" s="138" t="s">
        <v>22</v>
      </c>
      <c r="I147" s="108" t="s">
        <v>151</v>
      </c>
      <c r="J147" s="139">
        <v>845</v>
      </c>
      <c r="K147" s="140">
        <f t="shared" si="16"/>
        <v>1875.9</v>
      </c>
      <c r="L147" s="141">
        <v>2.2200000000000002</v>
      </c>
      <c r="M147" s="142">
        <f t="shared" ref="M147:M152" si="17">O144</f>
        <v>4780</v>
      </c>
      <c r="N147" s="142">
        <f t="shared" si="14"/>
        <v>845</v>
      </c>
      <c r="O147" s="143">
        <f t="shared" si="15"/>
        <v>3935</v>
      </c>
    </row>
    <row r="148" spans="1:15" ht="15.5" x14ac:dyDescent="0.25">
      <c r="A148" s="145">
        <v>46126</v>
      </c>
      <c r="B148" s="145" t="s">
        <v>724</v>
      </c>
      <c r="C148" s="15">
        <v>1</v>
      </c>
      <c r="D148" s="15" t="s">
        <v>8</v>
      </c>
      <c r="E148" s="32" t="s">
        <v>75</v>
      </c>
      <c r="F148" s="32" t="s">
        <v>80</v>
      </c>
      <c r="G148" s="15" t="s">
        <v>160</v>
      </c>
      <c r="H148" s="32" t="s">
        <v>81</v>
      </c>
      <c r="I148" s="108" t="s">
        <v>79</v>
      </c>
      <c r="J148" s="15">
        <v>105</v>
      </c>
      <c r="K148" s="140">
        <f t="shared" si="16"/>
        <v>642.6</v>
      </c>
      <c r="L148" s="148">
        <v>6.12</v>
      </c>
      <c r="M148" s="15">
        <f t="shared" si="17"/>
        <v>320</v>
      </c>
      <c r="N148" s="15">
        <f t="shared" si="14"/>
        <v>105</v>
      </c>
      <c r="O148" s="143">
        <f t="shared" si="15"/>
        <v>215</v>
      </c>
    </row>
    <row r="149" spans="1:15" ht="15.5" x14ac:dyDescent="0.25">
      <c r="A149" s="145">
        <v>46126</v>
      </c>
      <c r="B149" s="145" t="s">
        <v>724</v>
      </c>
      <c r="C149" s="15">
        <v>1</v>
      </c>
      <c r="D149" s="15" t="s">
        <v>8</v>
      </c>
      <c r="E149" s="15" t="s">
        <v>172</v>
      </c>
      <c r="F149" s="15" t="s">
        <v>128</v>
      </c>
      <c r="G149" s="31" t="s">
        <v>158</v>
      </c>
      <c r="H149" s="15" t="s">
        <v>110</v>
      </c>
      <c r="I149" s="109" t="s">
        <v>184</v>
      </c>
      <c r="J149" s="15">
        <v>350</v>
      </c>
      <c r="K149" s="140">
        <f t="shared" si="16"/>
        <v>511</v>
      </c>
      <c r="L149" s="148">
        <v>1.46</v>
      </c>
      <c r="M149" s="15">
        <f t="shared" si="17"/>
        <v>2900</v>
      </c>
      <c r="N149" s="15">
        <f t="shared" si="14"/>
        <v>350</v>
      </c>
      <c r="O149" s="143">
        <f t="shared" si="15"/>
        <v>2550</v>
      </c>
    </row>
    <row r="150" spans="1:15" ht="31" x14ac:dyDescent="0.35">
      <c r="A150" s="145">
        <v>46127</v>
      </c>
      <c r="B150" s="145" t="s">
        <v>724</v>
      </c>
      <c r="C150" s="135">
        <v>2</v>
      </c>
      <c r="D150" s="136" t="s">
        <v>8</v>
      </c>
      <c r="E150" s="30" t="s">
        <v>9</v>
      </c>
      <c r="F150" s="31" t="s">
        <v>152</v>
      </c>
      <c r="G150" s="31" t="s">
        <v>15</v>
      </c>
      <c r="H150" s="138" t="s">
        <v>22</v>
      </c>
      <c r="I150" s="108" t="s">
        <v>151</v>
      </c>
      <c r="J150" s="139">
        <v>400</v>
      </c>
      <c r="K150" s="140">
        <f t="shared" si="16"/>
        <v>888.00000000000011</v>
      </c>
      <c r="L150" s="141">
        <v>2.2200000000000002</v>
      </c>
      <c r="M150" s="142">
        <f t="shared" si="17"/>
        <v>3935</v>
      </c>
      <c r="N150" s="142">
        <f t="shared" si="14"/>
        <v>400</v>
      </c>
      <c r="O150" s="143">
        <f t="shared" si="15"/>
        <v>3535</v>
      </c>
    </row>
    <row r="151" spans="1:15" ht="15.5" x14ac:dyDescent="0.25">
      <c r="A151" s="145">
        <v>46127</v>
      </c>
      <c r="B151" s="145" t="s">
        <v>724</v>
      </c>
      <c r="C151" s="15">
        <v>1</v>
      </c>
      <c r="D151" s="15" t="s">
        <v>8</v>
      </c>
      <c r="E151" s="32" t="s">
        <v>75</v>
      </c>
      <c r="F151" s="32" t="s">
        <v>80</v>
      </c>
      <c r="G151" s="15" t="s">
        <v>160</v>
      </c>
      <c r="H151" s="32" t="s">
        <v>81</v>
      </c>
      <c r="I151" s="108" t="s">
        <v>79</v>
      </c>
      <c r="J151" s="15">
        <v>135</v>
      </c>
      <c r="K151" s="140">
        <f t="shared" si="16"/>
        <v>826.2</v>
      </c>
      <c r="L151" s="148">
        <v>6.12</v>
      </c>
      <c r="M151" s="15">
        <f t="shared" si="17"/>
        <v>215</v>
      </c>
      <c r="N151" s="15">
        <f t="shared" si="14"/>
        <v>135</v>
      </c>
      <c r="O151" s="143">
        <f t="shared" si="15"/>
        <v>80</v>
      </c>
    </row>
    <row r="152" spans="1:15" ht="15.5" x14ac:dyDescent="0.25">
      <c r="A152" s="145">
        <v>46127</v>
      </c>
      <c r="B152" s="145" t="s">
        <v>724</v>
      </c>
      <c r="C152" s="15">
        <v>1</v>
      </c>
      <c r="D152" s="15" t="s">
        <v>8</v>
      </c>
      <c r="E152" s="15" t="s">
        <v>172</v>
      </c>
      <c r="F152" s="15" t="s">
        <v>128</v>
      </c>
      <c r="G152" s="31" t="s">
        <v>158</v>
      </c>
      <c r="H152" s="15" t="s">
        <v>110</v>
      </c>
      <c r="I152" s="109" t="s">
        <v>184</v>
      </c>
      <c r="J152" s="15">
        <v>250</v>
      </c>
      <c r="K152" s="140">
        <f t="shared" si="16"/>
        <v>365</v>
      </c>
      <c r="L152" s="148">
        <v>1.46</v>
      </c>
      <c r="M152" s="15">
        <f t="shared" si="17"/>
        <v>2550</v>
      </c>
      <c r="N152" s="15">
        <f t="shared" si="14"/>
        <v>250</v>
      </c>
      <c r="O152" s="143">
        <f t="shared" si="15"/>
        <v>2300</v>
      </c>
    </row>
    <row r="153" spans="1:15" ht="15.5" x14ac:dyDescent="0.25">
      <c r="A153" s="145">
        <v>46127</v>
      </c>
      <c r="B153" s="145" t="s">
        <v>724</v>
      </c>
      <c r="C153" s="15">
        <v>1</v>
      </c>
      <c r="D153" s="15" t="s">
        <v>8</v>
      </c>
      <c r="E153" s="15" t="s">
        <v>66</v>
      </c>
      <c r="F153" s="32" t="s">
        <v>67</v>
      </c>
      <c r="G153" s="31" t="s">
        <v>158</v>
      </c>
      <c r="H153" s="32" t="s">
        <v>68</v>
      </c>
      <c r="I153" s="109" t="s">
        <v>65</v>
      </c>
      <c r="J153" s="15">
        <v>650</v>
      </c>
      <c r="K153" s="140">
        <f t="shared" si="16"/>
        <v>442.00000000000006</v>
      </c>
      <c r="L153" s="148">
        <v>0.68</v>
      </c>
      <c r="M153" s="15">
        <v>4800</v>
      </c>
      <c r="N153" s="15">
        <f t="shared" si="14"/>
        <v>650</v>
      </c>
      <c r="O153" s="15">
        <f t="shared" si="15"/>
        <v>4150</v>
      </c>
    </row>
    <row r="154" spans="1:15" ht="15.5" x14ac:dyDescent="0.25">
      <c r="A154" s="145">
        <v>46128</v>
      </c>
      <c r="B154" s="145" t="s">
        <v>724</v>
      </c>
      <c r="C154" s="15">
        <v>1</v>
      </c>
      <c r="D154" s="15" t="s">
        <v>8</v>
      </c>
      <c r="E154" s="32" t="s">
        <v>75</v>
      </c>
      <c r="F154" s="32" t="s">
        <v>80</v>
      </c>
      <c r="G154" s="15" t="s">
        <v>160</v>
      </c>
      <c r="H154" s="32" t="s">
        <v>81</v>
      </c>
      <c r="I154" s="108" t="s">
        <v>79</v>
      </c>
      <c r="J154" s="15">
        <v>80</v>
      </c>
      <c r="K154" s="140">
        <f t="shared" si="16"/>
        <v>489.6</v>
      </c>
      <c r="L154" s="148">
        <v>6.12</v>
      </c>
      <c r="M154" s="15">
        <f>O151</f>
        <v>80</v>
      </c>
      <c r="N154" s="15">
        <f t="shared" ref="N154:N190" si="18">J154</f>
        <v>80</v>
      </c>
      <c r="O154" s="143">
        <f t="shared" ref="O154:O185" si="19">M154-N154</f>
        <v>0</v>
      </c>
    </row>
    <row r="155" spans="1:15" ht="15.5" x14ac:dyDescent="0.25">
      <c r="A155" s="145">
        <v>46128</v>
      </c>
      <c r="B155" s="145" t="s">
        <v>724</v>
      </c>
      <c r="C155" s="15">
        <v>1</v>
      </c>
      <c r="D155" s="15" t="s">
        <v>8</v>
      </c>
      <c r="E155" s="15" t="s">
        <v>172</v>
      </c>
      <c r="F155" s="15" t="s">
        <v>128</v>
      </c>
      <c r="G155" s="31" t="s">
        <v>158</v>
      </c>
      <c r="H155" s="15" t="s">
        <v>110</v>
      </c>
      <c r="I155" s="109" t="s">
        <v>184</v>
      </c>
      <c r="J155" s="15">
        <v>200</v>
      </c>
      <c r="K155" s="140">
        <f t="shared" si="16"/>
        <v>292</v>
      </c>
      <c r="L155" s="148">
        <v>1.46</v>
      </c>
      <c r="M155" s="15">
        <f>O152</f>
        <v>2300</v>
      </c>
      <c r="N155" s="15">
        <f t="shared" si="18"/>
        <v>200</v>
      </c>
      <c r="O155" s="143">
        <f t="shared" si="19"/>
        <v>2100</v>
      </c>
    </row>
    <row r="156" spans="1:15" ht="15.5" x14ac:dyDescent="0.25">
      <c r="A156" s="145">
        <v>46128</v>
      </c>
      <c r="B156" s="145" t="s">
        <v>724</v>
      </c>
      <c r="C156" s="15">
        <v>1</v>
      </c>
      <c r="D156" s="15" t="s">
        <v>8</v>
      </c>
      <c r="E156" s="15" t="s">
        <v>66</v>
      </c>
      <c r="F156" s="32" t="s">
        <v>67</v>
      </c>
      <c r="G156" s="31" t="s">
        <v>158</v>
      </c>
      <c r="H156" s="32" t="s">
        <v>68</v>
      </c>
      <c r="I156" s="109" t="s">
        <v>65</v>
      </c>
      <c r="J156" s="15">
        <v>700</v>
      </c>
      <c r="K156" s="140">
        <f t="shared" si="16"/>
        <v>476.00000000000006</v>
      </c>
      <c r="L156" s="148">
        <v>0.68</v>
      </c>
      <c r="M156" s="15">
        <f>O153</f>
        <v>4150</v>
      </c>
      <c r="N156" s="15">
        <f t="shared" si="18"/>
        <v>700</v>
      </c>
      <c r="O156" s="15">
        <f t="shared" si="19"/>
        <v>3450</v>
      </c>
    </row>
    <row r="157" spans="1:15" ht="15.5" x14ac:dyDescent="0.25">
      <c r="A157" s="145">
        <v>46128</v>
      </c>
      <c r="B157" s="145" t="s">
        <v>724</v>
      </c>
      <c r="C157" s="15">
        <v>1</v>
      </c>
      <c r="D157" s="15" t="s">
        <v>8</v>
      </c>
      <c r="E157" s="32" t="s">
        <v>190</v>
      </c>
      <c r="F157" s="32" t="s">
        <v>168</v>
      </c>
      <c r="G157" s="31" t="s">
        <v>158</v>
      </c>
      <c r="H157" s="32" t="s">
        <v>169</v>
      </c>
      <c r="I157" s="108" t="s">
        <v>170</v>
      </c>
      <c r="J157" s="15">
        <v>475</v>
      </c>
      <c r="K157" s="140">
        <f t="shared" si="16"/>
        <v>373.35</v>
      </c>
      <c r="L157" s="148">
        <v>0.78600000000000003</v>
      </c>
      <c r="M157" s="15">
        <f>10000</f>
        <v>10000</v>
      </c>
      <c r="N157" s="15">
        <f t="shared" si="18"/>
        <v>475</v>
      </c>
      <c r="O157" s="143">
        <f t="shared" si="19"/>
        <v>9525</v>
      </c>
    </row>
    <row r="158" spans="1:15" ht="15.5" x14ac:dyDescent="0.25">
      <c r="A158" s="145">
        <v>46128</v>
      </c>
      <c r="B158" s="145" t="s">
        <v>724</v>
      </c>
      <c r="C158" s="15">
        <v>1</v>
      </c>
      <c r="D158" s="15" t="s">
        <v>8</v>
      </c>
      <c r="E158" s="32" t="s">
        <v>75</v>
      </c>
      <c r="F158" s="32" t="s">
        <v>87</v>
      </c>
      <c r="G158" s="15" t="s">
        <v>160</v>
      </c>
      <c r="H158" s="32" t="s">
        <v>88</v>
      </c>
      <c r="I158" s="108" t="s">
        <v>86</v>
      </c>
      <c r="J158" s="15">
        <v>60</v>
      </c>
      <c r="K158" s="140">
        <f t="shared" si="16"/>
        <v>319.20000000000005</v>
      </c>
      <c r="L158" s="148">
        <v>5.32</v>
      </c>
      <c r="M158" s="15">
        <v>770</v>
      </c>
      <c r="N158" s="15">
        <f t="shared" si="18"/>
        <v>60</v>
      </c>
      <c r="O158" s="143">
        <f t="shared" si="19"/>
        <v>710</v>
      </c>
    </row>
    <row r="159" spans="1:15" ht="15.5" x14ac:dyDescent="0.25">
      <c r="A159" s="145">
        <v>46128</v>
      </c>
      <c r="B159" s="145" t="s">
        <v>724</v>
      </c>
      <c r="C159" s="15">
        <v>1</v>
      </c>
      <c r="D159" s="15" t="s">
        <v>8</v>
      </c>
      <c r="E159" s="15" t="s">
        <v>172</v>
      </c>
      <c r="F159" s="15" t="s">
        <v>126</v>
      </c>
      <c r="G159" s="31" t="s">
        <v>158</v>
      </c>
      <c r="H159" s="15" t="s">
        <v>127</v>
      </c>
      <c r="I159" s="109" t="s">
        <v>183</v>
      </c>
      <c r="J159" s="15">
        <f>225+100</f>
        <v>325</v>
      </c>
      <c r="K159" s="140">
        <f t="shared" si="16"/>
        <v>559</v>
      </c>
      <c r="L159" s="148">
        <v>1.72</v>
      </c>
      <c r="M159" s="15">
        <v>500</v>
      </c>
      <c r="N159" s="15">
        <f t="shared" si="18"/>
        <v>325</v>
      </c>
      <c r="O159" s="143">
        <f t="shared" si="19"/>
        <v>175</v>
      </c>
    </row>
    <row r="160" spans="1:15" ht="15.5" x14ac:dyDescent="0.25">
      <c r="A160" s="145">
        <v>46129</v>
      </c>
      <c r="B160" s="145" t="s">
        <v>724</v>
      </c>
      <c r="C160" s="15">
        <v>1</v>
      </c>
      <c r="D160" s="15" t="s">
        <v>8</v>
      </c>
      <c r="E160" s="15" t="s">
        <v>66</v>
      </c>
      <c r="F160" s="32" t="s">
        <v>67</v>
      </c>
      <c r="G160" s="31" t="s">
        <v>158</v>
      </c>
      <c r="H160" s="32" t="s">
        <v>68</v>
      </c>
      <c r="I160" s="109" t="s">
        <v>65</v>
      </c>
      <c r="J160" s="15">
        <v>1250</v>
      </c>
      <c r="K160" s="140">
        <f t="shared" si="16"/>
        <v>850.00000000000011</v>
      </c>
      <c r="L160" s="148">
        <v>0.68</v>
      </c>
      <c r="M160" s="15">
        <f>O156</f>
        <v>3450</v>
      </c>
      <c r="N160" s="15">
        <f t="shared" si="18"/>
        <v>1250</v>
      </c>
      <c r="O160" s="15">
        <f t="shared" si="19"/>
        <v>2200</v>
      </c>
    </row>
    <row r="161" spans="1:15" ht="15.5" x14ac:dyDescent="0.25">
      <c r="A161" s="145">
        <v>46129</v>
      </c>
      <c r="B161" s="145" t="s">
        <v>724</v>
      </c>
      <c r="C161" s="15">
        <v>1</v>
      </c>
      <c r="D161" s="15" t="s">
        <v>8</v>
      </c>
      <c r="E161" s="32" t="s">
        <v>190</v>
      </c>
      <c r="F161" s="32" t="s">
        <v>168</v>
      </c>
      <c r="G161" s="31" t="s">
        <v>158</v>
      </c>
      <c r="H161" s="32" t="s">
        <v>169</v>
      </c>
      <c r="I161" s="108" t="s">
        <v>170</v>
      </c>
      <c r="J161" s="15">
        <v>550</v>
      </c>
      <c r="K161" s="140">
        <f t="shared" si="16"/>
        <v>432.3</v>
      </c>
      <c r="L161" s="148">
        <v>0.78600000000000003</v>
      </c>
      <c r="M161" s="15">
        <f>O157</f>
        <v>9525</v>
      </c>
      <c r="N161" s="15">
        <f t="shared" si="18"/>
        <v>550</v>
      </c>
      <c r="O161" s="143">
        <f t="shared" si="19"/>
        <v>8975</v>
      </c>
    </row>
    <row r="162" spans="1:15" ht="15.5" x14ac:dyDescent="0.25">
      <c r="A162" s="145">
        <v>46129</v>
      </c>
      <c r="B162" s="145" t="s">
        <v>724</v>
      </c>
      <c r="C162" s="15">
        <v>1</v>
      </c>
      <c r="D162" s="15" t="s">
        <v>8</v>
      </c>
      <c r="E162" s="32" t="s">
        <v>75</v>
      </c>
      <c r="F162" s="32" t="s">
        <v>87</v>
      </c>
      <c r="G162" s="15" t="s">
        <v>160</v>
      </c>
      <c r="H162" s="32" t="s">
        <v>88</v>
      </c>
      <c r="I162" s="108" t="s">
        <v>86</v>
      </c>
      <c r="J162" s="15">
        <f>160</f>
        <v>160</v>
      </c>
      <c r="K162" s="140">
        <f t="shared" si="16"/>
        <v>851.2</v>
      </c>
      <c r="L162" s="148">
        <v>5.32</v>
      </c>
      <c r="M162" s="15">
        <f>O158</f>
        <v>710</v>
      </c>
      <c r="N162" s="15">
        <f t="shared" si="18"/>
        <v>160</v>
      </c>
      <c r="O162" s="143">
        <f t="shared" si="19"/>
        <v>550</v>
      </c>
    </row>
    <row r="163" spans="1:15" ht="15.5" x14ac:dyDescent="0.25">
      <c r="A163" s="145">
        <v>46129</v>
      </c>
      <c r="B163" s="145" t="s">
        <v>724</v>
      </c>
      <c r="C163" s="15">
        <v>1</v>
      </c>
      <c r="D163" s="15" t="s">
        <v>8</v>
      </c>
      <c r="E163" s="15" t="s">
        <v>172</v>
      </c>
      <c r="F163" s="15" t="s">
        <v>126</v>
      </c>
      <c r="G163" s="31" t="s">
        <v>158</v>
      </c>
      <c r="H163" s="15" t="s">
        <v>127</v>
      </c>
      <c r="I163" s="109" t="s">
        <v>183</v>
      </c>
      <c r="J163" s="15">
        <v>200</v>
      </c>
      <c r="K163" s="140">
        <f t="shared" si="16"/>
        <v>344</v>
      </c>
      <c r="L163" s="148">
        <v>1.72</v>
      </c>
      <c r="M163" s="15">
        <f>O159</f>
        <v>175</v>
      </c>
      <c r="N163" s="15">
        <f t="shared" si="18"/>
        <v>200</v>
      </c>
      <c r="O163" s="143">
        <f t="shared" si="19"/>
        <v>-25</v>
      </c>
    </row>
    <row r="164" spans="1:15" ht="15.5" x14ac:dyDescent="0.25">
      <c r="A164" s="145">
        <v>46130</v>
      </c>
      <c r="B164" s="145" t="s">
        <v>724</v>
      </c>
      <c r="C164" s="15">
        <v>1</v>
      </c>
      <c r="D164" s="15" t="s">
        <v>8</v>
      </c>
      <c r="E164" s="15" t="s">
        <v>66</v>
      </c>
      <c r="F164" s="32" t="s">
        <v>67</v>
      </c>
      <c r="G164" s="31" t="s">
        <v>158</v>
      </c>
      <c r="H164" s="32" t="s">
        <v>68</v>
      </c>
      <c r="I164" s="109" t="s">
        <v>65</v>
      </c>
      <c r="J164" s="15">
        <v>2200</v>
      </c>
      <c r="K164" s="140">
        <f t="shared" si="16"/>
        <v>1496</v>
      </c>
      <c r="L164" s="148">
        <v>0.68</v>
      </c>
      <c r="M164" s="15">
        <f>O160</f>
        <v>2200</v>
      </c>
      <c r="N164" s="15">
        <f t="shared" si="18"/>
        <v>2200</v>
      </c>
      <c r="O164" s="15">
        <f t="shared" si="19"/>
        <v>0</v>
      </c>
    </row>
    <row r="165" spans="1:15" ht="15.5" x14ac:dyDescent="0.35">
      <c r="A165" s="145">
        <v>46130</v>
      </c>
      <c r="B165" s="145" t="s">
        <v>724</v>
      </c>
      <c r="C165" s="135">
        <v>1</v>
      </c>
      <c r="D165" s="136" t="s">
        <v>8</v>
      </c>
      <c r="E165" s="32" t="s">
        <v>66</v>
      </c>
      <c r="F165" s="32" t="s">
        <v>71</v>
      </c>
      <c r="G165" s="31" t="s">
        <v>158</v>
      </c>
      <c r="H165" s="138" t="s">
        <v>159</v>
      </c>
      <c r="I165" s="108" t="s">
        <v>70</v>
      </c>
      <c r="J165" s="139">
        <v>100</v>
      </c>
      <c r="K165" s="140">
        <f t="shared" si="16"/>
        <v>172</v>
      </c>
      <c r="L165" s="141">
        <v>1.72</v>
      </c>
      <c r="M165" s="142">
        <f>J165</f>
        <v>100</v>
      </c>
      <c r="N165" s="142">
        <f t="shared" si="18"/>
        <v>100</v>
      </c>
      <c r="O165" s="143">
        <f t="shared" si="19"/>
        <v>0</v>
      </c>
    </row>
    <row r="166" spans="1:15" ht="15.5" x14ac:dyDescent="0.25">
      <c r="A166" s="145">
        <v>46130</v>
      </c>
      <c r="B166" s="145" t="s">
        <v>724</v>
      </c>
      <c r="C166" s="15">
        <v>1</v>
      </c>
      <c r="D166" s="15" t="s">
        <v>8</v>
      </c>
      <c r="E166" s="32" t="s">
        <v>75</v>
      </c>
      <c r="F166" s="32" t="s">
        <v>87</v>
      </c>
      <c r="G166" s="15" t="s">
        <v>160</v>
      </c>
      <c r="H166" s="32" t="s">
        <v>88</v>
      </c>
      <c r="I166" s="108" t="s">
        <v>86</v>
      </c>
      <c r="J166" s="15">
        <v>70</v>
      </c>
      <c r="K166" s="140">
        <f t="shared" si="16"/>
        <v>372.40000000000003</v>
      </c>
      <c r="L166" s="148">
        <v>5.32</v>
      </c>
      <c r="M166" s="15">
        <f>O162</f>
        <v>550</v>
      </c>
      <c r="N166" s="15">
        <f t="shared" si="18"/>
        <v>70</v>
      </c>
      <c r="O166" s="143">
        <f t="shared" si="19"/>
        <v>480</v>
      </c>
    </row>
    <row r="167" spans="1:15" ht="15.5" x14ac:dyDescent="0.25">
      <c r="A167" s="145">
        <v>46132</v>
      </c>
      <c r="B167" s="145" t="s">
        <v>724</v>
      </c>
      <c r="C167" s="15">
        <v>1</v>
      </c>
      <c r="D167" s="15" t="s">
        <v>8</v>
      </c>
      <c r="E167" s="32" t="s">
        <v>190</v>
      </c>
      <c r="F167" s="32" t="s">
        <v>168</v>
      </c>
      <c r="G167" s="31" t="s">
        <v>158</v>
      </c>
      <c r="H167" s="32" t="s">
        <v>169</v>
      </c>
      <c r="I167" s="108" t="s">
        <v>170</v>
      </c>
      <c r="J167" s="15">
        <v>450</v>
      </c>
      <c r="K167" s="140">
        <f t="shared" si="16"/>
        <v>353.7</v>
      </c>
      <c r="L167" s="148">
        <v>0.78600000000000003</v>
      </c>
      <c r="M167" s="15">
        <f>O161</f>
        <v>8975</v>
      </c>
      <c r="N167" s="15">
        <f t="shared" si="18"/>
        <v>450</v>
      </c>
      <c r="O167" s="143">
        <f t="shared" si="19"/>
        <v>8525</v>
      </c>
    </row>
    <row r="168" spans="1:15" ht="15.5" x14ac:dyDescent="0.25">
      <c r="A168" s="145">
        <v>46132</v>
      </c>
      <c r="B168" s="145" t="s">
        <v>724</v>
      </c>
      <c r="C168" s="15">
        <v>1</v>
      </c>
      <c r="D168" s="15" t="s">
        <v>8</v>
      </c>
      <c r="E168" s="32" t="s">
        <v>75</v>
      </c>
      <c r="F168" s="32" t="s">
        <v>87</v>
      </c>
      <c r="G168" s="15" t="s">
        <v>160</v>
      </c>
      <c r="H168" s="32" t="s">
        <v>88</v>
      </c>
      <c r="I168" s="108" t="s">
        <v>86</v>
      </c>
      <c r="J168" s="15">
        <v>100</v>
      </c>
      <c r="K168" s="140">
        <f t="shared" si="16"/>
        <v>532</v>
      </c>
      <c r="L168" s="148">
        <v>5.32</v>
      </c>
      <c r="M168" s="15">
        <f>O166</f>
        <v>480</v>
      </c>
      <c r="N168" s="15">
        <f t="shared" si="18"/>
        <v>100</v>
      </c>
      <c r="O168" s="143">
        <f t="shared" si="19"/>
        <v>380</v>
      </c>
    </row>
    <row r="169" spans="1:15" ht="15.5" x14ac:dyDescent="0.25">
      <c r="A169" s="145">
        <v>46132</v>
      </c>
      <c r="B169" s="145" t="s">
        <v>724</v>
      </c>
      <c r="C169" s="15">
        <v>1</v>
      </c>
      <c r="D169" s="15" t="s">
        <v>8</v>
      </c>
      <c r="E169" s="15" t="s">
        <v>172</v>
      </c>
      <c r="F169" s="15" t="s">
        <v>126</v>
      </c>
      <c r="G169" s="31" t="s">
        <v>158</v>
      </c>
      <c r="H169" s="15" t="s">
        <v>127</v>
      </c>
      <c r="I169" s="109" t="s">
        <v>183</v>
      </c>
      <c r="J169" s="15">
        <v>75</v>
      </c>
      <c r="K169" s="140">
        <f t="shared" si="16"/>
        <v>129</v>
      </c>
      <c r="L169" s="148">
        <v>1.72</v>
      </c>
      <c r="M169" s="15">
        <f>O163</f>
        <v>-25</v>
      </c>
      <c r="N169" s="15">
        <f t="shared" si="18"/>
        <v>75</v>
      </c>
      <c r="O169" s="143">
        <f t="shared" si="19"/>
        <v>-100</v>
      </c>
    </row>
    <row r="170" spans="1:15" ht="31" x14ac:dyDescent="0.35">
      <c r="A170" s="145">
        <v>46132</v>
      </c>
      <c r="B170" s="145" t="s">
        <v>724</v>
      </c>
      <c r="C170" s="135">
        <v>2</v>
      </c>
      <c r="D170" s="136" t="s">
        <v>8</v>
      </c>
      <c r="E170" s="30" t="s">
        <v>9</v>
      </c>
      <c r="F170" s="31" t="s">
        <v>152</v>
      </c>
      <c r="G170" s="31" t="s">
        <v>15</v>
      </c>
      <c r="H170" s="138" t="s">
        <v>22</v>
      </c>
      <c r="I170" s="108" t="s">
        <v>151</v>
      </c>
      <c r="J170" s="139">
        <v>400</v>
      </c>
      <c r="K170" s="140">
        <f t="shared" si="16"/>
        <v>888.00000000000011</v>
      </c>
      <c r="L170" s="141">
        <v>2.2200000000000002</v>
      </c>
      <c r="M170" s="142">
        <f>O150</f>
        <v>3535</v>
      </c>
      <c r="N170" s="142">
        <f t="shared" si="18"/>
        <v>400</v>
      </c>
      <c r="O170" s="143">
        <f t="shared" si="19"/>
        <v>3135</v>
      </c>
    </row>
    <row r="171" spans="1:15" ht="15.5" x14ac:dyDescent="0.25">
      <c r="A171" s="145">
        <v>46133</v>
      </c>
      <c r="B171" s="145" t="s">
        <v>724</v>
      </c>
      <c r="C171" s="15">
        <v>1</v>
      </c>
      <c r="D171" s="15" t="s">
        <v>8</v>
      </c>
      <c r="E171" s="32" t="s">
        <v>190</v>
      </c>
      <c r="F171" s="32" t="s">
        <v>168</v>
      </c>
      <c r="G171" s="31" t="s">
        <v>158</v>
      </c>
      <c r="H171" s="32" t="s">
        <v>169</v>
      </c>
      <c r="I171" s="108" t="s">
        <v>170</v>
      </c>
      <c r="J171" s="15">
        <v>550</v>
      </c>
      <c r="K171" s="140">
        <f t="shared" si="16"/>
        <v>432.3</v>
      </c>
      <c r="L171" s="148">
        <v>0.78600000000000003</v>
      </c>
      <c r="M171" s="15">
        <f>O167</f>
        <v>8525</v>
      </c>
      <c r="N171" s="15">
        <f t="shared" si="18"/>
        <v>550</v>
      </c>
      <c r="O171" s="143">
        <f t="shared" si="19"/>
        <v>7975</v>
      </c>
    </row>
    <row r="172" spans="1:15" ht="15.5" x14ac:dyDescent="0.25">
      <c r="A172" s="145">
        <v>46133</v>
      </c>
      <c r="B172" s="145" t="s">
        <v>724</v>
      </c>
      <c r="C172" s="15">
        <v>1</v>
      </c>
      <c r="D172" s="15" t="s">
        <v>8</v>
      </c>
      <c r="E172" s="15" t="s">
        <v>172</v>
      </c>
      <c r="F172" s="15" t="s">
        <v>128</v>
      </c>
      <c r="G172" s="31" t="s">
        <v>208</v>
      </c>
      <c r="H172" s="15" t="s">
        <v>110</v>
      </c>
      <c r="I172" s="109" t="s">
        <v>184</v>
      </c>
      <c r="J172" s="15">
        <v>900</v>
      </c>
      <c r="K172" s="140">
        <f t="shared" si="16"/>
        <v>1314</v>
      </c>
      <c r="L172" s="148">
        <v>1.46</v>
      </c>
      <c r="M172" s="15">
        <f>O155</f>
        <v>2100</v>
      </c>
      <c r="N172" s="15">
        <f t="shared" si="18"/>
        <v>900</v>
      </c>
      <c r="O172" s="143">
        <f t="shared" si="19"/>
        <v>1200</v>
      </c>
    </row>
    <row r="173" spans="1:15" ht="31" x14ac:dyDescent="0.35">
      <c r="A173" s="145">
        <v>46133</v>
      </c>
      <c r="B173" s="145" t="s">
        <v>724</v>
      </c>
      <c r="C173" s="135">
        <v>2</v>
      </c>
      <c r="D173" s="136" t="s">
        <v>8</v>
      </c>
      <c r="E173" s="30" t="s">
        <v>9</v>
      </c>
      <c r="F173" s="31" t="s">
        <v>152</v>
      </c>
      <c r="G173" s="31" t="s">
        <v>15</v>
      </c>
      <c r="H173" s="138" t="s">
        <v>22</v>
      </c>
      <c r="I173" s="108" t="s">
        <v>151</v>
      </c>
      <c r="J173" s="139">
        <v>700</v>
      </c>
      <c r="K173" s="140">
        <f t="shared" si="16"/>
        <v>1554.0000000000002</v>
      </c>
      <c r="L173" s="141">
        <v>2.2200000000000002</v>
      </c>
      <c r="M173" s="142">
        <f>O170</f>
        <v>3135</v>
      </c>
      <c r="N173" s="142">
        <f t="shared" si="18"/>
        <v>700</v>
      </c>
      <c r="O173" s="143">
        <f t="shared" si="19"/>
        <v>2435</v>
      </c>
    </row>
    <row r="174" spans="1:15" ht="15.5" x14ac:dyDescent="0.25">
      <c r="A174" s="145">
        <v>46134</v>
      </c>
      <c r="B174" s="145" t="s">
        <v>724</v>
      </c>
      <c r="C174" s="15">
        <v>1</v>
      </c>
      <c r="D174" s="15" t="s">
        <v>8</v>
      </c>
      <c r="E174" s="15" t="s">
        <v>172</v>
      </c>
      <c r="F174" s="15" t="s">
        <v>128</v>
      </c>
      <c r="G174" s="31" t="s">
        <v>208</v>
      </c>
      <c r="H174" s="15" t="s">
        <v>110</v>
      </c>
      <c r="I174" s="109" t="s">
        <v>184</v>
      </c>
      <c r="J174" s="15">
        <v>700</v>
      </c>
      <c r="K174" s="140">
        <f t="shared" si="16"/>
        <v>1022</v>
      </c>
      <c r="L174" s="148">
        <v>1.46</v>
      </c>
      <c r="M174" s="15">
        <f>O172</f>
        <v>1200</v>
      </c>
      <c r="N174" s="15">
        <f t="shared" si="18"/>
        <v>700</v>
      </c>
      <c r="O174" s="143">
        <f t="shared" si="19"/>
        <v>500</v>
      </c>
    </row>
    <row r="175" spans="1:15" ht="31" x14ac:dyDescent="0.35">
      <c r="A175" s="145">
        <v>46134</v>
      </c>
      <c r="B175" s="145" t="s">
        <v>724</v>
      </c>
      <c r="C175" s="135">
        <v>2</v>
      </c>
      <c r="D175" s="136" t="s">
        <v>8</v>
      </c>
      <c r="E175" s="30" t="s">
        <v>9</v>
      </c>
      <c r="F175" s="31" t="s">
        <v>152</v>
      </c>
      <c r="G175" s="31" t="s">
        <v>15</v>
      </c>
      <c r="H175" s="138" t="s">
        <v>22</v>
      </c>
      <c r="I175" s="108" t="s">
        <v>151</v>
      </c>
      <c r="J175" s="139">
        <f>325+275</f>
        <v>600</v>
      </c>
      <c r="K175" s="140">
        <f t="shared" si="16"/>
        <v>1332.0000000000002</v>
      </c>
      <c r="L175" s="141">
        <v>2.2200000000000002</v>
      </c>
      <c r="M175" s="142">
        <f>O173</f>
        <v>2435</v>
      </c>
      <c r="N175" s="142">
        <f t="shared" si="18"/>
        <v>600</v>
      </c>
      <c r="O175" s="143">
        <f t="shared" si="19"/>
        <v>1835</v>
      </c>
    </row>
    <row r="176" spans="1:15" ht="31" x14ac:dyDescent="0.35">
      <c r="A176" s="145">
        <v>46134</v>
      </c>
      <c r="B176" s="145" t="s">
        <v>724</v>
      </c>
      <c r="C176" s="135">
        <v>2</v>
      </c>
      <c r="D176" s="136" t="s">
        <v>8</v>
      </c>
      <c r="E176" s="30" t="s">
        <v>9</v>
      </c>
      <c r="F176" s="31" t="s">
        <v>146</v>
      </c>
      <c r="G176" s="31" t="s">
        <v>15</v>
      </c>
      <c r="H176" s="138" t="s">
        <v>22</v>
      </c>
      <c r="I176" s="108" t="s">
        <v>145</v>
      </c>
      <c r="J176" s="139">
        <f>50+525</f>
        <v>575</v>
      </c>
      <c r="K176" s="140">
        <f t="shared" si="16"/>
        <v>1075.25</v>
      </c>
      <c r="L176" s="141">
        <v>1.87</v>
      </c>
      <c r="M176" s="142">
        <f>O143</f>
        <v>4110</v>
      </c>
      <c r="N176" s="142">
        <f t="shared" si="18"/>
        <v>575</v>
      </c>
      <c r="O176" s="143">
        <f t="shared" si="19"/>
        <v>3535</v>
      </c>
    </row>
    <row r="177" spans="1:15" ht="15.5" x14ac:dyDescent="0.25">
      <c r="A177" s="145">
        <v>46135</v>
      </c>
      <c r="B177" s="145" t="s">
        <v>724</v>
      </c>
      <c r="C177" s="15">
        <v>1</v>
      </c>
      <c r="D177" s="15" t="s">
        <v>8</v>
      </c>
      <c r="E177" s="15" t="s">
        <v>172</v>
      </c>
      <c r="F177" s="15" t="s">
        <v>128</v>
      </c>
      <c r="G177" s="31" t="s">
        <v>208</v>
      </c>
      <c r="H177" s="15" t="s">
        <v>110</v>
      </c>
      <c r="I177" s="109" t="s">
        <v>184</v>
      </c>
      <c r="J177" s="15">
        <v>500</v>
      </c>
      <c r="K177" s="140">
        <f t="shared" si="16"/>
        <v>730</v>
      </c>
      <c r="L177" s="148">
        <v>1.46</v>
      </c>
      <c r="M177" s="15">
        <f>O174</f>
        <v>500</v>
      </c>
      <c r="N177" s="15">
        <f t="shared" si="18"/>
        <v>500</v>
      </c>
      <c r="O177" s="143">
        <f t="shared" si="19"/>
        <v>0</v>
      </c>
    </row>
    <row r="178" spans="1:15" ht="31" x14ac:dyDescent="0.35">
      <c r="A178" s="145">
        <v>46135</v>
      </c>
      <c r="B178" s="145" t="s">
        <v>724</v>
      </c>
      <c r="C178" s="135">
        <v>2</v>
      </c>
      <c r="D178" s="136" t="s">
        <v>8</v>
      </c>
      <c r="E178" s="30" t="s">
        <v>9</v>
      </c>
      <c r="F178" s="31" t="s">
        <v>152</v>
      </c>
      <c r="G178" s="31" t="s">
        <v>15</v>
      </c>
      <c r="H178" s="138" t="s">
        <v>22</v>
      </c>
      <c r="I178" s="108" t="s">
        <v>151</v>
      </c>
      <c r="J178" s="139">
        <v>200</v>
      </c>
      <c r="K178" s="140">
        <f t="shared" si="16"/>
        <v>444.00000000000006</v>
      </c>
      <c r="L178" s="141">
        <v>2.2200000000000002</v>
      </c>
      <c r="M178" s="142">
        <f>O175</f>
        <v>1835</v>
      </c>
      <c r="N178" s="142">
        <f t="shared" si="18"/>
        <v>200</v>
      </c>
      <c r="O178" s="143">
        <f t="shared" si="19"/>
        <v>1635</v>
      </c>
    </row>
    <row r="179" spans="1:15" ht="31" x14ac:dyDescent="0.35">
      <c r="A179" s="145">
        <v>46135</v>
      </c>
      <c r="B179" s="145" t="s">
        <v>724</v>
      </c>
      <c r="C179" s="135">
        <v>2</v>
      </c>
      <c r="D179" s="136" t="s">
        <v>8</v>
      </c>
      <c r="E179" s="30" t="s">
        <v>9</v>
      </c>
      <c r="F179" s="31" t="s">
        <v>146</v>
      </c>
      <c r="G179" s="31" t="s">
        <v>15</v>
      </c>
      <c r="H179" s="138" t="s">
        <v>22</v>
      </c>
      <c r="I179" s="108" t="s">
        <v>145</v>
      </c>
      <c r="J179" s="139">
        <v>600</v>
      </c>
      <c r="K179" s="140">
        <f t="shared" si="16"/>
        <v>1122</v>
      </c>
      <c r="L179" s="141">
        <v>1.87</v>
      </c>
      <c r="M179" s="142">
        <f>O176</f>
        <v>3535</v>
      </c>
      <c r="N179" s="142">
        <f t="shared" si="18"/>
        <v>600</v>
      </c>
      <c r="O179" s="143">
        <f t="shared" si="19"/>
        <v>2935</v>
      </c>
    </row>
    <row r="180" spans="1:15" ht="31" x14ac:dyDescent="0.35">
      <c r="A180" s="145">
        <v>46135</v>
      </c>
      <c r="B180" s="145" t="s">
        <v>724</v>
      </c>
      <c r="C180" s="135">
        <v>2</v>
      </c>
      <c r="D180" s="136" t="s">
        <v>8</v>
      </c>
      <c r="E180" s="30" t="s">
        <v>9</v>
      </c>
      <c r="F180" s="31" t="s">
        <v>139</v>
      </c>
      <c r="G180" s="31" t="s">
        <v>15</v>
      </c>
      <c r="H180" s="138" t="s">
        <v>227</v>
      </c>
      <c r="I180" s="108" t="s">
        <v>138</v>
      </c>
      <c r="J180" s="139">
        <f>470+125</f>
        <v>595</v>
      </c>
      <c r="K180" s="140">
        <f t="shared" si="16"/>
        <v>1362.55</v>
      </c>
      <c r="L180" s="141">
        <v>2.29</v>
      </c>
      <c r="M180" s="142">
        <v>7600</v>
      </c>
      <c r="N180" s="142">
        <f t="shared" si="18"/>
        <v>595</v>
      </c>
      <c r="O180" s="143">
        <f t="shared" si="19"/>
        <v>7005</v>
      </c>
    </row>
    <row r="181" spans="1:15" ht="31" x14ac:dyDescent="0.35">
      <c r="A181" s="145">
        <v>46136</v>
      </c>
      <c r="B181" s="145" t="s">
        <v>724</v>
      </c>
      <c r="C181" s="135">
        <v>2</v>
      </c>
      <c r="D181" s="136" t="s">
        <v>8</v>
      </c>
      <c r="E181" s="30" t="s">
        <v>9</v>
      </c>
      <c r="F181" s="31" t="s">
        <v>139</v>
      </c>
      <c r="G181" s="31" t="s">
        <v>15</v>
      </c>
      <c r="H181" s="138" t="s">
        <v>227</v>
      </c>
      <c r="I181" s="108" t="s">
        <v>138</v>
      </c>
      <c r="J181" s="139">
        <v>1375</v>
      </c>
      <c r="K181" s="140">
        <f t="shared" si="16"/>
        <v>3148.75</v>
      </c>
      <c r="L181" s="141">
        <v>2.29</v>
      </c>
      <c r="M181" s="142">
        <f>O180</f>
        <v>7005</v>
      </c>
      <c r="N181" s="142">
        <f t="shared" si="18"/>
        <v>1375</v>
      </c>
      <c r="O181" s="143">
        <f t="shared" si="19"/>
        <v>5630</v>
      </c>
    </row>
    <row r="182" spans="1:15" ht="15.5" x14ac:dyDescent="0.25">
      <c r="A182" s="145">
        <v>46136</v>
      </c>
      <c r="B182" s="145" t="s">
        <v>724</v>
      </c>
      <c r="C182" s="15">
        <v>1</v>
      </c>
      <c r="D182" s="15" t="s">
        <v>8</v>
      </c>
      <c r="E182" s="32" t="s">
        <v>190</v>
      </c>
      <c r="F182" s="32" t="s">
        <v>168</v>
      </c>
      <c r="G182" s="31" t="s">
        <v>158</v>
      </c>
      <c r="H182" s="32" t="s">
        <v>169</v>
      </c>
      <c r="I182" s="108" t="s">
        <v>170</v>
      </c>
      <c r="J182" s="15">
        <v>150</v>
      </c>
      <c r="K182" s="140">
        <f t="shared" si="16"/>
        <v>117.9</v>
      </c>
      <c r="L182" s="148">
        <v>0.78600000000000003</v>
      </c>
      <c r="M182" s="15">
        <f>O171</f>
        <v>7975</v>
      </c>
      <c r="N182" s="15">
        <f t="shared" si="18"/>
        <v>150</v>
      </c>
      <c r="O182" s="143">
        <f t="shared" si="19"/>
        <v>7825</v>
      </c>
    </row>
    <row r="183" spans="1:15" ht="31" x14ac:dyDescent="0.35">
      <c r="A183" s="149">
        <v>46137</v>
      </c>
      <c r="B183" s="145" t="s">
        <v>724</v>
      </c>
      <c r="C183" s="150">
        <v>2</v>
      </c>
      <c r="D183" s="151" t="s">
        <v>8</v>
      </c>
      <c r="E183" s="33" t="s">
        <v>9</v>
      </c>
      <c r="F183" s="152" t="s">
        <v>146</v>
      </c>
      <c r="G183" s="152" t="s">
        <v>15</v>
      </c>
      <c r="H183" s="153" t="s">
        <v>22</v>
      </c>
      <c r="I183" s="108" t="s">
        <v>145</v>
      </c>
      <c r="J183" s="154">
        <v>450</v>
      </c>
      <c r="K183" s="155">
        <f t="shared" si="16"/>
        <v>841.5</v>
      </c>
      <c r="L183" s="156">
        <v>1.87</v>
      </c>
      <c r="M183" s="157">
        <f>O179</f>
        <v>2935</v>
      </c>
      <c r="N183" s="157">
        <f t="shared" si="18"/>
        <v>450</v>
      </c>
      <c r="O183" s="158">
        <f t="shared" si="19"/>
        <v>2485</v>
      </c>
    </row>
    <row r="184" spans="1:15" ht="31" x14ac:dyDescent="0.35">
      <c r="A184" s="149">
        <v>46137</v>
      </c>
      <c r="B184" s="145" t="s">
        <v>724</v>
      </c>
      <c r="C184" s="150">
        <v>2</v>
      </c>
      <c r="D184" s="151" t="s">
        <v>8</v>
      </c>
      <c r="E184" s="33" t="s">
        <v>9</v>
      </c>
      <c r="F184" s="152" t="s">
        <v>139</v>
      </c>
      <c r="G184" s="152" t="s">
        <v>15</v>
      </c>
      <c r="H184" s="153" t="s">
        <v>227</v>
      </c>
      <c r="I184" s="108" t="s">
        <v>138</v>
      </c>
      <c r="J184" s="154">
        <v>250</v>
      </c>
      <c r="K184" s="155">
        <f t="shared" si="16"/>
        <v>572.5</v>
      </c>
      <c r="L184" s="156">
        <v>2.29</v>
      </c>
      <c r="M184" s="157">
        <f>O181</f>
        <v>5630</v>
      </c>
      <c r="N184" s="157">
        <f t="shared" si="18"/>
        <v>250</v>
      </c>
      <c r="O184" s="158">
        <f t="shared" si="19"/>
        <v>5380</v>
      </c>
    </row>
    <row r="185" spans="1:15" ht="31" x14ac:dyDescent="0.35">
      <c r="A185" s="149">
        <v>46137</v>
      </c>
      <c r="B185" s="145" t="s">
        <v>724</v>
      </c>
      <c r="C185" s="150">
        <v>2</v>
      </c>
      <c r="D185" s="151" t="s">
        <v>8</v>
      </c>
      <c r="E185" s="33" t="s">
        <v>9</v>
      </c>
      <c r="F185" s="152" t="s">
        <v>136</v>
      </c>
      <c r="G185" s="152" t="s">
        <v>15</v>
      </c>
      <c r="H185" s="34" t="s">
        <v>137</v>
      </c>
      <c r="I185" s="108" t="s">
        <v>135</v>
      </c>
      <c r="J185" s="154">
        <v>725</v>
      </c>
      <c r="K185" s="155">
        <f t="shared" si="16"/>
        <v>1450</v>
      </c>
      <c r="L185" s="156">
        <v>2</v>
      </c>
      <c r="M185" s="157" t="e">
        <f>'open order '!#REF!</f>
        <v>#REF!</v>
      </c>
      <c r="N185" s="157">
        <f t="shared" si="18"/>
        <v>725</v>
      </c>
      <c r="O185" s="158" t="e">
        <f t="shared" si="19"/>
        <v>#REF!</v>
      </c>
    </row>
    <row r="186" spans="1:15" ht="15.5" x14ac:dyDescent="0.25">
      <c r="A186" s="149">
        <v>46137</v>
      </c>
      <c r="B186" s="145" t="s">
        <v>724</v>
      </c>
      <c r="C186" s="109">
        <v>1</v>
      </c>
      <c r="D186" s="109" t="s">
        <v>8</v>
      </c>
      <c r="E186" s="34" t="s">
        <v>190</v>
      </c>
      <c r="F186" s="34" t="s">
        <v>168</v>
      </c>
      <c r="G186" s="152" t="s">
        <v>158</v>
      </c>
      <c r="H186" s="34" t="s">
        <v>169</v>
      </c>
      <c r="I186" s="108" t="s">
        <v>170</v>
      </c>
      <c r="J186" s="109">
        <v>400</v>
      </c>
      <c r="K186" s="155">
        <f t="shared" si="16"/>
        <v>314.40000000000003</v>
      </c>
      <c r="L186" s="159">
        <v>0.78600000000000003</v>
      </c>
      <c r="M186" s="109">
        <f>O182</f>
        <v>7825</v>
      </c>
      <c r="N186" s="109">
        <f t="shared" si="18"/>
        <v>400</v>
      </c>
      <c r="O186" s="158">
        <f t="shared" ref="O186:O217" si="20">M186-N186</f>
        <v>7425</v>
      </c>
    </row>
    <row r="187" spans="1:15" ht="31" x14ac:dyDescent="0.35">
      <c r="A187" s="149">
        <v>46139</v>
      </c>
      <c r="B187" s="145" t="s">
        <v>724</v>
      </c>
      <c r="C187" s="150">
        <v>2</v>
      </c>
      <c r="D187" s="151" t="s">
        <v>8</v>
      </c>
      <c r="E187" s="33" t="s">
        <v>9</v>
      </c>
      <c r="F187" s="152" t="s">
        <v>146</v>
      </c>
      <c r="G187" s="152" t="s">
        <v>15</v>
      </c>
      <c r="H187" s="153" t="s">
        <v>22</v>
      </c>
      <c r="I187" s="108" t="s">
        <v>145</v>
      </c>
      <c r="J187" s="154">
        <v>300</v>
      </c>
      <c r="K187" s="155">
        <f t="shared" si="16"/>
        <v>561</v>
      </c>
      <c r="L187" s="156">
        <v>1.87</v>
      </c>
      <c r="M187" s="157">
        <f>O183</f>
        <v>2485</v>
      </c>
      <c r="N187" s="157">
        <f t="shared" si="18"/>
        <v>300</v>
      </c>
      <c r="O187" s="158">
        <f t="shared" si="20"/>
        <v>2185</v>
      </c>
    </row>
    <row r="188" spans="1:15" ht="31" x14ac:dyDescent="0.35">
      <c r="A188" s="149">
        <v>46139</v>
      </c>
      <c r="B188" s="145" t="s">
        <v>724</v>
      </c>
      <c r="C188" s="150">
        <v>2</v>
      </c>
      <c r="D188" s="151" t="s">
        <v>8</v>
      </c>
      <c r="E188" s="33" t="s">
        <v>9</v>
      </c>
      <c r="F188" s="152" t="s">
        <v>139</v>
      </c>
      <c r="G188" s="152" t="s">
        <v>15</v>
      </c>
      <c r="H188" s="153" t="s">
        <v>227</v>
      </c>
      <c r="I188" s="108" t="s">
        <v>138</v>
      </c>
      <c r="J188" s="154">
        <v>250</v>
      </c>
      <c r="K188" s="155">
        <f t="shared" si="16"/>
        <v>572.5</v>
      </c>
      <c r="L188" s="156">
        <v>2.29</v>
      </c>
      <c r="M188" s="157">
        <f>O184</f>
        <v>5380</v>
      </c>
      <c r="N188" s="157">
        <f t="shared" si="18"/>
        <v>250</v>
      </c>
      <c r="O188" s="158">
        <f t="shared" si="20"/>
        <v>5130</v>
      </c>
    </row>
    <row r="189" spans="1:15" ht="31" x14ac:dyDescent="0.35">
      <c r="A189" s="149">
        <v>46139</v>
      </c>
      <c r="B189" s="145" t="s">
        <v>724</v>
      </c>
      <c r="C189" s="150">
        <v>2</v>
      </c>
      <c r="D189" s="151" t="s">
        <v>8</v>
      </c>
      <c r="E189" s="33" t="s">
        <v>9</v>
      </c>
      <c r="F189" s="152" t="s">
        <v>136</v>
      </c>
      <c r="G189" s="152" t="s">
        <v>15</v>
      </c>
      <c r="H189" s="34" t="s">
        <v>137</v>
      </c>
      <c r="I189" s="108" t="s">
        <v>135</v>
      </c>
      <c r="J189" s="154">
        <v>370</v>
      </c>
      <c r="K189" s="155">
        <f t="shared" si="16"/>
        <v>740</v>
      </c>
      <c r="L189" s="156">
        <v>2</v>
      </c>
      <c r="M189" s="157" t="e">
        <f>O185</f>
        <v>#REF!</v>
      </c>
      <c r="N189" s="157">
        <f t="shared" si="18"/>
        <v>370</v>
      </c>
      <c r="O189" s="158" t="e">
        <f t="shared" si="20"/>
        <v>#REF!</v>
      </c>
    </row>
    <row r="190" spans="1:15" ht="15.5" x14ac:dyDescent="0.25">
      <c r="A190" s="145">
        <v>46139</v>
      </c>
      <c r="B190" s="145" t="s">
        <v>724</v>
      </c>
      <c r="C190" s="15">
        <v>1</v>
      </c>
      <c r="D190" s="15" t="s">
        <v>8</v>
      </c>
      <c r="E190" s="32" t="s">
        <v>75</v>
      </c>
      <c r="F190" s="32" t="s">
        <v>87</v>
      </c>
      <c r="G190" s="15" t="s">
        <v>160</v>
      </c>
      <c r="H190" s="32" t="s">
        <v>88</v>
      </c>
      <c r="I190" s="108" t="s">
        <v>86</v>
      </c>
      <c r="J190" s="15">
        <v>120</v>
      </c>
      <c r="K190" s="140">
        <f t="shared" si="16"/>
        <v>638.40000000000009</v>
      </c>
      <c r="L190" s="148">
        <v>5.32</v>
      </c>
      <c r="M190" s="15">
        <f>O168</f>
        <v>380</v>
      </c>
      <c r="N190" s="15">
        <f t="shared" si="18"/>
        <v>120</v>
      </c>
      <c r="O190" s="143">
        <f t="shared" si="20"/>
        <v>260</v>
      </c>
    </row>
    <row r="191" spans="1:15" ht="31" x14ac:dyDescent="0.35">
      <c r="A191" s="149">
        <v>46140</v>
      </c>
      <c r="B191" s="145" t="s">
        <v>724</v>
      </c>
      <c r="C191" s="150">
        <v>2</v>
      </c>
      <c r="D191" s="151" t="s">
        <v>8</v>
      </c>
      <c r="E191" s="33" t="s">
        <v>9</v>
      </c>
      <c r="F191" s="152" t="s">
        <v>146</v>
      </c>
      <c r="G191" s="152" t="s">
        <v>15</v>
      </c>
      <c r="H191" s="153" t="s">
        <v>22</v>
      </c>
      <c r="I191" s="108" t="s">
        <v>145</v>
      </c>
      <c r="J191" s="154">
        <v>400</v>
      </c>
      <c r="K191" s="140">
        <f t="shared" si="16"/>
        <v>748</v>
      </c>
      <c r="L191" s="156">
        <v>1.87</v>
      </c>
      <c r="M191" s="157">
        <f>O187</f>
        <v>2185</v>
      </c>
      <c r="N191" s="157">
        <v>400</v>
      </c>
      <c r="O191" s="158">
        <f t="shared" si="20"/>
        <v>1785</v>
      </c>
    </row>
    <row r="192" spans="1:15" ht="31" x14ac:dyDescent="0.35">
      <c r="A192" s="149">
        <v>46140</v>
      </c>
      <c r="B192" s="145" t="s">
        <v>724</v>
      </c>
      <c r="C192" s="150">
        <v>2</v>
      </c>
      <c r="D192" s="151" t="s">
        <v>8</v>
      </c>
      <c r="E192" s="33" t="s">
        <v>9</v>
      </c>
      <c r="F192" s="152" t="s">
        <v>136</v>
      </c>
      <c r="G192" s="152" t="s">
        <v>15</v>
      </c>
      <c r="H192" s="34" t="s">
        <v>137</v>
      </c>
      <c r="I192" s="108" t="s">
        <v>135</v>
      </c>
      <c r="J192" s="154">
        <v>310</v>
      </c>
      <c r="K192" s="140">
        <f t="shared" si="16"/>
        <v>620</v>
      </c>
      <c r="L192" s="156">
        <v>2</v>
      </c>
      <c r="M192" s="157" t="e">
        <f>O189</f>
        <v>#REF!</v>
      </c>
      <c r="N192" s="157">
        <f>J192</f>
        <v>310</v>
      </c>
      <c r="O192" s="158" t="e">
        <f t="shared" si="20"/>
        <v>#REF!</v>
      </c>
    </row>
    <row r="193" spans="1:15" ht="15.5" x14ac:dyDescent="0.25">
      <c r="A193" s="145">
        <v>46140</v>
      </c>
      <c r="B193" s="145" t="s">
        <v>724</v>
      </c>
      <c r="C193" s="15">
        <v>1</v>
      </c>
      <c r="D193" s="15" t="s">
        <v>8</v>
      </c>
      <c r="E193" s="32" t="s">
        <v>75</v>
      </c>
      <c r="F193" s="32" t="s">
        <v>87</v>
      </c>
      <c r="G193" s="15" t="s">
        <v>160</v>
      </c>
      <c r="H193" s="32" t="s">
        <v>88</v>
      </c>
      <c r="I193" s="108" t="s">
        <v>86</v>
      </c>
      <c r="J193" s="15">
        <v>140</v>
      </c>
      <c r="K193" s="140">
        <f t="shared" si="16"/>
        <v>744.80000000000007</v>
      </c>
      <c r="L193" s="148">
        <v>5.32</v>
      </c>
      <c r="M193" s="15">
        <f>O190</f>
        <v>260</v>
      </c>
      <c r="N193" s="15">
        <f>J193</f>
        <v>140</v>
      </c>
      <c r="O193" s="143">
        <f t="shared" si="20"/>
        <v>120</v>
      </c>
    </row>
    <row r="194" spans="1:15" ht="31" x14ac:dyDescent="0.35">
      <c r="A194" s="149">
        <v>46141</v>
      </c>
      <c r="B194" s="145" t="s">
        <v>724</v>
      </c>
      <c r="C194" s="150">
        <v>2</v>
      </c>
      <c r="D194" s="151" t="s">
        <v>8</v>
      </c>
      <c r="E194" s="33" t="s">
        <v>9</v>
      </c>
      <c r="F194" s="152" t="s">
        <v>146</v>
      </c>
      <c r="G194" s="152" t="s">
        <v>15</v>
      </c>
      <c r="H194" s="153" t="s">
        <v>22</v>
      </c>
      <c r="I194" s="108" t="s">
        <v>145</v>
      </c>
      <c r="J194" s="154">
        <v>1200</v>
      </c>
      <c r="K194" s="140">
        <f t="shared" ref="K194:K257" si="21">L194*J194</f>
        <v>2244</v>
      </c>
      <c r="L194" s="156">
        <v>1.87</v>
      </c>
      <c r="M194" s="157">
        <f>O191</f>
        <v>1785</v>
      </c>
      <c r="N194" s="157">
        <f>J194</f>
        <v>1200</v>
      </c>
      <c r="O194" s="158">
        <f t="shared" si="20"/>
        <v>585</v>
      </c>
    </row>
    <row r="195" spans="1:15" ht="15.5" x14ac:dyDescent="0.25">
      <c r="A195" s="145">
        <v>46141</v>
      </c>
      <c r="B195" s="145" t="s">
        <v>724</v>
      </c>
      <c r="C195" s="15">
        <v>1</v>
      </c>
      <c r="D195" s="15" t="s">
        <v>8</v>
      </c>
      <c r="E195" s="32" t="s">
        <v>75</v>
      </c>
      <c r="F195" s="32" t="s">
        <v>87</v>
      </c>
      <c r="G195" s="15" t="s">
        <v>160</v>
      </c>
      <c r="H195" s="32" t="s">
        <v>88</v>
      </c>
      <c r="I195" s="108" t="s">
        <v>86</v>
      </c>
      <c r="J195" s="15">
        <v>120</v>
      </c>
      <c r="K195" s="140">
        <f t="shared" si="21"/>
        <v>638.40000000000009</v>
      </c>
      <c r="L195" s="148">
        <v>5.32</v>
      </c>
      <c r="M195" s="15">
        <f>O193</f>
        <v>120</v>
      </c>
      <c r="N195" s="15">
        <v>120</v>
      </c>
      <c r="O195" s="143">
        <f t="shared" si="20"/>
        <v>0</v>
      </c>
    </row>
    <row r="196" spans="1:15" ht="15.5" x14ac:dyDescent="0.25">
      <c r="A196" s="149">
        <v>46141</v>
      </c>
      <c r="B196" s="145" t="s">
        <v>724</v>
      </c>
      <c r="C196" s="109">
        <v>1</v>
      </c>
      <c r="D196" s="109" t="s">
        <v>8</v>
      </c>
      <c r="E196" s="34" t="s">
        <v>190</v>
      </c>
      <c r="F196" s="34" t="s">
        <v>168</v>
      </c>
      <c r="G196" s="152" t="s">
        <v>158</v>
      </c>
      <c r="H196" s="34" t="s">
        <v>169</v>
      </c>
      <c r="I196" s="108" t="s">
        <v>170</v>
      </c>
      <c r="J196" s="109">
        <v>150</v>
      </c>
      <c r="K196" s="155">
        <f t="shared" si="21"/>
        <v>117.9</v>
      </c>
      <c r="L196" s="159">
        <v>0.78600000000000003</v>
      </c>
      <c r="M196" s="109">
        <f>O186</f>
        <v>7425</v>
      </c>
      <c r="N196" s="109">
        <f t="shared" ref="N196:N227" si="22">J196</f>
        <v>150</v>
      </c>
      <c r="O196" s="158">
        <f t="shared" si="20"/>
        <v>7275</v>
      </c>
    </row>
    <row r="197" spans="1:15" ht="31" x14ac:dyDescent="0.35">
      <c r="A197" s="145">
        <v>46142</v>
      </c>
      <c r="B197" s="145" t="s">
        <v>724</v>
      </c>
      <c r="C197" s="135">
        <v>2</v>
      </c>
      <c r="D197" s="136" t="s">
        <v>8</v>
      </c>
      <c r="E197" s="30" t="s">
        <v>9</v>
      </c>
      <c r="F197" s="31" t="s">
        <v>152</v>
      </c>
      <c r="G197" s="31" t="s">
        <v>15</v>
      </c>
      <c r="H197" s="138" t="s">
        <v>22</v>
      </c>
      <c r="I197" s="108" t="s">
        <v>151</v>
      </c>
      <c r="J197" s="139">
        <f>525+750</f>
        <v>1275</v>
      </c>
      <c r="K197" s="140">
        <f t="shared" si="21"/>
        <v>2830.5000000000005</v>
      </c>
      <c r="L197" s="141">
        <v>2.2200000000000002</v>
      </c>
      <c r="M197" s="142">
        <f>O178</f>
        <v>1635</v>
      </c>
      <c r="N197" s="142">
        <f t="shared" si="22"/>
        <v>1275</v>
      </c>
      <c r="O197" s="143">
        <f t="shared" si="20"/>
        <v>360</v>
      </c>
    </row>
    <row r="198" spans="1:15" ht="31" x14ac:dyDescent="0.35">
      <c r="A198" s="149">
        <v>46143</v>
      </c>
      <c r="B198" s="149" t="s">
        <v>725</v>
      </c>
      <c r="C198" s="150">
        <v>2</v>
      </c>
      <c r="D198" s="151" t="s">
        <v>8</v>
      </c>
      <c r="E198" s="33" t="s">
        <v>9</v>
      </c>
      <c r="F198" s="152" t="s">
        <v>146</v>
      </c>
      <c r="G198" s="152" t="s">
        <v>15</v>
      </c>
      <c r="H198" s="153" t="s">
        <v>22</v>
      </c>
      <c r="I198" s="108" t="s">
        <v>145</v>
      </c>
      <c r="J198" s="154">
        <f>130+280</f>
        <v>410</v>
      </c>
      <c r="K198" s="140">
        <f t="shared" si="21"/>
        <v>766.7</v>
      </c>
      <c r="L198" s="156">
        <v>1.87</v>
      </c>
      <c r="M198" s="157">
        <f>O194</f>
        <v>585</v>
      </c>
      <c r="N198" s="157">
        <f t="shared" si="22"/>
        <v>410</v>
      </c>
      <c r="O198" s="158">
        <f t="shared" si="20"/>
        <v>175</v>
      </c>
    </row>
    <row r="199" spans="1:15" ht="15.5" x14ac:dyDescent="0.25">
      <c r="A199" s="149">
        <v>46143</v>
      </c>
      <c r="B199" s="149" t="s">
        <v>725</v>
      </c>
      <c r="C199" s="15">
        <v>1</v>
      </c>
      <c r="D199" s="15" t="s">
        <v>8</v>
      </c>
      <c r="E199" s="32" t="s">
        <v>75</v>
      </c>
      <c r="F199" s="32" t="s">
        <v>84</v>
      </c>
      <c r="G199" s="15" t="s">
        <v>160</v>
      </c>
      <c r="H199" s="32" t="s">
        <v>85</v>
      </c>
      <c r="I199" s="108" t="s">
        <v>83</v>
      </c>
      <c r="J199" s="15">
        <v>75</v>
      </c>
      <c r="K199" s="140">
        <f t="shared" si="21"/>
        <v>346.5</v>
      </c>
      <c r="L199" s="148">
        <v>4.62</v>
      </c>
      <c r="M199" s="15">
        <v>1200</v>
      </c>
      <c r="N199" s="15">
        <f t="shared" si="22"/>
        <v>75</v>
      </c>
      <c r="O199" s="143">
        <f t="shared" si="20"/>
        <v>1125</v>
      </c>
    </row>
    <row r="200" spans="1:15" ht="15.5" x14ac:dyDescent="0.25">
      <c r="A200" s="149">
        <v>46143</v>
      </c>
      <c r="B200" s="149" t="s">
        <v>725</v>
      </c>
      <c r="C200" s="109">
        <v>1</v>
      </c>
      <c r="D200" s="109" t="s">
        <v>8</v>
      </c>
      <c r="E200" s="34" t="s">
        <v>190</v>
      </c>
      <c r="F200" s="34" t="s">
        <v>168</v>
      </c>
      <c r="G200" s="152" t="s">
        <v>158</v>
      </c>
      <c r="H200" s="34" t="s">
        <v>169</v>
      </c>
      <c r="I200" s="108" t="s">
        <v>170</v>
      </c>
      <c r="J200" s="109">
        <v>150</v>
      </c>
      <c r="K200" s="155">
        <f t="shared" si="21"/>
        <v>117.9</v>
      </c>
      <c r="L200" s="159">
        <v>0.78600000000000003</v>
      </c>
      <c r="M200" s="109">
        <f>O196</f>
        <v>7275</v>
      </c>
      <c r="N200" s="109">
        <f t="shared" si="22"/>
        <v>150</v>
      </c>
      <c r="O200" s="158">
        <f t="shared" si="20"/>
        <v>7125</v>
      </c>
    </row>
    <row r="201" spans="1:15" ht="31" x14ac:dyDescent="0.35">
      <c r="A201" s="149">
        <v>46143</v>
      </c>
      <c r="B201" s="149" t="s">
        <v>725</v>
      </c>
      <c r="C201" s="135">
        <v>2</v>
      </c>
      <c r="D201" s="136" t="s">
        <v>8</v>
      </c>
      <c r="E201" s="30" t="s">
        <v>9</v>
      </c>
      <c r="F201" s="31" t="s">
        <v>152</v>
      </c>
      <c r="G201" s="31" t="s">
        <v>15</v>
      </c>
      <c r="H201" s="138" t="s">
        <v>22</v>
      </c>
      <c r="I201" s="108" t="s">
        <v>151</v>
      </c>
      <c r="J201" s="139">
        <f>135+225</f>
        <v>360</v>
      </c>
      <c r="K201" s="140">
        <f t="shared" si="21"/>
        <v>799.2</v>
      </c>
      <c r="L201" s="141">
        <v>2.2200000000000002</v>
      </c>
      <c r="M201" s="142">
        <f>O197</f>
        <v>360</v>
      </c>
      <c r="N201" s="142">
        <f t="shared" si="22"/>
        <v>360</v>
      </c>
      <c r="O201" s="143">
        <f t="shared" si="20"/>
        <v>0</v>
      </c>
    </row>
    <row r="202" spans="1:15" ht="31" x14ac:dyDescent="0.35">
      <c r="A202" s="149">
        <v>46144</v>
      </c>
      <c r="B202" s="149" t="s">
        <v>725</v>
      </c>
      <c r="C202" s="150">
        <v>2</v>
      </c>
      <c r="D202" s="151" t="s">
        <v>8</v>
      </c>
      <c r="E202" s="33" t="s">
        <v>9</v>
      </c>
      <c r="F202" s="152" t="s">
        <v>146</v>
      </c>
      <c r="G202" s="152" t="s">
        <v>15</v>
      </c>
      <c r="H202" s="153" t="s">
        <v>22</v>
      </c>
      <c r="I202" s="108" t="s">
        <v>145</v>
      </c>
      <c r="J202" s="154">
        <v>175</v>
      </c>
      <c r="K202" s="140">
        <f t="shared" si="21"/>
        <v>327.25</v>
      </c>
      <c r="L202" s="156">
        <v>1.87</v>
      </c>
      <c r="M202" s="157">
        <f>O198</f>
        <v>175</v>
      </c>
      <c r="N202" s="157">
        <f t="shared" si="22"/>
        <v>175</v>
      </c>
      <c r="O202" s="158">
        <f t="shared" si="20"/>
        <v>0</v>
      </c>
    </row>
    <row r="203" spans="1:15" ht="15.5" x14ac:dyDescent="0.25">
      <c r="A203" s="149">
        <v>46144</v>
      </c>
      <c r="B203" s="149" t="s">
        <v>725</v>
      </c>
      <c r="C203" s="15">
        <v>1</v>
      </c>
      <c r="D203" s="15" t="s">
        <v>8</v>
      </c>
      <c r="E203" s="32" t="s">
        <v>75</v>
      </c>
      <c r="F203" s="32" t="s">
        <v>84</v>
      </c>
      <c r="G203" s="15" t="s">
        <v>160</v>
      </c>
      <c r="H203" s="32" t="s">
        <v>85</v>
      </c>
      <c r="I203" s="108" t="s">
        <v>83</v>
      </c>
      <c r="J203" s="15">
        <v>100</v>
      </c>
      <c r="K203" s="140">
        <f t="shared" si="21"/>
        <v>462</v>
      </c>
      <c r="L203" s="148">
        <v>4.62</v>
      </c>
      <c r="M203" s="15">
        <f>O199</f>
        <v>1125</v>
      </c>
      <c r="N203" s="15">
        <f t="shared" si="22"/>
        <v>100</v>
      </c>
      <c r="O203" s="143">
        <f t="shared" si="20"/>
        <v>1025</v>
      </c>
    </row>
    <row r="204" spans="1:15" ht="15.5" x14ac:dyDescent="0.25">
      <c r="A204" s="149">
        <v>46144</v>
      </c>
      <c r="B204" s="149" t="s">
        <v>725</v>
      </c>
      <c r="C204" s="109">
        <v>1</v>
      </c>
      <c r="D204" s="109" t="s">
        <v>8</v>
      </c>
      <c r="E204" s="34" t="s">
        <v>190</v>
      </c>
      <c r="F204" s="34" t="s">
        <v>168</v>
      </c>
      <c r="G204" s="152" t="s">
        <v>158</v>
      </c>
      <c r="H204" s="34" t="s">
        <v>169</v>
      </c>
      <c r="I204" s="108" t="s">
        <v>170</v>
      </c>
      <c r="J204" s="109">
        <v>150</v>
      </c>
      <c r="K204" s="155">
        <f t="shared" si="21"/>
        <v>117.9</v>
      </c>
      <c r="L204" s="159">
        <v>0.78600000000000003</v>
      </c>
      <c r="M204" s="109">
        <f>O200</f>
        <v>7125</v>
      </c>
      <c r="N204" s="109">
        <f t="shared" si="22"/>
        <v>150</v>
      </c>
      <c r="O204" s="158">
        <f t="shared" si="20"/>
        <v>6975</v>
      </c>
    </row>
    <row r="205" spans="1:15" ht="31" x14ac:dyDescent="0.35">
      <c r="A205" s="149">
        <v>46144</v>
      </c>
      <c r="B205" s="149" t="s">
        <v>725</v>
      </c>
      <c r="C205" s="150">
        <v>2</v>
      </c>
      <c r="D205" s="151" t="s">
        <v>8</v>
      </c>
      <c r="E205" s="33" t="s">
        <v>9</v>
      </c>
      <c r="F205" s="152" t="s">
        <v>139</v>
      </c>
      <c r="G205" s="152" t="s">
        <v>15</v>
      </c>
      <c r="H205" s="153" t="s">
        <v>227</v>
      </c>
      <c r="I205" s="108" t="s">
        <v>138</v>
      </c>
      <c r="J205" s="154">
        <v>300</v>
      </c>
      <c r="K205" s="155">
        <f t="shared" si="21"/>
        <v>687</v>
      </c>
      <c r="L205" s="156">
        <v>2.29</v>
      </c>
      <c r="M205" s="157">
        <f>O188</f>
        <v>5130</v>
      </c>
      <c r="N205" s="157">
        <f t="shared" si="22"/>
        <v>300</v>
      </c>
      <c r="O205" s="158">
        <f t="shared" si="20"/>
        <v>4830</v>
      </c>
    </row>
    <row r="206" spans="1:15" ht="31" x14ac:dyDescent="0.35">
      <c r="A206" s="149">
        <v>46144</v>
      </c>
      <c r="B206" s="149" t="s">
        <v>725</v>
      </c>
      <c r="C206" s="150">
        <v>2</v>
      </c>
      <c r="D206" s="151" t="s">
        <v>8</v>
      </c>
      <c r="E206" s="33" t="s">
        <v>9</v>
      </c>
      <c r="F206" s="152" t="s">
        <v>136</v>
      </c>
      <c r="G206" s="152" t="s">
        <v>15</v>
      </c>
      <c r="H206" s="34" t="s">
        <v>137</v>
      </c>
      <c r="I206" s="108" t="s">
        <v>135</v>
      </c>
      <c r="J206" s="154">
        <v>315</v>
      </c>
      <c r="K206" s="155">
        <f t="shared" si="21"/>
        <v>630</v>
      </c>
      <c r="L206" s="156">
        <v>2</v>
      </c>
      <c r="M206" s="157" t="e">
        <f>O192</f>
        <v>#REF!</v>
      </c>
      <c r="N206" s="157">
        <f t="shared" si="22"/>
        <v>315</v>
      </c>
      <c r="O206" s="158" t="e">
        <f t="shared" si="20"/>
        <v>#REF!</v>
      </c>
    </row>
    <row r="207" spans="1:15" ht="15.5" x14ac:dyDescent="0.25">
      <c r="A207" s="149">
        <v>46146</v>
      </c>
      <c r="B207" s="149" t="s">
        <v>725</v>
      </c>
      <c r="C207" s="15">
        <v>1</v>
      </c>
      <c r="D207" s="15" t="s">
        <v>8</v>
      </c>
      <c r="E207" s="32" t="s">
        <v>75</v>
      </c>
      <c r="F207" s="32" t="s">
        <v>84</v>
      </c>
      <c r="G207" s="15" t="s">
        <v>160</v>
      </c>
      <c r="H207" s="32" t="s">
        <v>85</v>
      </c>
      <c r="I207" s="108" t="s">
        <v>83</v>
      </c>
      <c r="J207" s="15">
        <f>50</f>
        <v>50</v>
      </c>
      <c r="K207" s="140">
        <f t="shared" si="21"/>
        <v>231</v>
      </c>
      <c r="L207" s="148">
        <v>4.62</v>
      </c>
      <c r="M207" s="15">
        <f>O203</f>
        <v>1025</v>
      </c>
      <c r="N207" s="15">
        <f t="shared" si="22"/>
        <v>50</v>
      </c>
      <c r="O207" s="143">
        <f t="shared" si="20"/>
        <v>975</v>
      </c>
    </row>
    <row r="208" spans="1:15" ht="15.5" x14ac:dyDescent="0.25">
      <c r="A208" s="149">
        <v>46146</v>
      </c>
      <c r="B208" s="149" t="s">
        <v>725</v>
      </c>
      <c r="C208" s="109">
        <v>1</v>
      </c>
      <c r="D208" s="109" t="s">
        <v>8</v>
      </c>
      <c r="E208" s="34" t="s">
        <v>190</v>
      </c>
      <c r="F208" s="34" t="s">
        <v>168</v>
      </c>
      <c r="G208" s="152" t="s">
        <v>158</v>
      </c>
      <c r="H208" s="34" t="s">
        <v>169</v>
      </c>
      <c r="I208" s="108" t="s">
        <v>170</v>
      </c>
      <c r="J208" s="109">
        <v>570</v>
      </c>
      <c r="K208" s="155">
        <f t="shared" si="21"/>
        <v>448.02000000000004</v>
      </c>
      <c r="L208" s="159">
        <v>0.78600000000000003</v>
      </c>
      <c r="M208" s="109">
        <f>O204</f>
        <v>6975</v>
      </c>
      <c r="N208" s="109">
        <f t="shared" si="22"/>
        <v>570</v>
      </c>
      <c r="O208" s="158">
        <f t="shared" si="20"/>
        <v>6405</v>
      </c>
    </row>
    <row r="209" spans="1:15" ht="31" x14ac:dyDescent="0.35">
      <c r="A209" s="149">
        <v>46146</v>
      </c>
      <c r="B209" s="149" t="s">
        <v>725</v>
      </c>
      <c r="C209" s="150">
        <v>2</v>
      </c>
      <c r="D209" s="151" t="s">
        <v>8</v>
      </c>
      <c r="E209" s="33" t="s">
        <v>9</v>
      </c>
      <c r="F209" s="152" t="s">
        <v>139</v>
      </c>
      <c r="G209" s="152" t="s">
        <v>15</v>
      </c>
      <c r="H209" s="153" t="s">
        <v>227</v>
      </c>
      <c r="I209" s="108" t="s">
        <v>138</v>
      </c>
      <c r="J209" s="154">
        <v>650</v>
      </c>
      <c r="K209" s="155">
        <f t="shared" si="21"/>
        <v>1488.5</v>
      </c>
      <c r="L209" s="156">
        <v>2.29</v>
      </c>
      <c r="M209" s="157">
        <f>O205</f>
        <v>4830</v>
      </c>
      <c r="N209" s="157">
        <f t="shared" si="22"/>
        <v>650</v>
      </c>
      <c r="O209" s="158">
        <f t="shared" si="20"/>
        <v>4180</v>
      </c>
    </row>
    <row r="210" spans="1:15" ht="31" x14ac:dyDescent="0.35">
      <c r="A210" s="149">
        <v>46146</v>
      </c>
      <c r="B210" s="149" t="s">
        <v>725</v>
      </c>
      <c r="C210" s="150">
        <v>2</v>
      </c>
      <c r="D210" s="151" t="s">
        <v>8</v>
      </c>
      <c r="E210" s="33" t="s">
        <v>234</v>
      </c>
      <c r="F210" s="15" t="s">
        <v>251</v>
      </c>
      <c r="G210" s="152" t="s">
        <v>15</v>
      </c>
      <c r="H210" s="153" t="s">
        <v>163</v>
      </c>
      <c r="I210" s="109" t="s">
        <v>161</v>
      </c>
      <c r="J210" s="154">
        <v>250</v>
      </c>
      <c r="K210" s="155">
        <f t="shared" si="21"/>
        <v>570</v>
      </c>
      <c r="L210" s="156">
        <v>2.2799999999999998</v>
      </c>
      <c r="M210" s="157">
        <v>250</v>
      </c>
      <c r="N210" s="157">
        <f t="shared" si="22"/>
        <v>250</v>
      </c>
      <c r="O210" s="158">
        <f t="shared" si="20"/>
        <v>0</v>
      </c>
    </row>
    <row r="211" spans="1:15" ht="15.5" x14ac:dyDescent="0.35">
      <c r="A211" s="149">
        <v>46146</v>
      </c>
      <c r="B211" s="149" t="s">
        <v>725</v>
      </c>
      <c r="C211" s="150">
        <v>2</v>
      </c>
      <c r="D211" s="151" t="s">
        <v>8</v>
      </c>
      <c r="E211" s="33" t="s">
        <v>172</v>
      </c>
      <c r="F211" s="152" t="s">
        <v>125</v>
      </c>
      <c r="G211" s="152" t="s">
        <v>158</v>
      </c>
      <c r="H211" s="153" t="s">
        <v>90</v>
      </c>
      <c r="I211" s="108" t="s">
        <v>182</v>
      </c>
      <c r="J211" s="154">
        <v>100</v>
      </c>
      <c r="K211" s="155">
        <f t="shared" si="21"/>
        <v>136</v>
      </c>
      <c r="L211" s="156">
        <v>1.36</v>
      </c>
      <c r="M211" s="157">
        <v>300</v>
      </c>
      <c r="N211" s="157">
        <f t="shared" si="22"/>
        <v>100</v>
      </c>
      <c r="O211" s="158">
        <f t="shared" si="20"/>
        <v>200</v>
      </c>
    </row>
    <row r="212" spans="1:15" ht="15.5" x14ac:dyDescent="0.35">
      <c r="A212" s="149">
        <v>46146</v>
      </c>
      <c r="B212" s="149" t="s">
        <v>725</v>
      </c>
      <c r="C212" s="150">
        <v>2</v>
      </c>
      <c r="D212" s="151" t="s">
        <v>8</v>
      </c>
      <c r="E212" s="33" t="s">
        <v>235</v>
      </c>
      <c r="F212" s="152" t="s">
        <v>203</v>
      </c>
      <c r="G212" s="152" t="s">
        <v>141</v>
      </c>
      <c r="H212" s="153" t="s">
        <v>236</v>
      </c>
      <c r="I212" s="108" t="s">
        <v>202</v>
      </c>
      <c r="J212" s="154">
        <v>200</v>
      </c>
      <c r="K212" s="155">
        <f t="shared" si="21"/>
        <v>376</v>
      </c>
      <c r="L212" s="156">
        <v>1.88</v>
      </c>
      <c r="M212" s="157">
        <v>1200</v>
      </c>
      <c r="N212" s="157">
        <f t="shared" si="22"/>
        <v>200</v>
      </c>
      <c r="O212" s="158">
        <f t="shared" si="20"/>
        <v>1000</v>
      </c>
    </row>
    <row r="213" spans="1:15" ht="15.5" x14ac:dyDescent="0.25">
      <c r="A213" s="149">
        <v>46147</v>
      </c>
      <c r="B213" s="149" t="s">
        <v>725</v>
      </c>
      <c r="C213" s="109">
        <v>1</v>
      </c>
      <c r="D213" s="109" t="s">
        <v>8</v>
      </c>
      <c r="E213" s="34" t="s">
        <v>190</v>
      </c>
      <c r="F213" s="34" t="s">
        <v>168</v>
      </c>
      <c r="G213" s="152" t="s">
        <v>158</v>
      </c>
      <c r="H213" s="34" t="s">
        <v>169</v>
      </c>
      <c r="I213" s="108" t="s">
        <v>170</v>
      </c>
      <c r="J213" s="109">
        <v>475</v>
      </c>
      <c r="K213" s="155">
        <f t="shared" si="21"/>
        <v>373.35</v>
      </c>
      <c r="L213" s="159">
        <v>0.78600000000000003</v>
      </c>
      <c r="M213" s="109">
        <f>O208</f>
        <v>6405</v>
      </c>
      <c r="N213" s="109">
        <f t="shared" si="22"/>
        <v>475</v>
      </c>
      <c r="O213" s="158">
        <f t="shared" si="20"/>
        <v>5930</v>
      </c>
    </row>
    <row r="214" spans="1:15" ht="31" x14ac:dyDescent="0.35">
      <c r="A214" s="149">
        <v>46147</v>
      </c>
      <c r="B214" s="149" t="s">
        <v>725</v>
      </c>
      <c r="C214" s="150">
        <v>2</v>
      </c>
      <c r="D214" s="151" t="s">
        <v>8</v>
      </c>
      <c r="E214" s="33" t="s">
        <v>9</v>
      </c>
      <c r="F214" s="152" t="s">
        <v>139</v>
      </c>
      <c r="G214" s="152" t="s">
        <v>15</v>
      </c>
      <c r="H214" s="153" t="s">
        <v>227</v>
      </c>
      <c r="I214" s="108" t="s">
        <v>138</v>
      </c>
      <c r="J214" s="154">
        <v>1100</v>
      </c>
      <c r="K214" s="155">
        <f t="shared" si="21"/>
        <v>2519</v>
      </c>
      <c r="L214" s="156">
        <v>2.29</v>
      </c>
      <c r="M214" s="157">
        <f>O209</f>
        <v>4180</v>
      </c>
      <c r="N214" s="157">
        <f t="shared" si="22"/>
        <v>1100</v>
      </c>
      <c r="O214" s="158">
        <f t="shared" si="20"/>
        <v>3080</v>
      </c>
    </row>
    <row r="215" spans="1:15" ht="15.5" x14ac:dyDescent="0.35">
      <c r="A215" s="149">
        <v>46147</v>
      </c>
      <c r="B215" s="149" t="s">
        <v>725</v>
      </c>
      <c r="C215" s="150">
        <v>2</v>
      </c>
      <c r="D215" s="151" t="s">
        <v>8</v>
      </c>
      <c r="E215" s="33" t="s">
        <v>172</v>
      </c>
      <c r="F215" s="152" t="s">
        <v>125</v>
      </c>
      <c r="G215" s="152" t="s">
        <v>158</v>
      </c>
      <c r="H215" s="153" t="s">
        <v>90</v>
      </c>
      <c r="I215" s="108" t="s">
        <v>182</v>
      </c>
      <c r="J215" s="154">
        <v>200</v>
      </c>
      <c r="K215" s="155">
        <f t="shared" si="21"/>
        <v>272</v>
      </c>
      <c r="L215" s="156">
        <v>1.36</v>
      </c>
      <c r="M215" s="157">
        <f>O211</f>
        <v>200</v>
      </c>
      <c r="N215" s="157">
        <f t="shared" si="22"/>
        <v>200</v>
      </c>
      <c r="O215" s="158">
        <f t="shared" si="20"/>
        <v>0</v>
      </c>
    </row>
    <row r="216" spans="1:15" ht="15.5" x14ac:dyDescent="0.35">
      <c r="A216" s="149">
        <v>46147</v>
      </c>
      <c r="B216" s="149" t="s">
        <v>725</v>
      </c>
      <c r="C216" s="150">
        <v>2</v>
      </c>
      <c r="D216" s="151" t="s">
        <v>8</v>
      </c>
      <c r="E216" s="33" t="s">
        <v>235</v>
      </c>
      <c r="F216" s="152" t="s">
        <v>203</v>
      </c>
      <c r="G216" s="152" t="s">
        <v>141</v>
      </c>
      <c r="H216" s="153" t="s">
        <v>236</v>
      </c>
      <c r="I216" s="108" t="s">
        <v>202</v>
      </c>
      <c r="J216" s="154">
        <v>725</v>
      </c>
      <c r="K216" s="155">
        <f t="shared" si="21"/>
        <v>1363</v>
      </c>
      <c r="L216" s="156">
        <v>1.88</v>
      </c>
      <c r="M216" s="157">
        <f>O212</f>
        <v>1000</v>
      </c>
      <c r="N216" s="157">
        <f t="shared" si="22"/>
        <v>725</v>
      </c>
      <c r="O216" s="158">
        <f t="shared" si="20"/>
        <v>275</v>
      </c>
    </row>
    <row r="217" spans="1:15" ht="15.5" x14ac:dyDescent="0.25">
      <c r="A217" s="149">
        <v>46148</v>
      </c>
      <c r="B217" s="149" t="s">
        <v>725</v>
      </c>
      <c r="C217" s="109">
        <v>1</v>
      </c>
      <c r="D217" s="109" t="s">
        <v>8</v>
      </c>
      <c r="E217" s="34" t="s">
        <v>190</v>
      </c>
      <c r="F217" s="34" t="s">
        <v>168</v>
      </c>
      <c r="G217" s="152" t="s">
        <v>158</v>
      </c>
      <c r="H217" s="34" t="s">
        <v>169</v>
      </c>
      <c r="I217" s="108" t="s">
        <v>170</v>
      </c>
      <c r="J217" s="109">
        <v>500</v>
      </c>
      <c r="K217" s="155">
        <f t="shared" si="21"/>
        <v>393</v>
      </c>
      <c r="L217" s="159">
        <v>0.78600000000000003</v>
      </c>
      <c r="M217" s="109">
        <f>O213</f>
        <v>5930</v>
      </c>
      <c r="N217" s="109">
        <f t="shared" si="22"/>
        <v>500</v>
      </c>
      <c r="O217" s="158">
        <f t="shared" si="20"/>
        <v>5430</v>
      </c>
    </row>
    <row r="218" spans="1:15" ht="31" x14ac:dyDescent="0.35">
      <c r="A218" s="149">
        <v>46148</v>
      </c>
      <c r="B218" s="149" t="s">
        <v>725</v>
      </c>
      <c r="C218" s="150">
        <v>2</v>
      </c>
      <c r="D218" s="151" t="s">
        <v>8</v>
      </c>
      <c r="E218" s="33" t="s">
        <v>9</v>
      </c>
      <c r="F218" s="152" t="s">
        <v>139</v>
      </c>
      <c r="G218" s="152" t="s">
        <v>15</v>
      </c>
      <c r="H218" s="153" t="s">
        <v>227</v>
      </c>
      <c r="I218" s="108" t="s">
        <v>138</v>
      </c>
      <c r="J218" s="154">
        <v>450</v>
      </c>
      <c r="K218" s="155">
        <f t="shared" si="21"/>
        <v>1030.5</v>
      </c>
      <c r="L218" s="156">
        <v>2.29</v>
      </c>
      <c r="M218" s="157">
        <f>O214</f>
        <v>3080</v>
      </c>
      <c r="N218" s="157">
        <f t="shared" si="22"/>
        <v>450</v>
      </c>
      <c r="O218" s="158">
        <f t="shared" ref="O218:O240" si="23">M218-N218</f>
        <v>2630</v>
      </c>
    </row>
    <row r="219" spans="1:15" ht="15.5" x14ac:dyDescent="0.35">
      <c r="A219" s="149">
        <v>46148</v>
      </c>
      <c r="B219" s="149" t="s">
        <v>725</v>
      </c>
      <c r="C219" s="150">
        <v>2</v>
      </c>
      <c r="D219" s="151" t="s">
        <v>8</v>
      </c>
      <c r="E219" s="33" t="s">
        <v>235</v>
      </c>
      <c r="F219" s="152" t="s">
        <v>203</v>
      </c>
      <c r="G219" s="152" t="s">
        <v>141</v>
      </c>
      <c r="H219" s="153" t="s">
        <v>236</v>
      </c>
      <c r="I219" s="108" t="s">
        <v>202</v>
      </c>
      <c r="J219" s="154">
        <v>275</v>
      </c>
      <c r="K219" s="155">
        <f t="shared" si="21"/>
        <v>517</v>
      </c>
      <c r="L219" s="156">
        <v>1.88</v>
      </c>
      <c r="M219" s="157">
        <f>O216</f>
        <v>275</v>
      </c>
      <c r="N219" s="157">
        <f t="shared" si="22"/>
        <v>275</v>
      </c>
      <c r="O219" s="158">
        <f t="shared" si="23"/>
        <v>0</v>
      </c>
    </row>
    <row r="220" spans="1:15" ht="15.5" x14ac:dyDescent="0.35">
      <c r="A220" s="149">
        <v>46148</v>
      </c>
      <c r="B220" s="149" t="s">
        <v>725</v>
      </c>
      <c r="C220" s="150">
        <v>2</v>
      </c>
      <c r="D220" s="151" t="s">
        <v>8</v>
      </c>
      <c r="E220" s="33" t="s">
        <v>235</v>
      </c>
      <c r="F220" s="34" t="s">
        <v>192</v>
      </c>
      <c r="G220" s="34" t="s">
        <v>194</v>
      </c>
      <c r="H220" s="34" t="s">
        <v>193</v>
      </c>
      <c r="I220" s="34" t="s">
        <v>191</v>
      </c>
      <c r="J220" s="154">
        <v>225</v>
      </c>
      <c r="K220" s="155">
        <f t="shared" si="21"/>
        <v>353.25</v>
      </c>
      <c r="L220" s="156">
        <v>1.57</v>
      </c>
      <c r="M220" s="157">
        <v>1440</v>
      </c>
      <c r="N220" s="157">
        <f t="shared" si="22"/>
        <v>225</v>
      </c>
      <c r="O220" s="158">
        <f t="shared" si="23"/>
        <v>1215</v>
      </c>
    </row>
    <row r="221" spans="1:15" ht="15.5" x14ac:dyDescent="0.35">
      <c r="A221" s="149">
        <v>46148</v>
      </c>
      <c r="B221" s="149" t="s">
        <v>725</v>
      </c>
      <c r="C221" s="150">
        <v>2</v>
      </c>
      <c r="D221" s="151" t="s">
        <v>8</v>
      </c>
      <c r="E221" s="33" t="s">
        <v>235</v>
      </c>
      <c r="F221" s="34" t="s">
        <v>206</v>
      </c>
      <c r="G221" s="34" t="s">
        <v>194</v>
      </c>
      <c r="H221" s="34" t="s">
        <v>207</v>
      </c>
      <c r="I221" s="34" t="s">
        <v>205</v>
      </c>
      <c r="J221" s="15">
        <v>370</v>
      </c>
      <c r="K221" s="15">
        <f t="shared" si="21"/>
        <v>777</v>
      </c>
      <c r="L221" s="15">
        <v>2.1</v>
      </c>
      <c r="M221" s="15">
        <v>370</v>
      </c>
      <c r="N221" s="15">
        <f t="shared" si="22"/>
        <v>370</v>
      </c>
      <c r="O221" s="158">
        <f t="shared" si="23"/>
        <v>0</v>
      </c>
    </row>
    <row r="222" spans="1:15" ht="15.5" x14ac:dyDescent="0.25">
      <c r="A222" s="149">
        <v>46149</v>
      </c>
      <c r="B222" s="149" t="s">
        <v>725</v>
      </c>
      <c r="C222" s="109">
        <v>1</v>
      </c>
      <c r="D222" s="109" t="s">
        <v>8</v>
      </c>
      <c r="E222" s="34" t="s">
        <v>190</v>
      </c>
      <c r="F222" s="34" t="s">
        <v>168</v>
      </c>
      <c r="G222" s="152" t="s">
        <v>158</v>
      </c>
      <c r="H222" s="34" t="s">
        <v>169</v>
      </c>
      <c r="I222" s="108" t="s">
        <v>170</v>
      </c>
      <c r="J222" s="109">
        <v>875</v>
      </c>
      <c r="K222" s="155">
        <f t="shared" si="21"/>
        <v>687.75</v>
      </c>
      <c r="L222" s="159">
        <v>0.78600000000000003</v>
      </c>
      <c r="M222" s="109">
        <f>O217</f>
        <v>5430</v>
      </c>
      <c r="N222" s="109">
        <f t="shared" si="22"/>
        <v>875</v>
      </c>
      <c r="O222" s="158">
        <f t="shared" si="23"/>
        <v>4555</v>
      </c>
    </row>
    <row r="223" spans="1:15" ht="31" x14ac:dyDescent="0.35">
      <c r="A223" s="149">
        <v>46149</v>
      </c>
      <c r="B223" s="149" t="s">
        <v>725</v>
      </c>
      <c r="C223" s="150">
        <v>2</v>
      </c>
      <c r="D223" s="151" t="s">
        <v>8</v>
      </c>
      <c r="E223" s="33" t="s">
        <v>9</v>
      </c>
      <c r="F223" s="152" t="s">
        <v>139</v>
      </c>
      <c r="G223" s="152" t="s">
        <v>15</v>
      </c>
      <c r="H223" s="153" t="s">
        <v>227</v>
      </c>
      <c r="I223" s="108" t="s">
        <v>138</v>
      </c>
      <c r="J223" s="154">
        <v>450</v>
      </c>
      <c r="K223" s="155">
        <f t="shared" si="21"/>
        <v>1030.5</v>
      </c>
      <c r="L223" s="156">
        <v>2.29</v>
      </c>
      <c r="M223" s="157">
        <f>O218</f>
        <v>2630</v>
      </c>
      <c r="N223" s="157">
        <f t="shared" si="22"/>
        <v>450</v>
      </c>
      <c r="O223" s="158">
        <f t="shared" si="23"/>
        <v>2180</v>
      </c>
    </row>
    <row r="224" spans="1:15" ht="15.5" x14ac:dyDescent="0.35">
      <c r="A224" s="149">
        <v>46149</v>
      </c>
      <c r="B224" s="149" t="s">
        <v>725</v>
      </c>
      <c r="C224" s="150">
        <v>2</v>
      </c>
      <c r="D224" s="151" t="s">
        <v>8</v>
      </c>
      <c r="E224" s="33" t="s">
        <v>235</v>
      </c>
      <c r="F224" s="34" t="s">
        <v>192</v>
      </c>
      <c r="G224" s="34" t="s">
        <v>194</v>
      </c>
      <c r="H224" s="34" t="s">
        <v>193</v>
      </c>
      <c r="I224" s="34" t="s">
        <v>191</v>
      </c>
      <c r="J224" s="154">
        <v>650</v>
      </c>
      <c r="K224" s="155">
        <f t="shared" si="21"/>
        <v>1020.5</v>
      </c>
      <c r="L224" s="156">
        <v>1.57</v>
      </c>
      <c r="M224" s="157">
        <f>O220</f>
        <v>1215</v>
      </c>
      <c r="N224" s="157">
        <f t="shared" si="22"/>
        <v>650</v>
      </c>
      <c r="O224" s="158">
        <f t="shared" si="23"/>
        <v>565</v>
      </c>
    </row>
    <row r="225" spans="1:15" ht="15.5" x14ac:dyDescent="0.25">
      <c r="A225" s="149">
        <v>46150</v>
      </c>
      <c r="B225" s="149" t="s">
        <v>725</v>
      </c>
      <c r="C225" s="109">
        <v>1</v>
      </c>
      <c r="D225" s="109" t="s">
        <v>8</v>
      </c>
      <c r="E225" s="34" t="s">
        <v>190</v>
      </c>
      <c r="F225" s="34" t="s">
        <v>168</v>
      </c>
      <c r="G225" s="152" t="s">
        <v>158</v>
      </c>
      <c r="H225" s="34" t="s">
        <v>169</v>
      </c>
      <c r="I225" s="108" t="s">
        <v>170</v>
      </c>
      <c r="J225" s="109">
        <v>1000</v>
      </c>
      <c r="K225" s="155">
        <f t="shared" si="21"/>
        <v>786</v>
      </c>
      <c r="L225" s="159">
        <v>0.78600000000000003</v>
      </c>
      <c r="M225" s="109">
        <f>O222</f>
        <v>4555</v>
      </c>
      <c r="N225" s="109">
        <f t="shared" si="22"/>
        <v>1000</v>
      </c>
      <c r="O225" s="158">
        <f t="shared" si="23"/>
        <v>3555</v>
      </c>
    </row>
    <row r="226" spans="1:15" ht="31" x14ac:dyDescent="0.35">
      <c r="A226" s="149">
        <v>46150</v>
      </c>
      <c r="B226" s="149" t="s">
        <v>725</v>
      </c>
      <c r="C226" s="150">
        <v>2</v>
      </c>
      <c r="D226" s="151" t="s">
        <v>8</v>
      </c>
      <c r="E226" s="33" t="s">
        <v>9</v>
      </c>
      <c r="F226" s="152" t="s">
        <v>139</v>
      </c>
      <c r="G226" s="152" t="s">
        <v>15</v>
      </c>
      <c r="H226" s="153" t="s">
        <v>227</v>
      </c>
      <c r="I226" s="108" t="s">
        <v>138</v>
      </c>
      <c r="J226" s="154">
        <v>850</v>
      </c>
      <c r="K226" s="155">
        <f t="shared" si="21"/>
        <v>1946.5</v>
      </c>
      <c r="L226" s="156">
        <v>2.29</v>
      </c>
      <c r="M226" s="157">
        <f>O223</f>
        <v>2180</v>
      </c>
      <c r="N226" s="157">
        <f t="shared" si="22"/>
        <v>850</v>
      </c>
      <c r="O226" s="158">
        <f t="shared" si="23"/>
        <v>1330</v>
      </c>
    </row>
    <row r="227" spans="1:15" ht="15.5" x14ac:dyDescent="0.35">
      <c r="A227" s="149">
        <v>46150</v>
      </c>
      <c r="B227" s="149" t="s">
        <v>725</v>
      </c>
      <c r="C227" s="150">
        <v>2</v>
      </c>
      <c r="D227" s="151" t="s">
        <v>8</v>
      </c>
      <c r="E227" s="33" t="s">
        <v>235</v>
      </c>
      <c r="F227" s="34" t="s">
        <v>192</v>
      </c>
      <c r="G227" s="34" t="s">
        <v>194</v>
      </c>
      <c r="H227" s="34" t="s">
        <v>193</v>
      </c>
      <c r="I227" s="34" t="s">
        <v>191</v>
      </c>
      <c r="J227" s="154">
        <v>565</v>
      </c>
      <c r="K227" s="155">
        <f t="shared" si="21"/>
        <v>887.05000000000007</v>
      </c>
      <c r="L227" s="156">
        <v>1.57</v>
      </c>
      <c r="M227" s="157">
        <f>O224</f>
        <v>565</v>
      </c>
      <c r="N227" s="157">
        <f t="shared" si="22"/>
        <v>565</v>
      </c>
      <c r="O227" s="158">
        <f t="shared" si="23"/>
        <v>0</v>
      </c>
    </row>
    <row r="228" spans="1:15" ht="15.5" x14ac:dyDescent="0.25">
      <c r="A228" s="149">
        <v>46151</v>
      </c>
      <c r="B228" s="149" t="s">
        <v>725</v>
      </c>
      <c r="C228" s="109">
        <v>1</v>
      </c>
      <c r="D228" s="109" t="s">
        <v>8</v>
      </c>
      <c r="E228" s="34" t="s">
        <v>190</v>
      </c>
      <c r="F228" s="34" t="s">
        <v>168</v>
      </c>
      <c r="G228" s="152" t="s">
        <v>158</v>
      </c>
      <c r="H228" s="34" t="s">
        <v>169</v>
      </c>
      <c r="I228" s="108" t="s">
        <v>170</v>
      </c>
      <c r="J228" s="109">
        <v>1400</v>
      </c>
      <c r="K228" s="155">
        <f t="shared" si="21"/>
        <v>1100.4000000000001</v>
      </c>
      <c r="L228" s="159">
        <v>0.78600000000000003</v>
      </c>
      <c r="M228" s="109">
        <f>O225</f>
        <v>3555</v>
      </c>
      <c r="N228" s="109">
        <f t="shared" ref="N228:N259" si="24">J228</f>
        <v>1400</v>
      </c>
      <c r="O228" s="158">
        <f t="shared" si="23"/>
        <v>2155</v>
      </c>
    </row>
    <row r="229" spans="1:15" ht="31" x14ac:dyDescent="0.35">
      <c r="A229" s="149">
        <v>46151</v>
      </c>
      <c r="B229" s="149" t="s">
        <v>725</v>
      </c>
      <c r="C229" s="150">
        <v>2</v>
      </c>
      <c r="D229" s="151" t="s">
        <v>8</v>
      </c>
      <c r="E229" s="33" t="s">
        <v>9</v>
      </c>
      <c r="F229" s="152" t="s">
        <v>139</v>
      </c>
      <c r="G229" s="152" t="s">
        <v>15</v>
      </c>
      <c r="H229" s="153" t="s">
        <v>227</v>
      </c>
      <c r="I229" s="108" t="s">
        <v>138</v>
      </c>
      <c r="J229" s="154">
        <v>375</v>
      </c>
      <c r="K229" s="155">
        <f t="shared" si="21"/>
        <v>858.75</v>
      </c>
      <c r="L229" s="156">
        <v>2.29</v>
      </c>
      <c r="M229" s="157">
        <f>O226</f>
        <v>1330</v>
      </c>
      <c r="N229" s="157">
        <f t="shared" si="24"/>
        <v>375</v>
      </c>
      <c r="O229" s="158">
        <f t="shared" si="23"/>
        <v>955</v>
      </c>
    </row>
    <row r="230" spans="1:15" ht="15.5" x14ac:dyDescent="0.25">
      <c r="A230" s="149">
        <v>46151</v>
      </c>
      <c r="B230" s="149" t="s">
        <v>725</v>
      </c>
      <c r="C230" s="15">
        <v>1</v>
      </c>
      <c r="D230" s="15" t="s">
        <v>8</v>
      </c>
      <c r="E230" s="32" t="s">
        <v>75</v>
      </c>
      <c r="F230" s="32" t="s">
        <v>84</v>
      </c>
      <c r="G230" s="15" t="s">
        <v>160</v>
      </c>
      <c r="H230" s="32" t="s">
        <v>85</v>
      </c>
      <c r="I230" s="108" t="s">
        <v>83</v>
      </c>
      <c r="J230" s="15">
        <v>170</v>
      </c>
      <c r="K230" s="140">
        <f t="shared" si="21"/>
        <v>785.4</v>
      </c>
      <c r="L230" s="148">
        <v>4.62</v>
      </c>
      <c r="M230" s="15">
        <v>975</v>
      </c>
      <c r="N230" s="15">
        <f t="shared" si="24"/>
        <v>170</v>
      </c>
      <c r="O230" s="143">
        <f t="shared" si="23"/>
        <v>805</v>
      </c>
    </row>
    <row r="231" spans="1:15" ht="15.5" x14ac:dyDescent="0.25">
      <c r="A231" s="149">
        <v>46153</v>
      </c>
      <c r="B231" s="149" t="s">
        <v>725</v>
      </c>
      <c r="C231" s="109">
        <v>1</v>
      </c>
      <c r="D231" s="109" t="s">
        <v>8</v>
      </c>
      <c r="E231" s="34" t="s">
        <v>190</v>
      </c>
      <c r="F231" s="34" t="s">
        <v>168</v>
      </c>
      <c r="G231" s="152" t="s">
        <v>158</v>
      </c>
      <c r="H231" s="34" t="s">
        <v>169</v>
      </c>
      <c r="I231" s="108" t="s">
        <v>170</v>
      </c>
      <c r="J231" s="109">
        <f>1275+700</f>
        <v>1975</v>
      </c>
      <c r="K231" s="155">
        <f t="shared" si="21"/>
        <v>1552.3500000000001</v>
      </c>
      <c r="L231" s="159">
        <v>0.78600000000000003</v>
      </c>
      <c r="M231" s="109">
        <f>O228</f>
        <v>2155</v>
      </c>
      <c r="N231" s="109">
        <f t="shared" si="24"/>
        <v>1975</v>
      </c>
      <c r="O231" s="158">
        <f t="shared" si="23"/>
        <v>180</v>
      </c>
    </row>
    <row r="232" spans="1:15" ht="31" x14ac:dyDescent="0.35">
      <c r="A232" s="149">
        <v>46153</v>
      </c>
      <c r="B232" s="149" t="s">
        <v>725</v>
      </c>
      <c r="C232" s="150">
        <v>2</v>
      </c>
      <c r="D232" s="151" t="s">
        <v>8</v>
      </c>
      <c r="E232" s="33" t="s">
        <v>9</v>
      </c>
      <c r="F232" s="152" t="s">
        <v>139</v>
      </c>
      <c r="G232" s="152" t="s">
        <v>15</v>
      </c>
      <c r="H232" s="153" t="s">
        <v>227</v>
      </c>
      <c r="I232" s="108" t="s">
        <v>138</v>
      </c>
      <c r="J232" s="154">
        <v>475</v>
      </c>
      <c r="K232" s="155">
        <f t="shared" si="21"/>
        <v>1087.75</v>
      </c>
      <c r="L232" s="156">
        <v>2.29</v>
      </c>
      <c r="M232" s="157">
        <f>O229</f>
        <v>955</v>
      </c>
      <c r="N232" s="157">
        <f t="shared" si="24"/>
        <v>475</v>
      </c>
      <c r="O232" s="158">
        <f t="shared" si="23"/>
        <v>480</v>
      </c>
    </row>
    <row r="233" spans="1:15" ht="15.5" x14ac:dyDescent="0.25">
      <c r="A233" s="149">
        <v>46153</v>
      </c>
      <c r="B233" s="149" t="s">
        <v>725</v>
      </c>
      <c r="C233" s="15">
        <v>1</v>
      </c>
      <c r="D233" s="15" t="s">
        <v>8</v>
      </c>
      <c r="E233" s="32" t="s">
        <v>75</v>
      </c>
      <c r="F233" s="32" t="s">
        <v>84</v>
      </c>
      <c r="G233" s="15" t="s">
        <v>160</v>
      </c>
      <c r="H233" s="32" t="s">
        <v>85</v>
      </c>
      <c r="I233" s="108" t="s">
        <v>83</v>
      </c>
      <c r="J233" s="15">
        <v>80</v>
      </c>
      <c r="K233" s="140">
        <f t="shared" si="21"/>
        <v>369.6</v>
      </c>
      <c r="L233" s="148">
        <v>4.62</v>
      </c>
      <c r="M233" s="15">
        <f>O230</f>
        <v>805</v>
      </c>
      <c r="N233" s="15">
        <f t="shared" si="24"/>
        <v>80</v>
      </c>
      <c r="O233" s="143">
        <f t="shared" si="23"/>
        <v>725</v>
      </c>
    </row>
    <row r="234" spans="1:15" ht="31" x14ac:dyDescent="0.35">
      <c r="A234" s="149">
        <v>46153</v>
      </c>
      <c r="B234" s="149" t="s">
        <v>725</v>
      </c>
      <c r="C234" s="150">
        <v>2</v>
      </c>
      <c r="D234" s="151" t="s">
        <v>8</v>
      </c>
      <c r="E234" s="33" t="s">
        <v>9</v>
      </c>
      <c r="F234" s="152" t="s">
        <v>139</v>
      </c>
      <c r="G234" s="152" t="s">
        <v>15</v>
      </c>
      <c r="H234" s="153" t="s">
        <v>227</v>
      </c>
      <c r="I234" s="108" t="s">
        <v>138</v>
      </c>
      <c r="J234" s="154">
        <v>200</v>
      </c>
      <c r="K234" s="155">
        <f t="shared" si="21"/>
        <v>458</v>
      </c>
      <c r="L234" s="156">
        <v>2.29</v>
      </c>
      <c r="M234" s="157">
        <f>O232</f>
        <v>480</v>
      </c>
      <c r="N234" s="157">
        <f t="shared" si="24"/>
        <v>200</v>
      </c>
      <c r="O234" s="158">
        <f t="shared" si="23"/>
        <v>280</v>
      </c>
    </row>
    <row r="235" spans="1:15" ht="15.5" x14ac:dyDescent="0.25">
      <c r="A235" s="149">
        <v>46154</v>
      </c>
      <c r="B235" s="149" t="s">
        <v>725</v>
      </c>
      <c r="C235" s="15">
        <v>1</v>
      </c>
      <c r="D235" s="15" t="s">
        <v>8</v>
      </c>
      <c r="E235" s="32" t="s">
        <v>75</v>
      </c>
      <c r="F235" s="32" t="s">
        <v>84</v>
      </c>
      <c r="G235" s="15" t="s">
        <v>160</v>
      </c>
      <c r="H235" s="32" t="s">
        <v>85</v>
      </c>
      <c r="I235" s="108" t="s">
        <v>83</v>
      </c>
      <c r="J235" s="15">
        <v>175</v>
      </c>
      <c r="K235" s="140">
        <f t="shared" si="21"/>
        <v>808.5</v>
      </c>
      <c r="L235" s="148">
        <v>4.62</v>
      </c>
      <c r="M235" s="15">
        <f>O233</f>
        <v>725</v>
      </c>
      <c r="N235" s="15">
        <f t="shared" si="24"/>
        <v>175</v>
      </c>
      <c r="O235" s="143">
        <f t="shared" si="23"/>
        <v>550</v>
      </c>
    </row>
    <row r="236" spans="1:15" ht="15.5" x14ac:dyDescent="0.25">
      <c r="A236" s="149">
        <v>46154</v>
      </c>
      <c r="B236" s="149" t="s">
        <v>725</v>
      </c>
      <c r="C236" s="15">
        <v>1</v>
      </c>
      <c r="D236" s="15" t="s">
        <v>8</v>
      </c>
      <c r="E236" s="15" t="s">
        <v>172</v>
      </c>
      <c r="F236" s="15" t="s">
        <v>122</v>
      </c>
      <c r="G236" s="15" t="s">
        <v>243</v>
      </c>
      <c r="H236" s="15" t="s">
        <v>123</v>
      </c>
      <c r="I236" s="109" t="s">
        <v>180</v>
      </c>
      <c r="J236" s="15">
        <v>175</v>
      </c>
      <c r="K236" s="140">
        <f t="shared" si="21"/>
        <v>169.4</v>
      </c>
      <c r="L236" s="148">
        <v>0.96799999999999997</v>
      </c>
      <c r="M236" s="15">
        <v>450</v>
      </c>
      <c r="N236" s="15">
        <f t="shared" si="24"/>
        <v>175</v>
      </c>
      <c r="O236" s="143">
        <f t="shared" si="23"/>
        <v>275</v>
      </c>
    </row>
    <row r="237" spans="1:15" ht="15.5" x14ac:dyDescent="0.25">
      <c r="A237" s="149">
        <v>46154</v>
      </c>
      <c r="B237" s="149" t="s">
        <v>725</v>
      </c>
      <c r="C237" s="15">
        <v>1</v>
      </c>
      <c r="D237" s="15" t="s">
        <v>8</v>
      </c>
      <c r="E237" s="15" t="s">
        <v>172</v>
      </c>
      <c r="F237" s="15" t="s">
        <v>113</v>
      </c>
      <c r="G237" s="15" t="s">
        <v>243</v>
      </c>
      <c r="H237" s="15" t="s">
        <v>114</v>
      </c>
      <c r="I237" s="109" t="s">
        <v>175</v>
      </c>
      <c r="J237" s="15">
        <v>425</v>
      </c>
      <c r="K237" s="140">
        <f t="shared" si="21"/>
        <v>947.75</v>
      </c>
      <c r="L237" s="148">
        <v>2.23</v>
      </c>
      <c r="M237" s="15">
        <v>1900</v>
      </c>
      <c r="N237" s="15">
        <f t="shared" si="24"/>
        <v>425</v>
      </c>
      <c r="O237" s="143">
        <f t="shared" si="23"/>
        <v>1475</v>
      </c>
    </row>
    <row r="238" spans="1:15" ht="15.5" x14ac:dyDescent="0.25">
      <c r="A238" s="149">
        <v>46154</v>
      </c>
      <c r="B238" s="149" t="s">
        <v>725</v>
      </c>
      <c r="C238" s="15">
        <v>1</v>
      </c>
      <c r="D238" s="15" t="s">
        <v>8</v>
      </c>
      <c r="E238" s="15" t="s">
        <v>172</v>
      </c>
      <c r="F238" s="15" t="s">
        <v>111</v>
      </c>
      <c r="G238" s="15" t="s">
        <v>243</v>
      </c>
      <c r="H238" s="15" t="s">
        <v>112</v>
      </c>
      <c r="I238" s="109" t="s">
        <v>174</v>
      </c>
      <c r="J238" s="15">
        <v>450</v>
      </c>
      <c r="K238" s="140">
        <f t="shared" si="21"/>
        <v>1368</v>
      </c>
      <c r="L238" s="148">
        <v>3.04</v>
      </c>
      <c r="M238" s="15">
        <v>600</v>
      </c>
      <c r="N238" s="15">
        <f t="shared" si="24"/>
        <v>450</v>
      </c>
      <c r="O238" s="143">
        <f t="shared" si="23"/>
        <v>150</v>
      </c>
    </row>
    <row r="239" spans="1:15" ht="31" x14ac:dyDescent="0.25">
      <c r="A239" s="149">
        <v>46154</v>
      </c>
      <c r="B239" s="149" t="s">
        <v>725</v>
      </c>
      <c r="C239" s="150">
        <v>2</v>
      </c>
      <c r="D239" s="15" t="s">
        <v>8</v>
      </c>
      <c r="E239" s="33" t="s">
        <v>9</v>
      </c>
      <c r="F239" s="152" t="s">
        <v>139</v>
      </c>
      <c r="G239" s="152" t="s">
        <v>15</v>
      </c>
      <c r="H239" s="153" t="s">
        <v>227</v>
      </c>
      <c r="I239" s="108" t="s">
        <v>138</v>
      </c>
      <c r="J239" s="154">
        <v>200</v>
      </c>
      <c r="K239" s="155">
        <f t="shared" si="21"/>
        <v>458</v>
      </c>
      <c r="L239" s="156">
        <v>2.29</v>
      </c>
      <c r="M239" s="157">
        <f>O234</f>
        <v>280</v>
      </c>
      <c r="N239" s="157">
        <f t="shared" si="24"/>
        <v>200</v>
      </c>
      <c r="O239" s="158">
        <f t="shared" si="23"/>
        <v>80</v>
      </c>
    </row>
    <row r="240" spans="1:15" ht="15.5" x14ac:dyDescent="0.25">
      <c r="A240" s="149">
        <v>46155</v>
      </c>
      <c r="B240" s="149" t="s">
        <v>725</v>
      </c>
      <c r="C240" s="109">
        <v>1</v>
      </c>
      <c r="D240" s="109" t="s">
        <v>8</v>
      </c>
      <c r="E240" s="34" t="s">
        <v>190</v>
      </c>
      <c r="F240" s="34" t="s">
        <v>168</v>
      </c>
      <c r="G240" s="152" t="s">
        <v>158</v>
      </c>
      <c r="H240" s="34" t="s">
        <v>169</v>
      </c>
      <c r="I240" s="108" t="s">
        <v>170</v>
      </c>
      <c r="J240" s="109">
        <v>180</v>
      </c>
      <c r="K240" s="155">
        <f t="shared" si="21"/>
        <v>141.48000000000002</v>
      </c>
      <c r="L240" s="159">
        <v>0.78600000000000003</v>
      </c>
      <c r="M240" s="109">
        <f>O231</f>
        <v>180</v>
      </c>
      <c r="N240" s="109">
        <f t="shared" si="24"/>
        <v>180</v>
      </c>
      <c r="O240" s="158">
        <f t="shared" si="23"/>
        <v>0</v>
      </c>
    </row>
    <row r="241" spans="1:15" ht="31" x14ac:dyDescent="0.35">
      <c r="A241" s="149">
        <v>46155</v>
      </c>
      <c r="B241" s="149" t="s">
        <v>725</v>
      </c>
      <c r="C241" s="150">
        <v>2</v>
      </c>
      <c r="D241" s="151" t="s">
        <v>8</v>
      </c>
      <c r="E241" s="33" t="s">
        <v>9</v>
      </c>
      <c r="F241" s="152" t="s">
        <v>139</v>
      </c>
      <c r="G241" s="152" t="s">
        <v>15</v>
      </c>
      <c r="H241" s="153" t="s">
        <v>227</v>
      </c>
      <c r="I241" s="108" t="s">
        <v>138</v>
      </c>
      <c r="J241" s="154">
        <v>280</v>
      </c>
      <c r="K241" s="155">
        <f t="shared" si="21"/>
        <v>641.20000000000005</v>
      </c>
      <c r="L241" s="156">
        <v>2.29</v>
      </c>
      <c r="M241" s="157">
        <v>280</v>
      </c>
      <c r="N241" s="157">
        <f t="shared" si="24"/>
        <v>280</v>
      </c>
      <c r="O241" s="158">
        <v>0</v>
      </c>
    </row>
    <row r="242" spans="1:15" ht="15.5" x14ac:dyDescent="0.25">
      <c r="A242" s="149">
        <v>46155</v>
      </c>
      <c r="B242" s="149" t="s">
        <v>725</v>
      </c>
      <c r="C242" s="15">
        <v>1</v>
      </c>
      <c r="D242" s="15" t="s">
        <v>8</v>
      </c>
      <c r="E242" s="32" t="s">
        <v>75</v>
      </c>
      <c r="F242" s="32" t="s">
        <v>84</v>
      </c>
      <c r="G242" s="15" t="s">
        <v>160</v>
      </c>
      <c r="H242" s="32" t="s">
        <v>85</v>
      </c>
      <c r="I242" s="108" t="s">
        <v>83</v>
      </c>
      <c r="J242" s="15">
        <v>175</v>
      </c>
      <c r="K242" s="140">
        <f t="shared" si="21"/>
        <v>808.5</v>
      </c>
      <c r="L242" s="148">
        <v>4.62</v>
      </c>
      <c r="M242" s="15">
        <f>O235</f>
        <v>550</v>
      </c>
      <c r="N242" s="15">
        <f t="shared" si="24"/>
        <v>175</v>
      </c>
      <c r="O242" s="143">
        <f t="shared" ref="O242:O285" si="25">M242-N242</f>
        <v>375</v>
      </c>
    </row>
    <row r="243" spans="1:15" ht="15.5" x14ac:dyDescent="0.25">
      <c r="A243" s="149">
        <v>46155</v>
      </c>
      <c r="B243" s="149" t="s">
        <v>725</v>
      </c>
      <c r="C243" s="15">
        <v>1</v>
      </c>
      <c r="D243" s="15" t="s">
        <v>8</v>
      </c>
      <c r="E243" s="15" t="s">
        <v>172</v>
      </c>
      <c r="F243" s="15" t="s">
        <v>113</v>
      </c>
      <c r="G243" s="15" t="s">
        <v>243</v>
      </c>
      <c r="H243" s="15" t="s">
        <v>114</v>
      </c>
      <c r="I243" s="109" t="s">
        <v>175</v>
      </c>
      <c r="J243" s="15">
        <v>375</v>
      </c>
      <c r="K243" s="140">
        <f t="shared" si="21"/>
        <v>836.25</v>
      </c>
      <c r="L243" s="148">
        <v>2.23</v>
      </c>
      <c r="M243" s="15">
        <f>O237</f>
        <v>1475</v>
      </c>
      <c r="N243" s="15">
        <f t="shared" si="24"/>
        <v>375</v>
      </c>
      <c r="O243" s="143">
        <f t="shared" si="25"/>
        <v>1100</v>
      </c>
    </row>
    <row r="244" spans="1:15" ht="15.5" x14ac:dyDescent="0.25">
      <c r="A244" s="149">
        <v>46155</v>
      </c>
      <c r="B244" s="149" t="s">
        <v>725</v>
      </c>
      <c r="C244" s="15">
        <v>1</v>
      </c>
      <c r="D244" s="15" t="s">
        <v>8</v>
      </c>
      <c r="E244" s="15" t="s">
        <v>172</v>
      </c>
      <c r="F244" s="15" t="s">
        <v>111</v>
      </c>
      <c r="G244" s="15" t="s">
        <v>243</v>
      </c>
      <c r="H244" s="15" t="s">
        <v>112</v>
      </c>
      <c r="I244" s="109" t="s">
        <v>174</v>
      </c>
      <c r="J244" s="15">
        <v>150</v>
      </c>
      <c r="K244" s="139">
        <f t="shared" si="21"/>
        <v>456</v>
      </c>
      <c r="L244" s="148">
        <v>3.04</v>
      </c>
      <c r="M244" s="15">
        <f>O238</f>
        <v>150</v>
      </c>
      <c r="N244" s="15">
        <f t="shared" si="24"/>
        <v>150</v>
      </c>
      <c r="O244" s="135">
        <f t="shared" si="25"/>
        <v>0</v>
      </c>
    </row>
    <row r="245" spans="1:15" ht="15.5" x14ac:dyDescent="0.25">
      <c r="A245" s="149">
        <v>46156</v>
      </c>
      <c r="B245" s="149" t="s">
        <v>725</v>
      </c>
      <c r="C245" s="15">
        <v>1</v>
      </c>
      <c r="D245" s="15" t="s">
        <v>8</v>
      </c>
      <c r="E245" s="32" t="s">
        <v>75</v>
      </c>
      <c r="F245" s="32" t="s">
        <v>84</v>
      </c>
      <c r="G245" s="15" t="s">
        <v>160</v>
      </c>
      <c r="H245" s="32" t="s">
        <v>85</v>
      </c>
      <c r="I245" s="110" t="s">
        <v>83</v>
      </c>
      <c r="J245" s="15">
        <v>175</v>
      </c>
      <c r="K245" s="139">
        <f t="shared" si="21"/>
        <v>808.5</v>
      </c>
      <c r="L245" s="148">
        <v>4.62</v>
      </c>
      <c r="M245" s="15">
        <f>O242</f>
        <v>375</v>
      </c>
      <c r="N245" s="15">
        <f t="shared" si="24"/>
        <v>175</v>
      </c>
      <c r="O245" s="135">
        <f t="shared" si="25"/>
        <v>200</v>
      </c>
    </row>
    <row r="246" spans="1:15" ht="15.5" x14ac:dyDescent="0.25">
      <c r="A246" s="149">
        <v>46156</v>
      </c>
      <c r="B246" s="149" t="s">
        <v>725</v>
      </c>
      <c r="C246" s="15">
        <v>1</v>
      </c>
      <c r="D246" s="15" t="s">
        <v>8</v>
      </c>
      <c r="E246" s="15" t="s">
        <v>234</v>
      </c>
      <c r="F246" s="15" t="s">
        <v>189</v>
      </c>
      <c r="G246" s="15" t="s">
        <v>244</v>
      </c>
      <c r="H246" s="15" t="s">
        <v>163</v>
      </c>
      <c r="I246" s="109" t="s">
        <v>188</v>
      </c>
      <c r="J246" s="15">
        <v>250</v>
      </c>
      <c r="K246" s="15">
        <f t="shared" si="21"/>
        <v>570</v>
      </c>
      <c r="L246" s="148">
        <v>2.2799999999999998</v>
      </c>
      <c r="M246" s="15">
        <f>250</f>
        <v>250</v>
      </c>
      <c r="N246" s="15">
        <f t="shared" si="24"/>
        <v>250</v>
      </c>
      <c r="O246" s="135">
        <f t="shared" si="25"/>
        <v>0</v>
      </c>
    </row>
    <row r="247" spans="1:15" ht="15.5" x14ac:dyDescent="0.25">
      <c r="A247" s="149">
        <v>46156</v>
      </c>
      <c r="B247" s="149" t="s">
        <v>725</v>
      </c>
      <c r="C247" s="15">
        <v>1</v>
      </c>
      <c r="D247" s="15" t="s">
        <v>8</v>
      </c>
      <c r="E247" s="35" t="s">
        <v>172</v>
      </c>
      <c r="F247" s="35" t="s">
        <v>113</v>
      </c>
      <c r="G247" s="34" t="s">
        <v>59</v>
      </c>
      <c r="H247" s="35" t="s">
        <v>114</v>
      </c>
      <c r="I247" s="35" t="s">
        <v>175</v>
      </c>
      <c r="J247" s="15">
        <v>200</v>
      </c>
      <c r="K247" s="15">
        <f t="shared" si="21"/>
        <v>446</v>
      </c>
      <c r="L247" s="35">
        <v>2.23</v>
      </c>
      <c r="M247" s="15">
        <f>O243</f>
        <v>1100</v>
      </c>
      <c r="N247" s="15">
        <f t="shared" si="24"/>
        <v>200</v>
      </c>
      <c r="O247" s="135">
        <f t="shared" si="25"/>
        <v>900</v>
      </c>
    </row>
    <row r="248" spans="1:15" ht="15.5" x14ac:dyDescent="0.25">
      <c r="A248" s="149">
        <v>46156</v>
      </c>
      <c r="B248" s="149" t="s">
        <v>725</v>
      </c>
      <c r="C248" s="15">
        <v>1</v>
      </c>
      <c r="D248" s="15" t="s">
        <v>8</v>
      </c>
      <c r="E248" s="35" t="s">
        <v>172</v>
      </c>
      <c r="F248" s="35" t="s">
        <v>115</v>
      </c>
      <c r="G248" s="34" t="s">
        <v>69</v>
      </c>
      <c r="H248" s="35" t="s">
        <v>116</v>
      </c>
      <c r="I248" s="35" t="s">
        <v>176</v>
      </c>
      <c r="J248" s="15">
        <v>850</v>
      </c>
      <c r="K248" s="15">
        <f t="shared" si="21"/>
        <v>1147.5</v>
      </c>
      <c r="L248" s="35">
        <v>1.35</v>
      </c>
      <c r="M248" s="15">
        <v>1625</v>
      </c>
      <c r="N248" s="15">
        <f t="shared" si="24"/>
        <v>850</v>
      </c>
      <c r="O248" s="135">
        <f t="shared" si="25"/>
        <v>775</v>
      </c>
    </row>
    <row r="249" spans="1:15" ht="15.5" x14ac:dyDescent="0.25">
      <c r="A249" s="149">
        <v>46156</v>
      </c>
      <c r="B249" s="149" t="s">
        <v>725</v>
      </c>
      <c r="C249" s="15">
        <v>1</v>
      </c>
      <c r="D249" s="15" t="s">
        <v>8</v>
      </c>
      <c r="E249" s="35" t="s">
        <v>172</v>
      </c>
      <c r="F249" s="35" t="s">
        <v>117</v>
      </c>
      <c r="G249" s="34" t="s">
        <v>69</v>
      </c>
      <c r="H249" s="35" t="s">
        <v>118</v>
      </c>
      <c r="I249" s="35" t="s">
        <v>177</v>
      </c>
      <c r="J249" s="15">
        <v>350</v>
      </c>
      <c r="K249" s="15">
        <f t="shared" si="21"/>
        <v>420</v>
      </c>
      <c r="L249" s="35">
        <v>1.2</v>
      </c>
      <c r="M249" s="15">
        <v>350</v>
      </c>
      <c r="N249" s="15">
        <f t="shared" si="24"/>
        <v>350</v>
      </c>
      <c r="O249" s="135">
        <f t="shared" si="25"/>
        <v>0</v>
      </c>
    </row>
    <row r="250" spans="1:15" ht="15.5" x14ac:dyDescent="0.25">
      <c r="A250" s="149">
        <v>46156</v>
      </c>
      <c r="B250" s="149" t="s">
        <v>725</v>
      </c>
      <c r="C250" s="15">
        <v>1</v>
      </c>
      <c r="D250" s="15" t="s">
        <v>8</v>
      </c>
      <c r="E250" s="35" t="s">
        <v>172</v>
      </c>
      <c r="F250" s="35" t="s">
        <v>122</v>
      </c>
      <c r="G250" s="34" t="s">
        <v>59</v>
      </c>
      <c r="H250" s="35" t="s">
        <v>123</v>
      </c>
      <c r="I250" s="35" t="s">
        <v>180</v>
      </c>
      <c r="J250" s="15">
        <v>200</v>
      </c>
      <c r="K250" s="15">
        <f t="shared" si="21"/>
        <v>192</v>
      </c>
      <c r="L250" s="35">
        <v>0.96</v>
      </c>
      <c r="M250" s="15">
        <f>O236</f>
        <v>275</v>
      </c>
      <c r="N250" s="15">
        <f t="shared" si="24"/>
        <v>200</v>
      </c>
      <c r="O250" s="135">
        <f t="shared" si="25"/>
        <v>75</v>
      </c>
    </row>
    <row r="251" spans="1:15" ht="15.5" x14ac:dyDescent="0.25">
      <c r="A251" s="149">
        <v>46157</v>
      </c>
      <c r="B251" s="149" t="s">
        <v>725</v>
      </c>
      <c r="C251" s="15">
        <v>1</v>
      </c>
      <c r="D251" s="15" t="s">
        <v>8</v>
      </c>
      <c r="E251" s="32" t="s">
        <v>75</v>
      </c>
      <c r="F251" s="32" t="s">
        <v>84</v>
      </c>
      <c r="G251" s="15" t="s">
        <v>160</v>
      </c>
      <c r="H251" s="32" t="s">
        <v>85</v>
      </c>
      <c r="I251" s="110" t="s">
        <v>83</v>
      </c>
      <c r="J251" s="15">
        <v>175</v>
      </c>
      <c r="K251" s="139">
        <f t="shared" si="21"/>
        <v>808.5</v>
      </c>
      <c r="L251" s="148">
        <v>4.62</v>
      </c>
      <c r="M251" s="15">
        <f>O245</f>
        <v>200</v>
      </c>
      <c r="N251" s="15">
        <f t="shared" si="24"/>
        <v>175</v>
      </c>
      <c r="O251" s="135">
        <f t="shared" si="25"/>
        <v>25</v>
      </c>
    </row>
    <row r="252" spans="1:15" ht="15.5" x14ac:dyDescent="0.25">
      <c r="A252" s="149">
        <v>46157</v>
      </c>
      <c r="B252" s="149" t="s">
        <v>725</v>
      </c>
      <c r="C252" s="15">
        <v>1</v>
      </c>
      <c r="D252" s="15" t="s">
        <v>8</v>
      </c>
      <c r="E252" s="15" t="s">
        <v>234</v>
      </c>
      <c r="F252" s="15" t="s">
        <v>165</v>
      </c>
      <c r="G252" s="15" t="s">
        <v>244</v>
      </c>
      <c r="H252" s="15" t="s">
        <v>166</v>
      </c>
      <c r="I252" s="109" t="s">
        <v>161</v>
      </c>
      <c r="J252" s="15">
        <v>200</v>
      </c>
      <c r="K252" s="15">
        <f t="shared" si="21"/>
        <v>558</v>
      </c>
      <c r="L252" s="148">
        <v>2.79</v>
      </c>
      <c r="M252" s="15">
        <f>250</f>
        <v>250</v>
      </c>
      <c r="N252" s="15">
        <f t="shared" si="24"/>
        <v>200</v>
      </c>
      <c r="O252" s="135">
        <f t="shared" si="25"/>
        <v>50</v>
      </c>
    </row>
    <row r="253" spans="1:15" ht="15.5" x14ac:dyDescent="0.25">
      <c r="A253" s="149">
        <v>46157</v>
      </c>
      <c r="B253" s="149" t="s">
        <v>725</v>
      </c>
      <c r="C253" s="15">
        <v>1</v>
      </c>
      <c r="D253" s="15" t="s">
        <v>8</v>
      </c>
      <c r="E253" s="35" t="s">
        <v>172</v>
      </c>
      <c r="F253" s="35" t="s">
        <v>113</v>
      </c>
      <c r="G253" s="34" t="s">
        <v>59</v>
      </c>
      <c r="H253" s="35" t="s">
        <v>114</v>
      </c>
      <c r="I253" s="35" t="s">
        <v>175</v>
      </c>
      <c r="J253" s="15">
        <v>50</v>
      </c>
      <c r="K253" s="15">
        <f t="shared" si="21"/>
        <v>111.5</v>
      </c>
      <c r="L253" s="35">
        <v>2.23</v>
      </c>
      <c r="M253" s="15">
        <f>O247</f>
        <v>900</v>
      </c>
      <c r="N253" s="15">
        <f t="shared" si="24"/>
        <v>50</v>
      </c>
      <c r="O253" s="135">
        <f t="shared" si="25"/>
        <v>850</v>
      </c>
    </row>
    <row r="254" spans="1:15" ht="15.5" x14ac:dyDescent="0.25">
      <c r="A254" s="149">
        <v>46157</v>
      </c>
      <c r="B254" s="149" t="s">
        <v>725</v>
      </c>
      <c r="C254" s="15">
        <v>1</v>
      </c>
      <c r="D254" s="15" t="s">
        <v>8</v>
      </c>
      <c r="E254" s="35" t="s">
        <v>172</v>
      </c>
      <c r="F254" s="35" t="s">
        <v>115</v>
      </c>
      <c r="G254" s="34" t="s">
        <v>69</v>
      </c>
      <c r="H254" s="35" t="s">
        <v>116</v>
      </c>
      <c r="I254" s="35" t="s">
        <v>176</v>
      </c>
      <c r="J254" s="15">
        <v>700</v>
      </c>
      <c r="K254" s="15">
        <f t="shared" si="21"/>
        <v>945.00000000000011</v>
      </c>
      <c r="L254" s="35">
        <v>1.35</v>
      </c>
      <c r="M254" s="15">
        <f>O248</f>
        <v>775</v>
      </c>
      <c r="N254" s="15">
        <f t="shared" si="24"/>
        <v>700</v>
      </c>
      <c r="O254" s="135">
        <f t="shared" si="25"/>
        <v>75</v>
      </c>
    </row>
    <row r="255" spans="1:15" ht="15.5" x14ac:dyDescent="0.25">
      <c r="A255" s="149">
        <v>46157</v>
      </c>
      <c r="B255" s="149" t="s">
        <v>725</v>
      </c>
      <c r="C255" s="15">
        <v>1</v>
      </c>
      <c r="D255" s="15" t="s">
        <v>8</v>
      </c>
      <c r="E255" s="35" t="s">
        <v>172</v>
      </c>
      <c r="F255" s="160" t="s">
        <v>121</v>
      </c>
      <c r="G255" s="34" t="s">
        <v>69</v>
      </c>
      <c r="H255" s="35" t="s">
        <v>245</v>
      </c>
      <c r="I255" s="35" t="s">
        <v>179</v>
      </c>
      <c r="J255" s="15">
        <v>400</v>
      </c>
      <c r="K255" s="15">
        <f t="shared" si="21"/>
        <v>316</v>
      </c>
      <c r="L255" s="35">
        <v>0.79</v>
      </c>
      <c r="M255" s="15">
        <v>1000</v>
      </c>
      <c r="N255" s="15">
        <f t="shared" si="24"/>
        <v>400</v>
      </c>
      <c r="O255" s="135">
        <f t="shared" si="25"/>
        <v>600</v>
      </c>
    </row>
    <row r="256" spans="1:15" ht="16" thickBot="1" x14ac:dyDescent="0.3">
      <c r="A256" s="149">
        <v>46157</v>
      </c>
      <c r="B256" s="149" t="s">
        <v>725</v>
      </c>
      <c r="C256" s="15">
        <v>1</v>
      </c>
      <c r="D256" s="15" t="s">
        <v>8</v>
      </c>
      <c r="E256" s="35" t="s">
        <v>172</v>
      </c>
      <c r="F256" s="161" t="s">
        <v>129</v>
      </c>
      <c r="G256" s="34" t="s">
        <v>59</v>
      </c>
      <c r="H256" s="111" t="s">
        <v>118</v>
      </c>
      <c r="I256" s="111" t="s">
        <v>185</v>
      </c>
      <c r="J256" s="15">
        <v>50</v>
      </c>
      <c r="K256" s="15">
        <f t="shared" si="21"/>
        <v>64.5</v>
      </c>
      <c r="L256" s="111">
        <v>1.29</v>
      </c>
      <c r="M256" s="15">
        <v>325</v>
      </c>
      <c r="N256" s="15">
        <f t="shared" si="24"/>
        <v>50</v>
      </c>
      <c r="O256" s="135">
        <f t="shared" si="25"/>
        <v>275</v>
      </c>
    </row>
    <row r="257" spans="1:15" ht="15.5" x14ac:dyDescent="0.25">
      <c r="A257" s="149">
        <v>46158</v>
      </c>
      <c r="B257" s="149" t="s">
        <v>725</v>
      </c>
      <c r="C257" s="15">
        <v>1</v>
      </c>
      <c r="D257" s="15" t="s">
        <v>8</v>
      </c>
      <c r="E257" s="35" t="s">
        <v>172</v>
      </c>
      <c r="F257" s="35" t="s">
        <v>113</v>
      </c>
      <c r="G257" s="34" t="s">
        <v>59</v>
      </c>
      <c r="H257" s="35" t="s">
        <v>114</v>
      </c>
      <c r="I257" s="35" t="s">
        <v>175</v>
      </c>
      <c r="J257" s="15">
        <v>325</v>
      </c>
      <c r="K257" s="15">
        <f t="shared" si="21"/>
        <v>724.75</v>
      </c>
      <c r="L257" s="35">
        <v>2.23</v>
      </c>
      <c r="M257" s="15">
        <f>O253</f>
        <v>850</v>
      </c>
      <c r="N257" s="15">
        <f t="shared" si="24"/>
        <v>325</v>
      </c>
      <c r="O257" s="135">
        <f t="shared" si="25"/>
        <v>525</v>
      </c>
    </row>
    <row r="258" spans="1:15" ht="15.5" x14ac:dyDescent="0.25">
      <c r="A258" s="149">
        <v>46158</v>
      </c>
      <c r="B258" s="149" t="s">
        <v>725</v>
      </c>
      <c r="C258" s="15">
        <v>1</v>
      </c>
      <c r="D258" s="15" t="s">
        <v>8</v>
      </c>
      <c r="E258" s="35" t="s">
        <v>172</v>
      </c>
      <c r="F258" s="160" t="s">
        <v>121</v>
      </c>
      <c r="G258" s="34" t="s">
        <v>69</v>
      </c>
      <c r="H258" s="35" t="s">
        <v>245</v>
      </c>
      <c r="I258" s="35" t="s">
        <v>179</v>
      </c>
      <c r="J258" s="15">
        <v>300</v>
      </c>
      <c r="K258" s="15">
        <f t="shared" ref="K258:K321" si="26">L258*J258</f>
        <v>237</v>
      </c>
      <c r="L258" s="35">
        <v>0.79</v>
      </c>
      <c r="M258" s="15">
        <f>O255</f>
        <v>600</v>
      </c>
      <c r="N258" s="15">
        <f t="shared" si="24"/>
        <v>300</v>
      </c>
      <c r="O258" s="135">
        <f t="shared" si="25"/>
        <v>300</v>
      </c>
    </row>
    <row r="259" spans="1:15" ht="15.5" x14ac:dyDescent="0.25">
      <c r="A259" s="162">
        <v>46158</v>
      </c>
      <c r="B259" s="149" t="s">
        <v>725</v>
      </c>
      <c r="C259" s="163">
        <v>1</v>
      </c>
      <c r="D259" s="163" t="s">
        <v>8</v>
      </c>
      <c r="E259" s="36" t="s">
        <v>172</v>
      </c>
      <c r="F259" s="164" t="s">
        <v>129</v>
      </c>
      <c r="G259" s="165" t="s">
        <v>59</v>
      </c>
      <c r="H259" s="112" t="s">
        <v>118</v>
      </c>
      <c r="I259" s="112" t="s">
        <v>185</v>
      </c>
      <c r="J259" s="163">
        <v>275</v>
      </c>
      <c r="K259" s="163">
        <f t="shared" si="26"/>
        <v>354.75</v>
      </c>
      <c r="L259" s="112">
        <v>1.29</v>
      </c>
      <c r="M259" s="163">
        <f>O256</f>
        <v>275</v>
      </c>
      <c r="N259" s="163">
        <f t="shared" si="24"/>
        <v>275</v>
      </c>
      <c r="O259" s="166">
        <f t="shared" si="25"/>
        <v>0</v>
      </c>
    </row>
    <row r="260" spans="1:15" ht="15.5" x14ac:dyDescent="0.3">
      <c r="A260" s="149">
        <v>46158</v>
      </c>
      <c r="B260" s="149" t="s">
        <v>725</v>
      </c>
      <c r="C260" s="15">
        <v>1</v>
      </c>
      <c r="D260" s="15" t="s">
        <v>8</v>
      </c>
      <c r="E260" s="15" t="s">
        <v>140</v>
      </c>
      <c r="F260" s="38" t="s">
        <v>242</v>
      </c>
      <c r="G260" s="34" t="s">
        <v>69</v>
      </c>
      <c r="H260" s="38" t="s">
        <v>193</v>
      </c>
      <c r="I260" s="109" t="s">
        <v>240</v>
      </c>
      <c r="J260" s="15">
        <v>300</v>
      </c>
      <c r="K260" s="15">
        <f t="shared" si="26"/>
        <v>378</v>
      </c>
      <c r="L260" s="148">
        <v>1.26</v>
      </c>
      <c r="M260" s="15">
        <v>15500</v>
      </c>
      <c r="N260" s="15">
        <f t="shared" ref="N260:N285" si="27">J260</f>
        <v>300</v>
      </c>
      <c r="O260" s="135">
        <f t="shared" si="25"/>
        <v>15200</v>
      </c>
    </row>
    <row r="261" spans="1:15" ht="15.5" x14ac:dyDescent="0.25">
      <c r="A261" s="149">
        <v>46158</v>
      </c>
      <c r="B261" s="149" t="s">
        <v>725</v>
      </c>
      <c r="C261" s="15">
        <v>1</v>
      </c>
      <c r="D261" s="15" t="s">
        <v>8</v>
      </c>
      <c r="E261" s="15" t="s">
        <v>235</v>
      </c>
      <c r="F261" s="34" t="s">
        <v>199</v>
      </c>
      <c r="G261" s="15" t="s">
        <v>208</v>
      </c>
      <c r="H261" s="34" t="s">
        <v>200</v>
      </c>
      <c r="I261" s="109" t="s">
        <v>198</v>
      </c>
      <c r="J261" s="15">
        <v>600</v>
      </c>
      <c r="K261" s="15">
        <f t="shared" si="26"/>
        <v>960</v>
      </c>
      <c r="L261" s="148">
        <v>1.6</v>
      </c>
      <c r="M261" s="15">
        <v>1840</v>
      </c>
      <c r="N261" s="15">
        <f t="shared" si="27"/>
        <v>600</v>
      </c>
      <c r="O261" s="135">
        <f t="shared" si="25"/>
        <v>1240</v>
      </c>
    </row>
    <row r="262" spans="1:15" ht="15.5" x14ac:dyDescent="0.25">
      <c r="A262" s="149">
        <v>46160</v>
      </c>
      <c r="B262" s="149" t="s">
        <v>725</v>
      </c>
      <c r="C262" s="15">
        <v>1</v>
      </c>
      <c r="D262" s="15" t="s">
        <v>8</v>
      </c>
      <c r="E262" s="35" t="s">
        <v>172</v>
      </c>
      <c r="F262" s="35" t="s">
        <v>113</v>
      </c>
      <c r="G262" s="34" t="s">
        <v>59</v>
      </c>
      <c r="H262" s="35" t="s">
        <v>114</v>
      </c>
      <c r="I262" s="35" t="s">
        <v>175</v>
      </c>
      <c r="J262" s="15">
        <v>365</v>
      </c>
      <c r="K262" s="15">
        <f t="shared" si="26"/>
        <v>813.95</v>
      </c>
      <c r="L262" s="167">
        <v>2.23</v>
      </c>
      <c r="M262" s="15">
        <f>O257</f>
        <v>525</v>
      </c>
      <c r="N262" s="15">
        <f t="shared" si="27"/>
        <v>365</v>
      </c>
      <c r="O262" s="135">
        <f t="shared" si="25"/>
        <v>160</v>
      </c>
    </row>
    <row r="263" spans="1:15" ht="15.5" x14ac:dyDescent="0.25">
      <c r="A263" s="149">
        <v>46160</v>
      </c>
      <c r="B263" s="149" t="s">
        <v>725</v>
      </c>
      <c r="C263" s="15">
        <v>1</v>
      </c>
      <c r="D263" s="15" t="s">
        <v>8</v>
      </c>
      <c r="E263" s="35" t="s">
        <v>172</v>
      </c>
      <c r="F263" s="160" t="s">
        <v>121</v>
      </c>
      <c r="G263" s="34" t="s">
        <v>69</v>
      </c>
      <c r="H263" s="35" t="s">
        <v>245</v>
      </c>
      <c r="I263" s="35" t="s">
        <v>179</v>
      </c>
      <c r="J263" s="15">
        <v>300</v>
      </c>
      <c r="K263" s="15">
        <f t="shared" si="26"/>
        <v>237</v>
      </c>
      <c r="L263" s="167">
        <v>0.79</v>
      </c>
      <c r="M263" s="15">
        <f>O260</f>
        <v>15200</v>
      </c>
      <c r="N263" s="15">
        <f t="shared" si="27"/>
        <v>300</v>
      </c>
      <c r="O263" s="135">
        <f t="shared" si="25"/>
        <v>14900</v>
      </c>
    </row>
    <row r="264" spans="1:15" ht="16" thickBot="1" x14ac:dyDescent="0.3">
      <c r="A264" s="149">
        <v>46160</v>
      </c>
      <c r="B264" s="149" t="s">
        <v>725</v>
      </c>
      <c r="C264" s="163">
        <v>1</v>
      </c>
      <c r="D264" s="163" t="s">
        <v>8</v>
      </c>
      <c r="E264" s="36" t="s">
        <v>172</v>
      </c>
      <c r="F264" s="111" t="s">
        <v>124</v>
      </c>
      <c r="G264" s="165" t="s">
        <v>59</v>
      </c>
      <c r="H264" s="112" t="s">
        <v>118</v>
      </c>
      <c r="I264" s="112" t="s">
        <v>181</v>
      </c>
      <c r="J264" s="163">
        <v>120</v>
      </c>
      <c r="K264" s="163">
        <f t="shared" si="26"/>
        <v>97.440000000000012</v>
      </c>
      <c r="L264" s="168">
        <v>0.81200000000000006</v>
      </c>
      <c r="M264" s="163">
        <v>1000</v>
      </c>
      <c r="N264" s="163">
        <f t="shared" si="27"/>
        <v>120</v>
      </c>
      <c r="O264" s="166">
        <f t="shared" si="25"/>
        <v>880</v>
      </c>
    </row>
    <row r="265" spans="1:15" ht="15.5" x14ac:dyDescent="0.3">
      <c r="A265" s="149">
        <v>46160</v>
      </c>
      <c r="B265" s="149" t="s">
        <v>725</v>
      </c>
      <c r="C265" s="15">
        <v>1</v>
      </c>
      <c r="D265" s="15" t="s">
        <v>8</v>
      </c>
      <c r="E265" s="15" t="s">
        <v>140</v>
      </c>
      <c r="F265" s="38" t="s">
        <v>242</v>
      </c>
      <c r="G265" s="34" t="s">
        <v>69</v>
      </c>
      <c r="H265" s="38" t="s">
        <v>193</v>
      </c>
      <c r="I265" s="109" t="s">
        <v>240</v>
      </c>
      <c r="J265" s="15">
        <v>550</v>
      </c>
      <c r="K265" s="15">
        <f t="shared" si="26"/>
        <v>693</v>
      </c>
      <c r="L265" s="148">
        <v>1.26</v>
      </c>
      <c r="M265" s="15">
        <f>O260</f>
        <v>15200</v>
      </c>
      <c r="N265" s="15">
        <f t="shared" si="27"/>
        <v>550</v>
      </c>
      <c r="O265" s="135">
        <f t="shared" si="25"/>
        <v>14650</v>
      </c>
    </row>
    <row r="266" spans="1:15" ht="15.5" x14ac:dyDescent="0.25">
      <c r="A266" s="149">
        <v>46160</v>
      </c>
      <c r="B266" s="149" t="s">
        <v>725</v>
      </c>
      <c r="C266" s="15">
        <v>1</v>
      </c>
      <c r="D266" s="15" t="s">
        <v>8</v>
      </c>
      <c r="E266" s="15" t="s">
        <v>235</v>
      </c>
      <c r="F266" s="34" t="s">
        <v>199</v>
      </c>
      <c r="G266" s="15" t="s">
        <v>208</v>
      </c>
      <c r="H266" s="34" t="s">
        <v>200</v>
      </c>
      <c r="I266" s="109" t="s">
        <v>198</v>
      </c>
      <c r="J266" s="15">
        <v>725</v>
      </c>
      <c r="K266" s="15">
        <f t="shared" si="26"/>
        <v>1160</v>
      </c>
      <c r="L266" s="148">
        <v>1.6</v>
      </c>
      <c r="M266" s="15">
        <f>O261</f>
        <v>1240</v>
      </c>
      <c r="N266" s="15">
        <f t="shared" si="27"/>
        <v>725</v>
      </c>
      <c r="O266" s="135">
        <f t="shared" si="25"/>
        <v>515</v>
      </c>
    </row>
    <row r="267" spans="1:15" ht="15.5" x14ac:dyDescent="0.3">
      <c r="A267" s="149">
        <v>46161</v>
      </c>
      <c r="B267" s="149" t="s">
        <v>725</v>
      </c>
      <c r="C267" s="15">
        <v>1</v>
      </c>
      <c r="D267" s="15" t="s">
        <v>8</v>
      </c>
      <c r="E267" s="15" t="s">
        <v>140</v>
      </c>
      <c r="F267" s="38" t="s">
        <v>242</v>
      </c>
      <c r="G267" s="34" t="s">
        <v>69</v>
      </c>
      <c r="H267" s="38" t="s">
        <v>193</v>
      </c>
      <c r="I267" s="109" t="s">
        <v>240</v>
      </c>
      <c r="J267" s="15">
        <v>750</v>
      </c>
      <c r="K267" s="15">
        <f t="shared" si="26"/>
        <v>945</v>
      </c>
      <c r="L267" s="148">
        <v>1.26</v>
      </c>
      <c r="M267" s="15">
        <f>O265</f>
        <v>14650</v>
      </c>
      <c r="N267" s="15">
        <f t="shared" si="27"/>
        <v>750</v>
      </c>
      <c r="O267" s="135">
        <f t="shared" si="25"/>
        <v>13900</v>
      </c>
    </row>
    <row r="268" spans="1:15" ht="15.5" x14ac:dyDescent="0.25">
      <c r="A268" s="149">
        <v>46161</v>
      </c>
      <c r="B268" s="149" t="s">
        <v>725</v>
      </c>
      <c r="C268" s="15">
        <v>1</v>
      </c>
      <c r="D268" s="15" t="s">
        <v>8</v>
      </c>
      <c r="E268" s="15" t="s">
        <v>235</v>
      </c>
      <c r="F268" s="34" t="s">
        <v>199</v>
      </c>
      <c r="G268" s="15" t="s">
        <v>208</v>
      </c>
      <c r="H268" s="34" t="s">
        <v>200</v>
      </c>
      <c r="I268" s="109" t="s">
        <v>198</v>
      </c>
      <c r="J268" s="15">
        <v>475</v>
      </c>
      <c r="K268" s="15">
        <f t="shared" si="26"/>
        <v>760</v>
      </c>
      <c r="L268" s="148">
        <v>1.6</v>
      </c>
      <c r="M268" s="15">
        <f>O266</f>
        <v>515</v>
      </c>
      <c r="N268" s="15">
        <f t="shared" si="27"/>
        <v>475</v>
      </c>
      <c r="O268" s="135">
        <f t="shared" si="25"/>
        <v>40</v>
      </c>
    </row>
    <row r="269" spans="1:15" ht="15.5" x14ac:dyDescent="0.25">
      <c r="A269" s="149">
        <v>46161</v>
      </c>
      <c r="B269" s="149" t="s">
        <v>725</v>
      </c>
      <c r="C269" s="15">
        <v>1</v>
      </c>
      <c r="D269" s="15" t="s">
        <v>8</v>
      </c>
      <c r="E269" s="32" t="s">
        <v>75</v>
      </c>
      <c r="F269" s="32" t="s">
        <v>84</v>
      </c>
      <c r="G269" s="15" t="s">
        <v>160</v>
      </c>
      <c r="H269" s="32" t="s">
        <v>85</v>
      </c>
      <c r="I269" s="110" t="s">
        <v>83</v>
      </c>
      <c r="J269" s="15">
        <v>25</v>
      </c>
      <c r="K269" s="15">
        <f t="shared" si="26"/>
        <v>115.5</v>
      </c>
      <c r="L269" s="148">
        <v>4.62</v>
      </c>
      <c r="M269" s="15">
        <f>O251</f>
        <v>25</v>
      </c>
      <c r="N269" s="15">
        <f t="shared" si="27"/>
        <v>25</v>
      </c>
      <c r="O269" s="135">
        <f t="shared" si="25"/>
        <v>0</v>
      </c>
    </row>
    <row r="270" spans="1:15" ht="15.5" x14ac:dyDescent="0.25">
      <c r="A270" s="149">
        <v>46161</v>
      </c>
      <c r="B270" s="149" t="s">
        <v>725</v>
      </c>
      <c r="C270" s="15">
        <v>1</v>
      </c>
      <c r="D270" s="15" t="s">
        <v>8</v>
      </c>
      <c r="E270" s="35" t="s">
        <v>172</v>
      </c>
      <c r="F270" s="35" t="s">
        <v>113</v>
      </c>
      <c r="G270" s="34" t="s">
        <v>59</v>
      </c>
      <c r="H270" s="35" t="s">
        <v>114</v>
      </c>
      <c r="I270" s="35" t="s">
        <v>175</v>
      </c>
      <c r="J270" s="15">
        <v>125</v>
      </c>
      <c r="K270" s="15">
        <f t="shared" si="26"/>
        <v>278.75</v>
      </c>
      <c r="L270" s="167">
        <v>2.23</v>
      </c>
      <c r="M270" s="15">
        <f>O262</f>
        <v>160</v>
      </c>
      <c r="N270" s="15">
        <f t="shared" si="27"/>
        <v>125</v>
      </c>
      <c r="O270" s="135">
        <f t="shared" si="25"/>
        <v>35</v>
      </c>
    </row>
    <row r="271" spans="1:15" ht="16" thickBot="1" x14ac:dyDescent="0.3">
      <c r="A271" s="149">
        <v>46161</v>
      </c>
      <c r="B271" s="149" t="s">
        <v>725</v>
      </c>
      <c r="C271" s="163">
        <v>1</v>
      </c>
      <c r="D271" s="163" t="s">
        <v>8</v>
      </c>
      <c r="E271" s="36" t="s">
        <v>172</v>
      </c>
      <c r="F271" s="111" t="s">
        <v>124</v>
      </c>
      <c r="G271" s="165" t="s">
        <v>59</v>
      </c>
      <c r="H271" s="112" t="s">
        <v>118</v>
      </c>
      <c r="I271" s="112" t="s">
        <v>181</v>
      </c>
      <c r="J271" s="163">
        <v>500</v>
      </c>
      <c r="K271" s="15">
        <f t="shared" si="26"/>
        <v>406</v>
      </c>
      <c r="L271" s="168">
        <v>0.81200000000000006</v>
      </c>
      <c r="M271" s="163">
        <f>O264</f>
        <v>880</v>
      </c>
      <c r="N271" s="163">
        <f t="shared" si="27"/>
        <v>500</v>
      </c>
      <c r="O271" s="166">
        <f t="shared" si="25"/>
        <v>380</v>
      </c>
    </row>
    <row r="272" spans="1:15" ht="15.5" x14ac:dyDescent="0.3">
      <c r="A272" s="149">
        <v>46162</v>
      </c>
      <c r="B272" s="149" t="s">
        <v>725</v>
      </c>
      <c r="C272" s="15">
        <v>1</v>
      </c>
      <c r="D272" s="15" t="s">
        <v>8</v>
      </c>
      <c r="E272" s="15" t="s">
        <v>140</v>
      </c>
      <c r="F272" s="38" t="s">
        <v>242</v>
      </c>
      <c r="G272" s="34" t="s">
        <v>69</v>
      </c>
      <c r="H272" s="38" t="s">
        <v>193</v>
      </c>
      <c r="I272" s="109" t="s">
        <v>240</v>
      </c>
      <c r="J272" s="15">
        <v>1300</v>
      </c>
      <c r="K272" s="15">
        <f t="shared" si="26"/>
        <v>1638</v>
      </c>
      <c r="L272" s="148">
        <v>1.26</v>
      </c>
      <c r="M272" s="15">
        <f>O267</f>
        <v>13900</v>
      </c>
      <c r="N272" s="15">
        <f t="shared" si="27"/>
        <v>1300</v>
      </c>
      <c r="O272" s="135">
        <f t="shared" si="25"/>
        <v>12600</v>
      </c>
    </row>
    <row r="273" spans="1:15" ht="15.5" x14ac:dyDescent="0.25">
      <c r="A273" s="149">
        <v>46162</v>
      </c>
      <c r="B273" s="149" t="s">
        <v>725</v>
      </c>
      <c r="C273" s="15">
        <v>1</v>
      </c>
      <c r="D273" s="15" t="s">
        <v>8</v>
      </c>
      <c r="E273" s="15" t="s">
        <v>75</v>
      </c>
      <c r="F273" s="15" t="s">
        <v>155</v>
      </c>
      <c r="G273" s="15" t="s">
        <v>160</v>
      </c>
      <c r="H273" s="15" t="s">
        <v>263</v>
      </c>
      <c r="I273" s="15" t="s">
        <v>154</v>
      </c>
      <c r="J273" s="15">
        <v>175</v>
      </c>
      <c r="K273" s="15">
        <f t="shared" si="26"/>
        <v>1277.5</v>
      </c>
      <c r="L273" s="148">
        <v>7.3</v>
      </c>
      <c r="M273" s="15">
        <v>2400</v>
      </c>
      <c r="N273" s="15">
        <f t="shared" si="27"/>
        <v>175</v>
      </c>
      <c r="O273" s="135">
        <f t="shared" si="25"/>
        <v>2225</v>
      </c>
    </row>
    <row r="274" spans="1:15" ht="15.5" x14ac:dyDescent="0.25">
      <c r="A274" s="149">
        <v>46162</v>
      </c>
      <c r="B274" s="149" t="s">
        <v>725</v>
      </c>
      <c r="C274" s="15">
        <v>1</v>
      </c>
      <c r="D274" s="15" t="s">
        <v>8</v>
      </c>
      <c r="E274" s="35" t="s">
        <v>172</v>
      </c>
      <c r="F274" s="35" t="s">
        <v>124</v>
      </c>
      <c r="G274" s="34" t="s">
        <v>59</v>
      </c>
      <c r="H274" s="35" t="s">
        <v>118</v>
      </c>
      <c r="I274" s="35" t="s">
        <v>181</v>
      </c>
      <c r="J274" s="15">
        <v>180</v>
      </c>
      <c r="K274" s="15">
        <f t="shared" si="26"/>
        <v>146.16</v>
      </c>
      <c r="L274" s="167">
        <v>0.81200000000000006</v>
      </c>
      <c r="M274" s="15">
        <f>O271</f>
        <v>380</v>
      </c>
      <c r="N274" s="15">
        <f t="shared" si="27"/>
        <v>180</v>
      </c>
      <c r="O274" s="135">
        <f t="shared" si="25"/>
        <v>200</v>
      </c>
    </row>
    <row r="275" spans="1:15" ht="15.5" x14ac:dyDescent="0.25">
      <c r="A275" s="149">
        <v>46162</v>
      </c>
      <c r="B275" s="149" t="s">
        <v>725</v>
      </c>
      <c r="C275" s="15">
        <v>1</v>
      </c>
      <c r="D275" s="15" t="s">
        <v>8</v>
      </c>
      <c r="E275" s="15" t="s">
        <v>172</v>
      </c>
      <c r="F275" s="160" t="s">
        <v>119</v>
      </c>
      <c r="G275" s="34" t="s">
        <v>59</v>
      </c>
      <c r="H275" s="35" t="s">
        <v>120</v>
      </c>
      <c r="I275" s="113" t="s">
        <v>178</v>
      </c>
      <c r="J275" s="15">
        <v>60</v>
      </c>
      <c r="K275" s="15">
        <f t="shared" si="26"/>
        <v>108</v>
      </c>
      <c r="L275" s="167">
        <v>1.8</v>
      </c>
      <c r="M275" s="35">
        <v>230</v>
      </c>
      <c r="N275" s="15">
        <f t="shared" si="27"/>
        <v>60</v>
      </c>
      <c r="O275" s="135">
        <f t="shared" si="25"/>
        <v>170</v>
      </c>
    </row>
    <row r="276" spans="1:15" ht="15.5" x14ac:dyDescent="0.25">
      <c r="A276" s="149">
        <v>46162</v>
      </c>
      <c r="B276" s="149" t="s">
        <v>725</v>
      </c>
      <c r="C276" s="15">
        <v>1</v>
      </c>
      <c r="D276" s="15" t="s">
        <v>8</v>
      </c>
      <c r="E276" s="15" t="s">
        <v>172</v>
      </c>
      <c r="F276" s="160" t="s">
        <v>130</v>
      </c>
      <c r="G276" s="34" t="s">
        <v>59</v>
      </c>
      <c r="H276" s="35" t="s">
        <v>118</v>
      </c>
      <c r="I276" s="113" t="s">
        <v>186</v>
      </c>
      <c r="J276" s="15">
        <v>150</v>
      </c>
      <c r="K276" s="15">
        <f t="shared" si="26"/>
        <v>129</v>
      </c>
      <c r="L276" s="167">
        <v>0.86</v>
      </c>
      <c r="M276" s="35">
        <v>750</v>
      </c>
      <c r="N276" s="15">
        <f t="shared" si="27"/>
        <v>150</v>
      </c>
      <c r="O276" s="135">
        <f t="shared" si="25"/>
        <v>600</v>
      </c>
    </row>
    <row r="277" spans="1:15" ht="15.5" x14ac:dyDescent="0.25">
      <c r="A277" s="149">
        <v>46162</v>
      </c>
      <c r="B277" s="149" t="s">
        <v>725</v>
      </c>
      <c r="C277" s="15">
        <v>1</v>
      </c>
      <c r="D277" s="15" t="s">
        <v>8</v>
      </c>
      <c r="E277" s="15" t="s">
        <v>264</v>
      </c>
      <c r="F277" s="169" t="s">
        <v>254</v>
      </c>
      <c r="G277" s="34" t="s">
        <v>96</v>
      </c>
      <c r="H277" s="34" t="s">
        <v>255</v>
      </c>
      <c r="I277" s="34" t="s">
        <v>252</v>
      </c>
      <c r="J277" s="15">
        <v>700</v>
      </c>
      <c r="K277" s="15">
        <f t="shared" si="26"/>
        <v>959.00000000000011</v>
      </c>
      <c r="L277" s="170">
        <v>1.37</v>
      </c>
      <c r="M277" s="34">
        <v>5280</v>
      </c>
      <c r="N277" s="15">
        <f t="shared" si="27"/>
        <v>700</v>
      </c>
      <c r="O277" s="135">
        <f t="shared" si="25"/>
        <v>4580</v>
      </c>
    </row>
    <row r="278" spans="1:15" ht="15.5" x14ac:dyDescent="0.25">
      <c r="A278" s="149">
        <v>46163</v>
      </c>
      <c r="B278" s="149" t="s">
        <v>725</v>
      </c>
      <c r="C278" s="15">
        <v>1</v>
      </c>
      <c r="D278" s="15" t="s">
        <v>8</v>
      </c>
      <c r="E278" s="15" t="s">
        <v>264</v>
      </c>
      <c r="F278" s="169" t="s">
        <v>254</v>
      </c>
      <c r="G278" s="34" t="s">
        <v>96</v>
      </c>
      <c r="H278" s="34" t="s">
        <v>255</v>
      </c>
      <c r="I278" s="34" t="s">
        <v>252</v>
      </c>
      <c r="J278" s="15">
        <v>350</v>
      </c>
      <c r="K278" s="15">
        <f t="shared" si="26"/>
        <v>479.50000000000006</v>
      </c>
      <c r="L278" s="170">
        <v>1.37</v>
      </c>
      <c r="M278" s="171">
        <f>O277</f>
        <v>4580</v>
      </c>
      <c r="N278" s="15">
        <f t="shared" si="27"/>
        <v>350</v>
      </c>
      <c r="O278" s="135">
        <f t="shared" si="25"/>
        <v>4230</v>
      </c>
    </row>
    <row r="279" spans="1:15" ht="15.5" x14ac:dyDescent="0.25">
      <c r="A279" s="149">
        <v>46163</v>
      </c>
      <c r="B279" s="149" t="s">
        <v>725</v>
      </c>
      <c r="C279" s="15">
        <v>1</v>
      </c>
      <c r="D279" s="15" t="s">
        <v>8</v>
      </c>
      <c r="E279" s="15" t="s">
        <v>75</v>
      </c>
      <c r="F279" s="15" t="s">
        <v>155</v>
      </c>
      <c r="G279" s="15" t="s">
        <v>160</v>
      </c>
      <c r="H279" s="15" t="s">
        <v>263</v>
      </c>
      <c r="I279" s="15" t="s">
        <v>154</v>
      </c>
      <c r="J279" s="15">
        <f>150</f>
        <v>150</v>
      </c>
      <c r="K279" s="15">
        <f t="shared" si="26"/>
        <v>1095</v>
      </c>
      <c r="L279" s="148">
        <v>7.3</v>
      </c>
      <c r="M279" s="15">
        <f>O273</f>
        <v>2225</v>
      </c>
      <c r="N279" s="15">
        <f t="shared" si="27"/>
        <v>150</v>
      </c>
      <c r="O279" s="135">
        <f t="shared" si="25"/>
        <v>2075</v>
      </c>
    </row>
    <row r="280" spans="1:15" ht="15.5" x14ac:dyDescent="0.25">
      <c r="A280" s="149">
        <v>46163</v>
      </c>
      <c r="B280" s="149" t="s">
        <v>725</v>
      </c>
      <c r="C280" s="15">
        <v>1</v>
      </c>
      <c r="D280" s="15" t="s">
        <v>8</v>
      </c>
      <c r="E280" s="35" t="s">
        <v>172</v>
      </c>
      <c r="F280" s="35" t="s">
        <v>115</v>
      </c>
      <c r="G280" s="34" t="s">
        <v>69</v>
      </c>
      <c r="H280" s="35" t="s">
        <v>116</v>
      </c>
      <c r="I280" s="35" t="s">
        <v>176</v>
      </c>
      <c r="J280" s="15">
        <v>75</v>
      </c>
      <c r="K280" s="15">
        <f t="shared" si="26"/>
        <v>101.25</v>
      </c>
      <c r="L280" s="35">
        <v>1.35</v>
      </c>
      <c r="M280" s="15">
        <f>O254</f>
        <v>75</v>
      </c>
      <c r="N280" s="15">
        <f t="shared" si="27"/>
        <v>75</v>
      </c>
      <c r="O280" s="135">
        <f t="shared" si="25"/>
        <v>0</v>
      </c>
    </row>
    <row r="281" spans="1:15" ht="15.5" x14ac:dyDescent="0.25">
      <c r="A281" s="149">
        <v>46163</v>
      </c>
      <c r="B281" s="149" t="s">
        <v>725</v>
      </c>
      <c r="C281" s="15">
        <v>1</v>
      </c>
      <c r="D281" s="15" t="s">
        <v>8</v>
      </c>
      <c r="E281" s="15" t="s">
        <v>172</v>
      </c>
      <c r="F281" s="160" t="s">
        <v>130</v>
      </c>
      <c r="G281" s="34" t="s">
        <v>59</v>
      </c>
      <c r="H281" s="35" t="s">
        <v>118</v>
      </c>
      <c r="I281" s="113" t="s">
        <v>186</v>
      </c>
      <c r="J281" s="15">
        <v>400</v>
      </c>
      <c r="K281" s="15">
        <f t="shared" si="26"/>
        <v>344</v>
      </c>
      <c r="L281" s="167">
        <v>0.86</v>
      </c>
      <c r="M281" s="172">
        <f>O276</f>
        <v>600</v>
      </c>
      <c r="N281" s="15">
        <f t="shared" si="27"/>
        <v>400</v>
      </c>
      <c r="O281" s="135">
        <f t="shared" si="25"/>
        <v>200</v>
      </c>
    </row>
    <row r="282" spans="1:15" ht="15.5" x14ac:dyDescent="0.25">
      <c r="A282" s="149">
        <v>46163</v>
      </c>
      <c r="B282" s="149" t="s">
        <v>725</v>
      </c>
      <c r="C282" s="15">
        <v>1</v>
      </c>
      <c r="D282" s="15" t="s">
        <v>8</v>
      </c>
      <c r="E282" s="15" t="s">
        <v>172</v>
      </c>
      <c r="F282" s="15" t="s">
        <v>109</v>
      </c>
      <c r="G282" s="34" t="s">
        <v>59</v>
      </c>
      <c r="H282" s="15" t="s">
        <v>110</v>
      </c>
      <c r="I282" s="15" t="s">
        <v>173</v>
      </c>
      <c r="J282" s="15">
        <v>50</v>
      </c>
      <c r="K282" s="15">
        <f t="shared" si="26"/>
        <v>60.5</v>
      </c>
      <c r="L282" s="167">
        <v>1.21</v>
      </c>
      <c r="M282" s="172">
        <f>700</f>
        <v>700</v>
      </c>
      <c r="N282" s="15">
        <f t="shared" si="27"/>
        <v>50</v>
      </c>
      <c r="O282" s="135">
        <f t="shared" si="25"/>
        <v>650</v>
      </c>
    </row>
    <row r="283" spans="1:15" ht="15.5" x14ac:dyDescent="0.25">
      <c r="A283" s="149">
        <v>46164</v>
      </c>
      <c r="B283" s="149" t="s">
        <v>725</v>
      </c>
      <c r="C283" s="15">
        <v>1</v>
      </c>
      <c r="D283" s="15" t="s">
        <v>8</v>
      </c>
      <c r="E283" s="15" t="s">
        <v>172</v>
      </c>
      <c r="F283" s="160" t="s">
        <v>130</v>
      </c>
      <c r="G283" s="34" t="s">
        <v>59</v>
      </c>
      <c r="H283" s="35" t="s">
        <v>118</v>
      </c>
      <c r="I283" s="113" t="s">
        <v>186</v>
      </c>
      <c r="J283" s="15">
        <v>200</v>
      </c>
      <c r="K283" s="15">
        <f t="shared" si="26"/>
        <v>172</v>
      </c>
      <c r="L283" s="167">
        <v>0.86</v>
      </c>
      <c r="M283" s="35">
        <v>750</v>
      </c>
      <c r="N283" s="15">
        <f t="shared" si="27"/>
        <v>200</v>
      </c>
      <c r="O283" s="135">
        <f t="shared" si="25"/>
        <v>550</v>
      </c>
    </row>
    <row r="284" spans="1:15" ht="15.5" x14ac:dyDescent="0.25">
      <c r="A284" s="149">
        <v>46164</v>
      </c>
      <c r="B284" s="149" t="s">
        <v>725</v>
      </c>
      <c r="C284" s="15">
        <v>1</v>
      </c>
      <c r="D284" s="15" t="s">
        <v>8</v>
      </c>
      <c r="E284" s="35" t="s">
        <v>172</v>
      </c>
      <c r="F284" s="35" t="s">
        <v>124</v>
      </c>
      <c r="G284" s="34" t="s">
        <v>59</v>
      </c>
      <c r="H284" s="35" t="s">
        <v>118</v>
      </c>
      <c r="I284" s="35" t="s">
        <v>181</v>
      </c>
      <c r="J284" s="15">
        <v>200</v>
      </c>
      <c r="K284" s="15">
        <f t="shared" si="26"/>
        <v>162.4</v>
      </c>
      <c r="L284" s="167">
        <v>0.81200000000000006</v>
      </c>
      <c r="M284" s="15">
        <f>O281</f>
        <v>200</v>
      </c>
      <c r="N284" s="15">
        <f t="shared" si="27"/>
        <v>200</v>
      </c>
      <c r="O284" s="135">
        <f t="shared" si="25"/>
        <v>0</v>
      </c>
    </row>
    <row r="285" spans="1:15" ht="15.5" x14ac:dyDescent="0.25">
      <c r="A285" s="149">
        <v>46164</v>
      </c>
      <c r="B285" s="149" t="s">
        <v>725</v>
      </c>
      <c r="C285" s="15">
        <v>1</v>
      </c>
      <c r="D285" s="15" t="s">
        <v>8</v>
      </c>
      <c r="E285" s="15" t="s">
        <v>75</v>
      </c>
      <c r="F285" s="15" t="s">
        <v>155</v>
      </c>
      <c r="G285" s="15" t="s">
        <v>160</v>
      </c>
      <c r="H285" s="15" t="s">
        <v>263</v>
      </c>
      <c r="I285" s="15" t="s">
        <v>154</v>
      </c>
      <c r="J285" s="15">
        <v>175</v>
      </c>
      <c r="K285" s="15">
        <f t="shared" si="26"/>
        <v>1277.5</v>
      </c>
      <c r="L285" s="148">
        <v>7.3</v>
      </c>
      <c r="M285" s="15">
        <f>O279</f>
        <v>2075</v>
      </c>
      <c r="N285" s="15">
        <f t="shared" si="27"/>
        <v>175</v>
      </c>
      <c r="O285" s="135">
        <f t="shared" si="25"/>
        <v>1900</v>
      </c>
    </row>
    <row r="286" spans="1:15" ht="15.5" x14ac:dyDescent="0.25">
      <c r="A286" s="149">
        <v>46164</v>
      </c>
      <c r="B286" s="149" t="s">
        <v>725</v>
      </c>
      <c r="C286" s="15">
        <v>1</v>
      </c>
      <c r="D286" s="15" t="s">
        <v>8</v>
      </c>
      <c r="E286" s="15" t="s">
        <v>172</v>
      </c>
      <c r="F286" s="15" t="s">
        <v>109</v>
      </c>
      <c r="G286" s="34" t="s">
        <v>59</v>
      </c>
      <c r="H286" s="15" t="s">
        <v>110</v>
      </c>
      <c r="I286" s="15" t="s">
        <v>173</v>
      </c>
      <c r="J286" s="15">
        <v>650</v>
      </c>
      <c r="K286" s="15">
        <f t="shared" si="26"/>
        <v>786.5</v>
      </c>
      <c r="L286" s="167">
        <v>1.21</v>
      </c>
      <c r="M286" s="172">
        <v>700</v>
      </c>
      <c r="N286" s="15">
        <v>50</v>
      </c>
      <c r="O286" s="135">
        <v>650</v>
      </c>
    </row>
    <row r="287" spans="1:15" ht="15.5" x14ac:dyDescent="0.25">
      <c r="A287" s="149">
        <v>46165</v>
      </c>
      <c r="B287" s="149" t="s">
        <v>725</v>
      </c>
      <c r="C287" s="15">
        <v>1</v>
      </c>
      <c r="D287" s="15" t="s">
        <v>8</v>
      </c>
      <c r="E287" s="15" t="s">
        <v>75</v>
      </c>
      <c r="F287" s="15" t="s">
        <v>155</v>
      </c>
      <c r="G287" s="15" t="s">
        <v>160</v>
      </c>
      <c r="H287" s="15" t="s">
        <v>263</v>
      </c>
      <c r="I287" s="15" t="s">
        <v>154</v>
      </c>
      <c r="J287" s="15">
        <v>150</v>
      </c>
      <c r="K287" s="15">
        <f t="shared" si="26"/>
        <v>1095</v>
      </c>
      <c r="L287" s="148">
        <v>7.3</v>
      </c>
      <c r="M287" s="15">
        <f>O285</f>
        <v>1900</v>
      </c>
      <c r="N287" s="15">
        <f t="shared" ref="N287:N318" si="28">J287</f>
        <v>150</v>
      </c>
      <c r="O287" s="135">
        <f t="shared" ref="O287:O318" si="29">M287-N287</f>
        <v>1750</v>
      </c>
    </row>
    <row r="288" spans="1:15" ht="15.5" x14ac:dyDescent="0.25">
      <c r="A288" s="149">
        <v>46165</v>
      </c>
      <c r="B288" s="149" t="s">
        <v>725</v>
      </c>
      <c r="C288" s="15">
        <v>1</v>
      </c>
      <c r="D288" s="15" t="s">
        <v>8</v>
      </c>
      <c r="E288" s="15" t="s">
        <v>265</v>
      </c>
      <c r="F288" s="15" t="s">
        <v>267</v>
      </c>
      <c r="G288" s="15" t="s">
        <v>268</v>
      </c>
      <c r="H288" s="15" t="s">
        <v>13</v>
      </c>
      <c r="I288" s="15" t="s">
        <v>266</v>
      </c>
      <c r="J288" s="15">
        <v>125</v>
      </c>
      <c r="K288" s="15">
        <f t="shared" si="26"/>
        <v>425</v>
      </c>
      <c r="L288" s="148">
        <v>3.4</v>
      </c>
      <c r="M288" s="15">
        <v>200</v>
      </c>
      <c r="N288" s="15">
        <f t="shared" si="28"/>
        <v>125</v>
      </c>
      <c r="O288" s="135">
        <f t="shared" si="29"/>
        <v>75</v>
      </c>
    </row>
    <row r="289" spans="1:15" ht="15.5" x14ac:dyDescent="0.25">
      <c r="A289" s="149">
        <v>46167</v>
      </c>
      <c r="B289" s="149" t="s">
        <v>725</v>
      </c>
      <c r="C289" s="15">
        <v>1</v>
      </c>
      <c r="D289" s="15" t="s">
        <v>8</v>
      </c>
      <c r="E289" s="15" t="s">
        <v>75</v>
      </c>
      <c r="F289" s="15" t="s">
        <v>155</v>
      </c>
      <c r="G289" s="15" t="s">
        <v>160</v>
      </c>
      <c r="H289" s="15" t="s">
        <v>263</v>
      </c>
      <c r="I289" s="15" t="s">
        <v>154</v>
      </c>
      <c r="J289" s="15">
        <v>75</v>
      </c>
      <c r="K289" s="15">
        <f t="shared" si="26"/>
        <v>547.5</v>
      </c>
      <c r="L289" s="148">
        <v>7.3</v>
      </c>
      <c r="M289" s="15">
        <f>O287</f>
        <v>1750</v>
      </c>
      <c r="N289" s="15">
        <f t="shared" si="28"/>
        <v>75</v>
      </c>
      <c r="O289" s="135">
        <f t="shared" si="29"/>
        <v>1675</v>
      </c>
    </row>
    <row r="290" spans="1:15" ht="15.5" x14ac:dyDescent="0.25">
      <c r="A290" s="149">
        <v>46167</v>
      </c>
      <c r="B290" s="149" t="s">
        <v>725</v>
      </c>
      <c r="C290" s="15">
        <v>1</v>
      </c>
      <c r="D290" s="15" t="s">
        <v>8</v>
      </c>
      <c r="E290" s="15" t="s">
        <v>265</v>
      </c>
      <c r="F290" s="15" t="s">
        <v>267</v>
      </c>
      <c r="G290" s="15" t="s">
        <v>268</v>
      </c>
      <c r="H290" s="15" t="s">
        <v>13</v>
      </c>
      <c r="I290" s="15" t="s">
        <v>266</v>
      </c>
      <c r="J290" s="15">
        <v>75</v>
      </c>
      <c r="K290" s="15">
        <f t="shared" si="26"/>
        <v>255</v>
      </c>
      <c r="L290" s="148">
        <v>3.4</v>
      </c>
      <c r="M290" s="15">
        <f>O288</f>
        <v>75</v>
      </c>
      <c r="N290" s="15">
        <f t="shared" si="28"/>
        <v>75</v>
      </c>
      <c r="O290" s="135">
        <f t="shared" si="29"/>
        <v>0</v>
      </c>
    </row>
    <row r="291" spans="1:15" ht="15.5" x14ac:dyDescent="0.25">
      <c r="A291" s="149">
        <v>46167</v>
      </c>
      <c r="B291" s="149" t="s">
        <v>725</v>
      </c>
      <c r="C291" s="15">
        <v>1</v>
      </c>
      <c r="D291" s="15" t="s">
        <v>8</v>
      </c>
      <c r="E291" s="15" t="s">
        <v>235</v>
      </c>
      <c r="F291" s="34" t="s">
        <v>204</v>
      </c>
      <c r="G291" s="15" t="s">
        <v>208</v>
      </c>
      <c r="H291" s="34" t="s">
        <v>295</v>
      </c>
      <c r="I291" s="109" t="s">
        <v>198</v>
      </c>
      <c r="J291" s="15">
        <v>400</v>
      </c>
      <c r="K291" s="15">
        <f t="shared" si="26"/>
        <v>756</v>
      </c>
      <c r="L291" s="148">
        <v>1.89</v>
      </c>
      <c r="M291" s="15">
        <v>400</v>
      </c>
      <c r="N291" s="15">
        <f t="shared" si="28"/>
        <v>400</v>
      </c>
      <c r="O291" s="135">
        <f t="shared" si="29"/>
        <v>0</v>
      </c>
    </row>
    <row r="292" spans="1:15" ht="15.5" x14ac:dyDescent="0.3">
      <c r="A292" s="149">
        <v>46167</v>
      </c>
      <c r="B292" s="149" t="s">
        <v>725</v>
      </c>
      <c r="C292" s="15">
        <v>1</v>
      </c>
      <c r="D292" s="15" t="s">
        <v>8</v>
      </c>
      <c r="E292" s="15" t="s">
        <v>140</v>
      </c>
      <c r="F292" s="38" t="s">
        <v>242</v>
      </c>
      <c r="G292" s="34" t="s">
        <v>69</v>
      </c>
      <c r="H292" s="38" t="s">
        <v>193</v>
      </c>
      <c r="I292" s="109" t="s">
        <v>240</v>
      </c>
      <c r="J292" s="15">
        <v>400</v>
      </c>
      <c r="K292" s="15">
        <f t="shared" si="26"/>
        <v>504</v>
      </c>
      <c r="L292" s="148">
        <v>1.26</v>
      </c>
      <c r="M292" s="15">
        <f>O272</f>
        <v>12600</v>
      </c>
      <c r="N292" s="15">
        <f t="shared" si="28"/>
        <v>400</v>
      </c>
      <c r="O292" s="135">
        <f t="shared" si="29"/>
        <v>12200</v>
      </c>
    </row>
    <row r="293" spans="1:15" ht="15.5" x14ac:dyDescent="0.25">
      <c r="A293" s="149">
        <v>46167</v>
      </c>
      <c r="B293" s="149" t="s">
        <v>725</v>
      </c>
      <c r="C293" s="15">
        <v>1</v>
      </c>
      <c r="D293" s="15" t="s">
        <v>8</v>
      </c>
      <c r="E293" s="15" t="s">
        <v>172</v>
      </c>
      <c r="F293" s="160" t="s">
        <v>119</v>
      </c>
      <c r="G293" s="34" t="s">
        <v>59</v>
      </c>
      <c r="H293" s="35" t="s">
        <v>120</v>
      </c>
      <c r="I293" s="113" t="s">
        <v>178</v>
      </c>
      <c r="J293" s="15">
        <v>170</v>
      </c>
      <c r="K293" s="15">
        <f t="shared" si="26"/>
        <v>306</v>
      </c>
      <c r="L293" s="167">
        <v>1.8</v>
      </c>
      <c r="M293" s="172">
        <f>O275</f>
        <v>170</v>
      </c>
      <c r="N293" s="15">
        <f t="shared" si="28"/>
        <v>170</v>
      </c>
      <c r="O293" s="135">
        <f t="shared" si="29"/>
        <v>0</v>
      </c>
    </row>
    <row r="294" spans="1:15" ht="15.5" x14ac:dyDescent="0.25">
      <c r="A294" s="149">
        <v>46167</v>
      </c>
      <c r="B294" s="149" t="s">
        <v>725</v>
      </c>
      <c r="C294" s="15">
        <v>1</v>
      </c>
      <c r="D294" s="15" t="s">
        <v>8</v>
      </c>
      <c r="E294" s="15" t="s">
        <v>172</v>
      </c>
      <c r="F294" s="35" t="s">
        <v>131</v>
      </c>
      <c r="G294" s="34" t="s">
        <v>59</v>
      </c>
      <c r="H294" s="35" t="s">
        <v>296</v>
      </c>
      <c r="I294" s="113" t="s">
        <v>187</v>
      </c>
      <c r="J294" s="15">
        <v>250</v>
      </c>
      <c r="K294" s="15">
        <f t="shared" si="26"/>
        <v>222.5</v>
      </c>
      <c r="L294" s="167">
        <v>0.89</v>
      </c>
      <c r="M294" s="172">
        <f>250</f>
        <v>250</v>
      </c>
      <c r="N294" s="15">
        <f t="shared" si="28"/>
        <v>250</v>
      </c>
      <c r="O294" s="135">
        <f t="shared" si="29"/>
        <v>0</v>
      </c>
    </row>
    <row r="295" spans="1:15" ht="15.5" x14ac:dyDescent="0.25">
      <c r="A295" s="149">
        <v>46168</v>
      </c>
      <c r="B295" s="149" t="s">
        <v>725</v>
      </c>
      <c r="C295" s="15">
        <v>1</v>
      </c>
      <c r="D295" s="15" t="s">
        <v>8</v>
      </c>
      <c r="E295" s="15" t="s">
        <v>235</v>
      </c>
      <c r="F295" s="34" t="s">
        <v>199</v>
      </c>
      <c r="G295" s="15" t="s">
        <v>208</v>
      </c>
      <c r="H295" s="34" t="s">
        <v>200</v>
      </c>
      <c r="I295" s="109" t="s">
        <v>198</v>
      </c>
      <c r="J295" s="15">
        <v>40</v>
      </c>
      <c r="K295" s="15">
        <f t="shared" si="26"/>
        <v>64</v>
      </c>
      <c r="L295" s="148">
        <v>1.6</v>
      </c>
      <c r="M295" s="15">
        <v>40</v>
      </c>
      <c r="N295" s="15">
        <f t="shared" si="28"/>
        <v>40</v>
      </c>
      <c r="O295" s="135">
        <f t="shared" si="29"/>
        <v>0</v>
      </c>
    </row>
    <row r="296" spans="1:15" ht="15.5" x14ac:dyDescent="0.25">
      <c r="A296" s="149">
        <v>46168</v>
      </c>
      <c r="B296" s="149" t="s">
        <v>725</v>
      </c>
      <c r="C296" s="15">
        <v>1</v>
      </c>
      <c r="D296" s="15" t="s">
        <v>8</v>
      </c>
      <c r="E296" s="15" t="s">
        <v>75</v>
      </c>
      <c r="F296" s="15" t="s">
        <v>155</v>
      </c>
      <c r="G296" s="15" t="s">
        <v>160</v>
      </c>
      <c r="H296" s="15" t="s">
        <v>263</v>
      </c>
      <c r="I296" s="15" t="s">
        <v>154</v>
      </c>
      <c r="J296" s="15">
        <v>155</v>
      </c>
      <c r="K296" s="15">
        <f t="shared" si="26"/>
        <v>1131.5</v>
      </c>
      <c r="L296" s="148">
        <v>7.3</v>
      </c>
      <c r="M296" s="15">
        <f>O289</f>
        <v>1675</v>
      </c>
      <c r="N296" s="15">
        <f t="shared" si="28"/>
        <v>155</v>
      </c>
      <c r="O296" s="135">
        <f t="shared" si="29"/>
        <v>1520</v>
      </c>
    </row>
    <row r="297" spans="1:15" ht="15.5" x14ac:dyDescent="0.25">
      <c r="A297" s="149">
        <v>46169</v>
      </c>
      <c r="B297" s="149" t="s">
        <v>725</v>
      </c>
      <c r="C297" s="15">
        <v>1</v>
      </c>
      <c r="D297" s="15" t="s">
        <v>8</v>
      </c>
      <c r="E297" s="15" t="s">
        <v>75</v>
      </c>
      <c r="F297" s="15" t="s">
        <v>155</v>
      </c>
      <c r="G297" s="15" t="s">
        <v>160</v>
      </c>
      <c r="H297" s="15" t="s">
        <v>263</v>
      </c>
      <c r="I297" s="15" t="s">
        <v>154</v>
      </c>
      <c r="J297" s="15">
        <v>170</v>
      </c>
      <c r="K297" s="15">
        <f t="shared" si="26"/>
        <v>1241</v>
      </c>
      <c r="L297" s="148">
        <v>7.3</v>
      </c>
      <c r="M297" s="15">
        <v>1545</v>
      </c>
      <c r="N297" s="15">
        <f t="shared" si="28"/>
        <v>170</v>
      </c>
      <c r="O297" s="135">
        <f t="shared" si="29"/>
        <v>1375</v>
      </c>
    </row>
    <row r="298" spans="1:15" ht="15.5" x14ac:dyDescent="0.25">
      <c r="A298" s="149">
        <v>46169</v>
      </c>
      <c r="B298" s="149" t="s">
        <v>725</v>
      </c>
      <c r="C298" s="15">
        <v>1</v>
      </c>
      <c r="D298" s="15" t="s">
        <v>8</v>
      </c>
      <c r="E298" s="35" t="s">
        <v>172</v>
      </c>
      <c r="F298" s="35" t="s">
        <v>113</v>
      </c>
      <c r="G298" s="34" t="s">
        <v>59</v>
      </c>
      <c r="H298" s="35" t="s">
        <v>114</v>
      </c>
      <c r="I298" s="35" t="s">
        <v>175</v>
      </c>
      <c r="J298" s="15">
        <v>35</v>
      </c>
      <c r="K298" s="15">
        <f t="shared" si="26"/>
        <v>78.05</v>
      </c>
      <c r="L298" s="167">
        <v>2.23</v>
      </c>
      <c r="M298" s="15">
        <v>35</v>
      </c>
      <c r="N298" s="15">
        <f t="shared" si="28"/>
        <v>35</v>
      </c>
      <c r="O298" s="135">
        <f t="shared" si="29"/>
        <v>0</v>
      </c>
    </row>
    <row r="299" spans="1:15" ht="15.5" x14ac:dyDescent="0.25">
      <c r="A299" s="149">
        <v>46169</v>
      </c>
      <c r="B299" s="149" t="s">
        <v>725</v>
      </c>
      <c r="C299" s="15">
        <v>1</v>
      </c>
      <c r="D299" s="15" t="s">
        <v>8</v>
      </c>
      <c r="E299" s="15" t="s">
        <v>190</v>
      </c>
      <c r="F299" s="34" t="s">
        <v>211</v>
      </c>
      <c r="G299" s="15" t="s">
        <v>298</v>
      </c>
      <c r="H299" s="34" t="s">
        <v>211</v>
      </c>
      <c r="I299" s="15" t="s">
        <v>210</v>
      </c>
      <c r="J299" s="15">
        <f>450</f>
        <v>450</v>
      </c>
      <c r="K299" s="15">
        <f t="shared" si="26"/>
        <v>301.5</v>
      </c>
      <c r="L299" s="148">
        <v>0.67</v>
      </c>
      <c r="M299" s="15">
        <v>15000</v>
      </c>
      <c r="N299" s="15">
        <f t="shared" si="28"/>
        <v>450</v>
      </c>
      <c r="O299" s="135">
        <f t="shared" si="29"/>
        <v>14550</v>
      </c>
    </row>
    <row r="300" spans="1:15" ht="15.5" x14ac:dyDescent="0.25">
      <c r="A300" s="149">
        <v>46169</v>
      </c>
      <c r="B300" s="149" t="s">
        <v>725</v>
      </c>
      <c r="C300" s="15">
        <v>1</v>
      </c>
      <c r="D300" s="15" t="s">
        <v>8</v>
      </c>
      <c r="E300" s="15" t="s">
        <v>297</v>
      </c>
      <c r="F300" s="34" t="s">
        <v>271</v>
      </c>
      <c r="G300" s="15" t="s">
        <v>299</v>
      </c>
      <c r="H300" s="34" t="s">
        <v>271</v>
      </c>
      <c r="I300" s="34" t="s">
        <v>269</v>
      </c>
      <c r="J300" s="15">
        <f>300</f>
        <v>300</v>
      </c>
      <c r="K300" s="15">
        <f t="shared" si="26"/>
        <v>651</v>
      </c>
      <c r="L300" s="148">
        <v>2.17</v>
      </c>
      <c r="M300" s="15">
        <v>10000</v>
      </c>
      <c r="N300" s="15">
        <f t="shared" si="28"/>
        <v>300</v>
      </c>
      <c r="O300" s="135">
        <f t="shared" si="29"/>
        <v>9700</v>
      </c>
    </row>
    <row r="301" spans="1:15" ht="15.5" x14ac:dyDescent="0.25">
      <c r="A301" s="173">
        <v>46170</v>
      </c>
      <c r="B301" s="149" t="s">
        <v>725</v>
      </c>
      <c r="C301" s="15">
        <v>1</v>
      </c>
      <c r="D301" s="15" t="s">
        <v>8</v>
      </c>
      <c r="E301" s="37" t="s">
        <v>297</v>
      </c>
      <c r="F301" s="34" t="s">
        <v>271</v>
      </c>
      <c r="G301" s="15" t="s">
        <v>299</v>
      </c>
      <c r="H301" s="34" t="s">
        <v>271</v>
      </c>
      <c r="I301" s="34" t="s">
        <v>269</v>
      </c>
      <c r="J301" s="15">
        <v>270</v>
      </c>
      <c r="K301" s="15">
        <f t="shared" si="26"/>
        <v>585.9</v>
      </c>
      <c r="L301" s="148">
        <v>2.17</v>
      </c>
      <c r="M301" s="15">
        <v>9700</v>
      </c>
      <c r="N301" s="15">
        <f t="shared" si="28"/>
        <v>270</v>
      </c>
      <c r="O301" s="15">
        <f t="shared" si="29"/>
        <v>9430</v>
      </c>
    </row>
    <row r="302" spans="1:15" ht="15.5" x14ac:dyDescent="0.25">
      <c r="A302" s="173">
        <v>46170</v>
      </c>
      <c r="B302" s="149" t="s">
        <v>725</v>
      </c>
      <c r="C302" s="15">
        <v>1</v>
      </c>
      <c r="D302" s="15" t="s">
        <v>8</v>
      </c>
      <c r="E302" s="15" t="s">
        <v>75</v>
      </c>
      <c r="F302" s="15" t="s">
        <v>155</v>
      </c>
      <c r="G302" s="15" t="s">
        <v>160</v>
      </c>
      <c r="H302" s="15" t="s">
        <v>263</v>
      </c>
      <c r="I302" s="15" t="s">
        <v>154</v>
      </c>
      <c r="J302" s="15">
        <v>165</v>
      </c>
      <c r="K302" s="15">
        <f t="shared" si="26"/>
        <v>1204.5</v>
      </c>
      <c r="L302" s="148">
        <v>7.3</v>
      </c>
      <c r="M302" s="15">
        <v>1375</v>
      </c>
      <c r="N302" s="15">
        <f t="shared" si="28"/>
        <v>165</v>
      </c>
      <c r="O302" s="15">
        <f t="shared" si="29"/>
        <v>1210</v>
      </c>
    </row>
    <row r="303" spans="1:15" ht="15.5" x14ac:dyDescent="0.25">
      <c r="A303" s="173">
        <v>46170</v>
      </c>
      <c r="B303" s="149" t="s">
        <v>725</v>
      </c>
      <c r="C303" s="15">
        <v>1</v>
      </c>
      <c r="D303" s="15" t="s">
        <v>8</v>
      </c>
      <c r="E303" s="15" t="s">
        <v>190</v>
      </c>
      <c r="F303" s="34" t="s">
        <v>211</v>
      </c>
      <c r="G303" s="15" t="s">
        <v>298</v>
      </c>
      <c r="H303" s="34" t="s">
        <v>211</v>
      </c>
      <c r="I303" s="15" t="s">
        <v>210</v>
      </c>
      <c r="J303" s="15">
        <v>800</v>
      </c>
      <c r="K303" s="15">
        <f t="shared" si="26"/>
        <v>536</v>
      </c>
      <c r="L303" s="148">
        <v>0.67</v>
      </c>
      <c r="M303" s="15">
        <v>14550</v>
      </c>
      <c r="N303" s="15">
        <f t="shared" si="28"/>
        <v>800</v>
      </c>
      <c r="O303" s="15">
        <f t="shared" si="29"/>
        <v>13750</v>
      </c>
    </row>
    <row r="304" spans="1:15" ht="15.5" x14ac:dyDescent="0.25">
      <c r="A304" s="173">
        <v>46171</v>
      </c>
      <c r="B304" s="149" t="s">
        <v>725</v>
      </c>
      <c r="C304" s="15">
        <v>1</v>
      </c>
      <c r="D304" s="15" t="s">
        <v>8</v>
      </c>
      <c r="E304" s="37" t="s">
        <v>297</v>
      </c>
      <c r="F304" s="34" t="s">
        <v>271</v>
      </c>
      <c r="G304" s="15" t="s">
        <v>299</v>
      </c>
      <c r="H304" s="34" t="s">
        <v>271</v>
      </c>
      <c r="I304" s="34" t="s">
        <v>269</v>
      </c>
      <c r="J304" s="15">
        <v>100</v>
      </c>
      <c r="K304" s="15">
        <f t="shared" si="26"/>
        <v>217</v>
      </c>
      <c r="L304" s="148">
        <v>2.17</v>
      </c>
      <c r="M304" s="15">
        <v>9430</v>
      </c>
      <c r="N304" s="15">
        <f t="shared" si="28"/>
        <v>100</v>
      </c>
      <c r="O304" s="15">
        <f t="shared" si="29"/>
        <v>9330</v>
      </c>
    </row>
    <row r="305" spans="1:15" ht="15.5" x14ac:dyDescent="0.25">
      <c r="A305" s="173">
        <v>46171</v>
      </c>
      <c r="B305" s="149" t="s">
        <v>725</v>
      </c>
      <c r="C305" s="15">
        <v>1</v>
      </c>
      <c r="D305" s="15" t="s">
        <v>8</v>
      </c>
      <c r="E305" s="15" t="s">
        <v>75</v>
      </c>
      <c r="F305" s="15" t="s">
        <v>155</v>
      </c>
      <c r="G305" s="15" t="s">
        <v>160</v>
      </c>
      <c r="H305" s="15" t="s">
        <v>263</v>
      </c>
      <c r="I305" s="15" t="s">
        <v>154</v>
      </c>
      <c r="J305" s="15">
        <v>150</v>
      </c>
      <c r="K305" s="15">
        <f t="shared" si="26"/>
        <v>1095</v>
      </c>
      <c r="L305" s="148">
        <v>7.3</v>
      </c>
      <c r="M305" s="15">
        <v>1210</v>
      </c>
      <c r="N305" s="15">
        <f t="shared" si="28"/>
        <v>150</v>
      </c>
      <c r="O305" s="15">
        <f t="shared" si="29"/>
        <v>1060</v>
      </c>
    </row>
    <row r="306" spans="1:15" ht="15.5" x14ac:dyDescent="0.25">
      <c r="A306" s="173">
        <v>46172</v>
      </c>
      <c r="B306" s="149" t="s">
        <v>725</v>
      </c>
      <c r="C306" s="15">
        <v>1</v>
      </c>
      <c r="D306" s="15" t="s">
        <v>8</v>
      </c>
      <c r="E306" s="37" t="s">
        <v>297</v>
      </c>
      <c r="F306" s="34" t="s">
        <v>271</v>
      </c>
      <c r="G306" s="15" t="s">
        <v>299</v>
      </c>
      <c r="H306" s="34" t="s">
        <v>271</v>
      </c>
      <c r="I306" s="34" t="s">
        <v>269</v>
      </c>
      <c r="J306" s="15">
        <v>225</v>
      </c>
      <c r="K306" s="15">
        <f t="shared" si="26"/>
        <v>488.25</v>
      </c>
      <c r="L306" s="148">
        <v>2.17</v>
      </c>
      <c r="M306" s="15">
        <v>9330</v>
      </c>
      <c r="N306" s="15">
        <f t="shared" si="28"/>
        <v>225</v>
      </c>
      <c r="O306" s="15">
        <f t="shared" si="29"/>
        <v>9105</v>
      </c>
    </row>
    <row r="307" spans="1:15" ht="15.5" x14ac:dyDescent="0.25">
      <c r="A307" s="173">
        <v>46172</v>
      </c>
      <c r="B307" s="149" t="s">
        <v>725</v>
      </c>
      <c r="C307" s="15">
        <v>1</v>
      </c>
      <c r="D307" s="15" t="s">
        <v>8</v>
      </c>
      <c r="E307" s="15" t="s">
        <v>75</v>
      </c>
      <c r="F307" s="15" t="s">
        <v>155</v>
      </c>
      <c r="G307" s="15" t="s">
        <v>160</v>
      </c>
      <c r="H307" s="15" t="s">
        <v>263</v>
      </c>
      <c r="I307" s="15" t="s">
        <v>154</v>
      </c>
      <c r="J307" s="15">
        <v>165</v>
      </c>
      <c r="K307" s="15">
        <f t="shared" si="26"/>
        <v>1204.5</v>
      </c>
      <c r="L307" s="148">
        <v>7.3</v>
      </c>
      <c r="M307" s="15">
        <v>1060</v>
      </c>
      <c r="N307" s="15">
        <f t="shared" si="28"/>
        <v>165</v>
      </c>
      <c r="O307" s="15">
        <f t="shared" si="29"/>
        <v>895</v>
      </c>
    </row>
    <row r="308" spans="1:15" ht="15.5" x14ac:dyDescent="0.3">
      <c r="A308" s="149">
        <v>46174</v>
      </c>
      <c r="B308" s="149" t="s">
        <v>726</v>
      </c>
      <c r="C308" s="15">
        <v>1</v>
      </c>
      <c r="D308" s="15" t="s">
        <v>8</v>
      </c>
      <c r="E308" s="38" t="s">
        <v>241</v>
      </c>
      <c r="F308" s="38" t="s">
        <v>242</v>
      </c>
      <c r="G308" s="38" t="s">
        <v>59</v>
      </c>
      <c r="H308" s="38" t="s">
        <v>193</v>
      </c>
      <c r="I308" s="38" t="s">
        <v>240</v>
      </c>
      <c r="J308" s="15">
        <v>250</v>
      </c>
      <c r="K308" s="15">
        <f t="shared" si="26"/>
        <v>315</v>
      </c>
      <c r="L308" s="148">
        <v>1.26</v>
      </c>
      <c r="M308" s="15">
        <v>12200</v>
      </c>
      <c r="N308" s="15">
        <f t="shared" si="28"/>
        <v>250</v>
      </c>
      <c r="O308" s="15">
        <f t="shared" si="29"/>
        <v>11950</v>
      </c>
    </row>
    <row r="309" spans="1:15" ht="15.5" x14ac:dyDescent="0.25">
      <c r="A309" s="149">
        <v>46174</v>
      </c>
      <c r="B309" s="149" t="s">
        <v>726</v>
      </c>
      <c r="C309" s="15">
        <v>1</v>
      </c>
      <c r="D309" s="15" t="s">
        <v>8</v>
      </c>
      <c r="E309" s="37" t="s">
        <v>297</v>
      </c>
      <c r="F309" s="34" t="s">
        <v>271</v>
      </c>
      <c r="G309" s="15" t="s">
        <v>299</v>
      </c>
      <c r="H309" s="34" t="s">
        <v>271</v>
      </c>
      <c r="I309" s="34" t="s">
        <v>269</v>
      </c>
      <c r="J309" s="15">
        <v>500</v>
      </c>
      <c r="K309" s="15">
        <f t="shared" si="26"/>
        <v>1085</v>
      </c>
      <c r="L309" s="148">
        <v>2.17</v>
      </c>
      <c r="M309" s="15">
        <v>9105</v>
      </c>
      <c r="N309" s="15">
        <f t="shared" si="28"/>
        <v>500</v>
      </c>
      <c r="O309" s="15">
        <f t="shared" si="29"/>
        <v>8605</v>
      </c>
    </row>
    <row r="310" spans="1:15" ht="15.5" x14ac:dyDescent="0.25">
      <c r="A310" s="149">
        <v>46174</v>
      </c>
      <c r="B310" s="149" t="s">
        <v>726</v>
      </c>
      <c r="C310" s="15">
        <v>1</v>
      </c>
      <c r="D310" s="15" t="s">
        <v>8</v>
      </c>
      <c r="E310" s="15" t="s">
        <v>75</v>
      </c>
      <c r="F310" s="15" t="s">
        <v>155</v>
      </c>
      <c r="G310" s="15" t="s">
        <v>160</v>
      </c>
      <c r="H310" s="15" t="s">
        <v>263</v>
      </c>
      <c r="I310" s="15" t="s">
        <v>154</v>
      </c>
      <c r="J310" s="15">
        <v>125</v>
      </c>
      <c r="K310" s="15">
        <f t="shared" si="26"/>
        <v>912.5</v>
      </c>
      <c r="L310" s="148">
        <v>7.3</v>
      </c>
      <c r="M310" s="15">
        <v>895</v>
      </c>
      <c r="N310" s="15">
        <f t="shared" si="28"/>
        <v>125</v>
      </c>
      <c r="O310" s="15">
        <f t="shared" si="29"/>
        <v>770</v>
      </c>
    </row>
    <row r="311" spans="1:15" ht="15.5" x14ac:dyDescent="0.25">
      <c r="A311" s="149">
        <v>46176</v>
      </c>
      <c r="B311" s="149" t="s">
        <v>726</v>
      </c>
      <c r="C311" s="15">
        <v>1</v>
      </c>
      <c r="D311" s="15" t="s">
        <v>8</v>
      </c>
      <c r="E311" s="15" t="s">
        <v>75</v>
      </c>
      <c r="F311" s="15" t="s">
        <v>155</v>
      </c>
      <c r="G311" s="15" t="s">
        <v>160</v>
      </c>
      <c r="H311" s="15" t="s">
        <v>263</v>
      </c>
      <c r="I311" s="15" t="s">
        <v>154</v>
      </c>
      <c r="J311" s="15">
        <v>180</v>
      </c>
      <c r="K311" s="15">
        <f t="shared" si="26"/>
        <v>1314</v>
      </c>
      <c r="L311" s="148">
        <v>7.3</v>
      </c>
      <c r="M311" s="15">
        <v>770</v>
      </c>
      <c r="N311" s="15">
        <f t="shared" si="28"/>
        <v>180</v>
      </c>
      <c r="O311" s="15">
        <f t="shared" si="29"/>
        <v>590</v>
      </c>
    </row>
    <row r="312" spans="1:15" ht="15.5" x14ac:dyDescent="0.25">
      <c r="A312" s="149">
        <v>46176</v>
      </c>
      <c r="B312" s="149" t="s">
        <v>726</v>
      </c>
      <c r="C312" s="15">
        <v>1</v>
      </c>
      <c r="D312" s="15" t="s">
        <v>8</v>
      </c>
      <c r="E312" s="37" t="s">
        <v>297</v>
      </c>
      <c r="F312" s="34" t="s">
        <v>271</v>
      </c>
      <c r="G312" s="15" t="s">
        <v>299</v>
      </c>
      <c r="H312" s="34" t="s">
        <v>271</v>
      </c>
      <c r="I312" s="34" t="s">
        <v>269</v>
      </c>
      <c r="J312" s="15">
        <v>550</v>
      </c>
      <c r="K312" s="15">
        <f t="shared" si="26"/>
        <v>1193.5</v>
      </c>
      <c r="L312" s="148">
        <v>2.17</v>
      </c>
      <c r="M312" s="15">
        <v>8605</v>
      </c>
      <c r="N312" s="15">
        <f t="shared" si="28"/>
        <v>550</v>
      </c>
      <c r="O312" s="15">
        <f t="shared" si="29"/>
        <v>8055</v>
      </c>
    </row>
    <row r="313" spans="1:15" ht="15.5" x14ac:dyDescent="0.25">
      <c r="A313" s="149">
        <v>46177</v>
      </c>
      <c r="B313" s="149" t="s">
        <v>726</v>
      </c>
      <c r="C313" s="15">
        <v>1</v>
      </c>
      <c r="D313" s="15" t="s">
        <v>8</v>
      </c>
      <c r="E313" s="15" t="s">
        <v>75</v>
      </c>
      <c r="F313" s="15" t="s">
        <v>155</v>
      </c>
      <c r="G313" s="15" t="s">
        <v>160</v>
      </c>
      <c r="H313" s="15" t="s">
        <v>263</v>
      </c>
      <c r="I313" s="15" t="s">
        <v>154</v>
      </c>
      <c r="J313" s="15">
        <v>215</v>
      </c>
      <c r="K313" s="15">
        <f t="shared" si="26"/>
        <v>1569.5</v>
      </c>
      <c r="L313" s="148">
        <v>7.3</v>
      </c>
      <c r="M313" s="15">
        <v>590</v>
      </c>
      <c r="N313" s="15">
        <f t="shared" si="28"/>
        <v>215</v>
      </c>
      <c r="O313" s="15">
        <f t="shared" si="29"/>
        <v>375</v>
      </c>
    </row>
    <row r="314" spans="1:15" ht="15.5" x14ac:dyDescent="0.25">
      <c r="A314" s="149">
        <v>46177</v>
      </c>
      <c r="B314" s="149" t="s">
        <v>726</v>
      </c>
      <c r="C314" s="15">
        <v>1</v>
      </c>
      <c r="D314" s="15" t="s">
        <v>8</v>
      </c>
      <c r="E314" s="37" t="s">
        <v>297</v>
      </c>
      <c r="F314" s="34" t="s">
        <v>271</v>
      </c>
      <c r="G314" s="15" t="s">
        <v>299</v>
      </c>
      <c r="H314" s="34" t="s">
        <v>271</v>
      </c>
      <c r="I314" s="34" t="s">
        <v>269</v>
      </c>
      <c r="J314" s="15">
        <v>700</v>
      </c>
      <c r="K314" s="15">
        <f t="shared" si="26"/>
        <v>1519</v>
      </c>
      <c r="L314" s="148">
        <v>2.17</v>
      </c>
      <c r="M314" s="15">
        <v>8055</v>
      </c>
      <c r="N314" s="15">
        <f t="shared" si="28"/>
        <v>700</v>
      </c>
      <c r="O314" s="15">
        <f t="shared" si="29"/>
        <v>7355</v>
      </c>
    </row>
    <row r="315" spans="1:15" ht="15.5" x14ac:dyDescent="0.25">
      <c r="A315" s="149">
        <v>46178</v>
      </c>
      <c r="B315" s="149" t="s">
        <v>726</v>
      </c>
      <c r="C315" s="15">
        <v>1</v>
      </c>
      <c r="D315" s="15" t="s">
        <v>8</v>
      </c>
      <c r="E315" s="15" t="s">
        <v>75</v>
      </c>
      <c r="F315" s="15" t="s">
        <v>155</v>
      </c>
      <c r="G315" s="15" t="s">
        <v>160</v>
      </c>
      <c r="H315" s="15" t="s">
        <v>263</v>
      </c>
      <c r="I315" s="15" t="s">
        <v>154</v>
      </c>
      <c r="J315" s="15">
        <v>350</v>
      </c>
      <c r="K315" s="15">
        <f t="shared" si="26"/>
        <v>2555</v>
      </c>
      <c r="L315" s="148">
        <v>7.3</v>
      </c>
      <c r="M315" s="15">
        <v>375</v>
      </c>
      <c r="N315" s="15">
        <f t="shared" si="28"/>
        <v>350</v>
      </c>
      <c r="O315" s="15">
        <f t="shared" si="29"/>
        <v>25</v>
      </c>
    </row>
    <row r="316" spans="1:15" ht="15.5" x14ac:dyDescent="0.25">
      <c r="A316" s="149">
        <v>46178</v>
      </c>
      <c r="B316" s="149" t="s">
        <v>726</v>
      </c>
      <c r="C316" s="15">
        <v>1</v>
      </c>
      <c r="D316" s="15" t="s">
        <v>8</v>
      </c>
      <c r="E316" s="37" t="s">
        <v>297</v>
      </c>
      <c r="F316" s="34" t="s">
        <v>271</v>
      </c>
      <c r="G316" s="15" t="s">
        <v>299</v>
      </c>
      <c r="H316" s="34" t="s">
        <v>271</v>
      </c>
      <c r="I316" s="34" t="s">
        <v>269</v>
      </c>
      <c r="J316" s="15">
        <v>550</v>
      </c>
      <c r="K316" s="15">
        <f t="shared" si="26"/>
        <v>1193.5</v>
      </c>
      <c r="L316" s="148">
        <v>2.17</v>
      </c>
      <c r="M316" s="15">
        <v>7355</v>
      </c>
      <c r="N316" s="15">
        <f t="shared" si="28"/>
        <v>550</v>
      </c>
      <c r="O316" s="15">
        <f t="shared" si="29"/>
        <v>6805</v>
      </c>
    </row>
    <row r="317" spans="1:15" ht="15.5" x14ac:dyDescent="0.25">
      <c r="A317" s="149">
        <v>46179</v>
      </c>
      <c r="B317" s="149" t="s">
        <v>726</v>
      </c>
      <c r="C317" s="15">
        <v>1</v>
      </c>
      <c r="D317" s="15" t="s">
        <v>8</v>
      </c>
      <c r="E317" s="37" t="s">
        <v>297</v>
      </c>
      <c r="F317" s="34" t="s">
        <v>271</v>
      </c>
      <c r="G317" s="15" t="s">
        <v>299</v>
      </c>
      <c r="H317" s="34" t="s">
        <v>271</v>
      </c>
      <c r="I317" s="34" t="s">
        <v>269</v>
      </c>
      <c r="J317" s="15">
        <v>400</v>
      </c>
      <c r="K317" s="15">
        <f t="shared" si="26"/>
        <v>868</v>
      </c>
      <c r="L317" s="148">
        <v>2.17</v>
      </c>
      <c r="M317" s="15">
        <v>6805</v>
      </c>
      <c r="N317" s="15">
        <f t="shared" si="28"/>
        <v>400</v>
      </c>
      <c r="O317" s="15">
        <f t="shared" si="29"/>
        <v>6405</v>
      </c>
    </row>
    <row r="318" spans="1:15" ht="15.5" x14ac:dyDescent="0.3">
      <c r="A318" s="149">
        <v>46179</v>
      </c>
      <c r="B318" s="149" t="s">
        <v>726</v>
      </c>
      <c r="C318" s="15">
        <v>1</v>
      </c>
      <c r="D318" s="15" t="s">
        <v>8</v>
      </c>
      <c r="E318" s="38" t="s">
        <v>241</v>
      </c>
      <c r="F318" s="38" t="s">
        <v>242</v>
      </c>
      <c r="G318" s="38" t="s">
        <v>59</v>
      </c>
      <c r="H318" s="38" t="s">
        <v>193</v>
      </c>
      <c r="I318" s="38" t="s">
        <v>240</v>
      </c>
      <c r="J318" s="15">
        <f>200+440</f>
        <v>640</v>
      </c>
      <c r="K318" s="15">
        <f t="shared" si="26"/>
        <v>806.4</v>
      </c>
      <c r="L318" s="148">
        <v>1.26</v>
      </c>
      <c r="M318" s="15">
        <v>11950</v>
      </c>
      <c r="N318" s="15">
        <f t="shared" si="28"/>
        <v>640</v>
      </c>
      <c r="O318" s="15">
        <f t="shared" si="29"/>
        <v>11310</v>
      </c>
    </row>
    <row r="319" spans="1:15" ht="15.5" x14ac:dyDescent="0.25">
      <c r="A319" s="149">
        <v>46179</v>
      </c>
      <c r="B319" s="149" t="s">
        <v>726</v>
      </c>
      <c r="C319" s="15">
        <v>1</v>
      </c>
      <c r="D319" s="15" t="s">
        <v>8</v>
      </c>
      <c r="E319" s="37" t="s">
        <v>234</v>
      </c>
      <c r="F319" s="34" t="s">
        <v>233</v>
      </c>
      <c r="G319" s="15" t="s">
        <v>244</v>
      </c>
      <c r="H319" s="34">
        <v>0</v>
      </c>
      <c r="I319" s="34">
        <v>0</v>
      </c>
      <c r="J319" s="15">
        <v>150</v>
      </c>
      <c r="K319" s="15">
        <f t="shared" si="26"/>
        <v>341.99999999999994</v>
      </c>
      <c r="L319" s="148">
        <v>2.2799999999999998</v>
      </c>
      <c r="M319" s="15">
        <v>250</v>
      </c>
      <c r="N319" s="15">
        <f t="shared" ref="N319:N350" si="30">J319</f>
        <v>150</v>
      </c>
      <c r="O319" s="15">
        <f t="shared" ref="O319:O350" si="31">M319-N319</f>
        <v>100</v>
      </c>
    </row>
    <row r="320" spans="1:15" ht="15.5" x14ac:dyDescent="0.25">
      <c r="A320" s="149">
        <v>46181</v>
      </c>
      <c r="B320" s="149" t="s">
        <v>726</v>
      </c>
      <c r="C320" s="15">
        <v>1</v>
      </c>
      <c r="D320" s="15" t="s">
        <v>8</v>
      </c>
      <c r="E320" s="37" t="s">
        <v>297</v>
      </c>
      <c r="F320" s="34" t="s">
        <v>271</v>
      </c>
      <c r="G320" s="15" t="s">
        <v>299</v>
      </c>
      <c r="H320" s="34" t="s">
        <v>271</v>
      </c>
      <c r="I320" s="34" t="s">
        <v>269</v>
      </c>
      <c r="J320" s="15">
        <v>675</v>
      </c>
      <c r="K320" s="15">
        <f t="shared" si="26"/>
        <v>1464.75</v>
      </c>
      <c r="L320" s="148">
        <v>2.17</v>
      </c>
      <c r="M320" s="15">
        <v>6405</v>
      </c>
      <c r="N320" s="15">
        <f t="shared" si="30"/>
        <v>675</v>
      </c>
      <c r="O320" s="15">
        <f t="shared" si="31"/>
        <v>5730</v>
      </c>
    </row>
    <row r="321" spans="1:15" ht="15.5" x14ac:dyDescent="0.3">
      <c r="A321" s="149">
        <v>46181</v>
      </c>
      <c r="B321" s="149" t="s">
        <v>726</v>
      </c>
      <c r="C321" s="15">
        <v>1</v>
      </c>
      <c r="D321" s="15" t="s">
        <v>8</v>
      </c>
      <c r="E321" s="38" t="s">
        <v>241</v>
      </c>
      <c r="F321" s="38" t="s">
        <v>242</v>
      </c>
      <c r="G321" s="38" t="s">
        <v>59</v>
      </c>
      <c r="H321" s="38" t="s">
        <v>193</v>
      </c>
      <c r="I321" s="38" t="s">
        <v>240</v>
      </c>
      <c r="J321" s="15">
        <v>350</v>
      </c>
      <c r="K321" s="15">
        <f t="shared" si="26"/>
        <v>441</v>
      </c>
      <c r="L321" s="148">
        <v>1.26</v>
      </c>
      <c r="M321" s="15">
        <v>11310</v>
      </c>
      <c r="N321" s="15">
        <f t="shared" si="30"/>
        <v>350</v>
      </c>
      <c r="O321" s="15">
        <f t="shared" si="31"/>
        <v>10960</v>
      </c>
    </row>
    <row r="322" spans="1:15" ht="15.5" x14ac:dyDescent="0.25">
      <c r="A322" s="149">
        <v>46181</v>
      </c>
      <c r="B322" s="149" t="s">
        <v>726</v>
      </c>
      <c r="C322" s="15">
        <v>1</v>
      </c>
      <c r="D322" s="15" t="s">
        <v>8</v>
      </c>
      <c r="E322" s="37" t="s">
        <v>234</v>
      </c>
      <c r="F322" s="34" t="s">
        <v>233</v>
      </c>
      <c r="G322" s="15" t="s">
        <v>244</v>
      </c>
      <c r="H322" s="34">
        <v>0</v>
      </c>
      <c r="I322" s="34">
        <v>0</v>
      </c>
      <c r="J322" s="15">
        <v>50</v>
      </c>
      <c r="K322" s="15">
        <f t="shared" ref="K322:K353" si="32">L322*J322</f>
        <v>113.99999999999999</v>
      </c>
      <c r="L322" s="148">
        <v>2.2799999999999998</v>
      </c>
      <c r="M322" s="15">
        <v>100</v>
      </c>
      <c r="N322" s="15">
        <f t="shared" si="30"/>
        <v>50</v>
      </c>
      <c r="O322" s="15">
        <f t="shared" si="31"/>
        <v>50</v>
      </c>
    </row>
    <row r="323" spans="1:15" ht="15.5" x14ac:dyDescent="0.25">
      <c r="A323" s="149">
        <v>46181</v>
      </c>
      <c r="B323" s="149" t="s">
        <v>726</v>
      </c>
      <c r="C323" s="15">
        <v>1</v>
      </c>
      <c r="D323" s="15" t="s">
        <v>8</v>
      </c>
      <c r="E323" s="29" t="s">
        <v>253</v>
      </c>
      <c r="F323" s="114" t="s">
        <v>308</v>
      </c>
      <c r="G323" s="34" t="s">
        <v>69</v>
      </c>
      <c r="H323" s="29" t="s">
        <v>262</v>
      </c>
      <c r="I323" s="29" t="s">
        <v>309</v>
      </c>
      <c r="J323" s="15">
        <v>575</v>
      </c>
      <c r="K323" s="15">
        <f t="shared" si="32"/>
        <v>461.4375</v>
      </c>
      <c r="L323" s="148">
        <v>0.80249999999999999</v>
      </c>
      <c r="M323" s="15">
        <v>1140</v>
      </c>
      <c r="N323" s="15">
        <f t="shared" si="30"/>
        <v>575</v>
      </c>
      <c r="O323" s="15">
        <f t="shared" si="31"/>
        <v>565</v>
      </c>
    </row>
    <row r="324" spans="1:15" ht="15.5" x14ac:dyDescent="0.25">
      <c r="A324" s="149">
        <v>46182</v>
      </c>
      <c r="B324" s="149" t="s">
        <v>726</v>
      </c>
      <c r="C324" s="15">
        <v>1</v>
      </c>
      <c r="D324" s="15" t="s">
        <v>8</v>
      </c>
      <c r="E324" s="29" t="s">
        <v>253</v>
      </c>
      <c r="F324" s="114" t="s">
        <v>308</v>
      </c>
      <c r="G324" s="34" t="s">
        <v>69</v>
      </c>
      <c r="H324" s="29" t="s">
        <v>262</v>
      </c>
      <c r="I324" s="29" t="s">
        <v>309</v>
      </c>
      <c r="J324" s="15">
        <v>565</v>
      </c>
      <c r="K324" s="15">
        <f t="shared" si="32"/>
        <v>453.41250000000002</v>
      </c>
      <c r="L324" s="148">
        <v>0.80249999999999999</v>
      </c>
      <c r="M324" s="15">
        <v>565</v>
      </c>
      <c r="N324" s="15">
        <f t="shared" si="30"/>
        <v>565</v>
      </c>
      <c r="O324" s="15">
        <f t="shared" si="31"/>
        <v>0</v>
      </c>
    </row>
    <row r="325" spans="1:15" ht="15.5" x14ac:dyDescent="0.3">
      <c r="A325" s="149">
        <v>46182</v>
      </c>
      <c r="B325" s="149" t="s">
        <v>726</v>
      </c>
      <c r="C325" s="15">
        <v>1</v>
      </c>
      <c r="D325" s="15" t="s">
        <v>8</v>
      </c>
      <c r="E325" s="38" t="s">
        <v>241</v>
      </c>
      <c r="F325" s="38" t="s">
        <v>242</v>
      </c>
      <c r="G325" s="38" t="s">
        <v>59</v>
      </c>
      <c r="H325" s="38" t="s">
        <v>193</v>
      </c>
      <c r="I325" s="38" t="s">
        <v>240</v>
      </c>
      <c r="J325" s="15">
        <v>400</v>
      </c>
      <c r="K325" s="15">
        <f t="shared" si="32"/>
        <v>504</v>
      </c>
      <c r="L325" s="148">
        <v>1.26</v>
      </c>
      <c r="M325" s="15">
        <v>10960</v>
      </c>
      <c r="N325" s="15">
        <f t="shared" si="30"/>
        <v>400</v>
      </c>
      <c r="O325" s="15">
        <f t="shared" si="31"/>
        <v>10560</v>
      </c>
    </row>
    <row r="326" spans="1:15" ht="15.5" x14ac:dyDescent="0.25">
      <c r="A326" s="149">
        <v>46182</v>
      </c>
      <c r="B326" s="149" t="s">
        <v>726</v>
      </c>
      <c r="C326" s="15">
        <v>1</v>
      </c>
      <c r="D326" s="15" t="s">
        <v>8</v>
      </c>
      <c r="E326" s="37" t="s">
        <v>297</v>
      </c>
      <c r="F326" s="34" t="s">
        <v>271</v>
      </c>
      <c r="G326" s="15" t="s">
        <v>299</v>
      </c>
      <c r="H326" s="34" t="s">
        <v>271</v>
      </c>
      <c r="I326" s="34" t="s">
        <v>269</v>
      </c>
      <c r="J326" s="15">
        <f>250+325+150</f>
        <v>725</v>
      </c>
      <c r="K326" s="15">
        <f t="shared" si="32"/>
        <v>1573.25</v>
      </c>
      <c r="L326" s="148">
        <v>2.17</v>
      </c>
      <c r="M326" s="15">
        <v>5730</v>
      </c>
      <c r="N326" s="15">
        <f t="shared" si="30"/>
        <v>725</v>
      </c>
      <c r="O326" s="15">
        <f t="shared" si="31"/>
        <v>5005</v>
      </c>
    </row>
    <row r="327" spans="1:15" ht="15.5" x14ac:dyDescent="0.25">
      <c r="A327" s="149">
        <v>46183</v>
      </c>
      <c r="B327" s="149" t="s">
        <v>726</v>
      </c>
      <c r="C327" s="15">
        <v>1</v>
      </c>
      <c r="D327" s="15" t="s">
        <v>8</v>
      </c>
      <c r="E327" s="29" t="s">
        <v>310</v>
      </c>
      <c r="F327" s="114" t="s">
        <v>220</v>
      </c>
      <c r="G327" s="15" t="s">
        <v>312</v>
      </c>
      <c r="H327" s="29" t="s">
        <v>212</v>
      </c>
      <c r="I327" s="29" t="s">
        <v>219</v>
      </c>
      <c r="J327" s="15">
        <v>450</v>
      </c>
      <c r="K327" s="15">
        <f t="shared" si="32"/>
        <v>301.815</v>
      </c>
      <c r="L327" s="148">
        <v>0.67069999999999996</v>
      </c>
      <c r="M327" s="15">
        <v>1200</v>
      </c>
      <c r="N327" s="15">
        <f t="shared" si="30"/>
        <v>450</v>
      </c>
      <c r="O327" s="15">
        <f t="shared" si="31"/>
        <v>750</v>
      </c>
    </row>
    <row r="328" spans="1:15" ht="15.5" x14ac:dyDescent="0.25">
      <c r="A328" s="149">
        <v>46183</v>
      </c>
      <c r="B328" s="149" t="s">
        <v>726</v>
      </c>
      <c r="C328" s="15">
        <v>1</v>
      </c>
      <c r="D328" s="15" t="s">
        <v>8</v>
      </c>
      <c r="E328" s="29" t="s">
        <v>310</v>
      </c>
      <c r="F328" s="114" t="s">
        <v>311</v>
      </c>
      <c r="G328" s="15" t="s">
        <v>312</v>
      </c>
      <c r="H328" s="29" t="s">
        <v>212</v>
      </c>
      <c r="I328" s="114" t="s">
        <v>210</v>
      </c>
      <c r="J328" s="15">
        <v>400</v>
      </c>
      <c r="K328" s="15">
        <f t="shared" si="32"/>
        <v>268.27999999999997</v>
      </c>
      <c r="L328" s="148">
        <v>0.67069999999999996</v>
      </c>
      <c r="M328" s="15">
        <v>13750</v>
      </c>
      <c r="N328" s="15">
        <f t="shared" si="30"/>
        <v>400</v>
      </c>
      <c r="O328" s="15">
        <f t="shared" si="31"/>
        <v>13350</v>
      </c>
    </row>
    <row r="329" spans="1:15" ht="15.5" x14ac:dyDescent="0.3">
      <c r="A329" s="149">
        <v>46183</v>
      </c>
      <c r="B329" s="149" t="s">
        <v>726</v>
      </c>
      <c r="C329" s="15">
        <v>1</v>
      </c>
      <c r="D329" s="15" t="s">
        <v>8</v>
      </c>
      <c r="E329" s="38" t="s">
        <v>241</v>
      </c>
      <c r="F329" s="38" t="s">
        <v>242</v>
      </c>
      <c r="G329" s="38" t="s">
        <v>59</v>
      </c>
      <c r="H329" s="38" t="s">
        <v>193</v>
      </c>
      <c r="I329" s="38" t="s">
        <v>240</v>
      </c>
      <c r="J329" s="15">
        <f>475+625</f>
        <v>1100</v>
      </c>
      <c r="K329" s="15">
        <f t="shared" si="32"/>
        <v>1386</v>
      </c>
      <c r="L329" s="148">
        <v>1.26</v>
      </c>
      <c r="M329" s="15">
        <v>10560</v>
      </c>
      <c r="N329" s="15">
        <f t="shared" si="30"/>
        <v>1100</v>
      </c>
      <c r="O329" s="15">
        <f t="shared" si="31"/>
        <v>9460</v>
      </c>
    </row>
    <row r="330" spans="1:15" ht="15.5" x14ac:dyDescent="0.25">
      <c r="A330" s="149">
        <v>46183</v>
      </c>
      <c r="B330" s="149" t="s">
        <v>726</v>
      </c>
      <c r="C330" s="15">
        <v>1</v>
      </c>
      <c r="D330" s="15" t="s">
        <v>8</v>
      </c>
      <c r="E330" s="37" t="s">
        <v>297</v>
      </c>
      <c r="F330" s="34" t="s">
        <v>271</v>
      </c>
      <c r="G330" s="15" t="s">
        <v>299</v>
      </c>
      <c r="H330" s="34" t="s">
        <v>271</v>
      </c>
      <c r="I330" s="34" t="s">
        <v>269</v>
      </c>
      <c r="J330" s="15">
        <f>260+185</f>
        <v>445</v>
      </c>
      <c r="K330" s="15">
        <f t="shared" si="32"/>
        <v>965.65</v>
      </c>
      <c r="L330" s="148">
        <v>2.17</v>
      </c>
      <c r="M330" s="15">
        <v>5005</v>
      </c>
      <c r="N330" s="15">
        <f t="shared" si="30"/>
        <v>445</v>
      </c>
      <c r="O330" s="15">
        <f t="shared" si="31"/>
        <v>4560</v>
      </c>
    </row>
    <row r="331" spans="1:15" ht="15.5" x14ac:dyDescent="0.25">
      <c r="A331" s="149">
        <v>46184</v>
      </c>
      <c r="B331" s="149" t="s">
        <v>726</v>
      </c>
      <c r="C331" s="15">
        <v>1</v>
      </c>
      <c r="D331" s="15" t="s">
        <v>8</v>
      </c>
      <c r="E331" s="29" t="s">
        <v>310</v>
      </c>
      <c r="F331" s="114" t="s">
        <v>220</v>
      </c>
      <c r="G331" s="15" t="s">
        <v>312</v>
      </c>
      <c r="H331" s="29" t="s">
        <v>212</v>
      </c>
      <c r="I331" s="29" t="s">
        <v>219</v>
      </c>
      <c r="J331" s="15">
        <f>260+65</f>
        <v>325</v>
      </c>
      <c r="K331" s="15">
        <f t="shared" si="32"/>
        <v>217.97749999999999</v>
      </c>
      <c r="L331" s="148">
        <v>0.67069999999999996</v>
      </c>
      <c r="M331" s="15">
        <v>750</v>
      </c>
      <c r="N331" s="15">
        <f t="shared" si="30"/>
        <v>325</v>
      </c>
      <c r="O331" s="15">
        <f t="shared" si="31"/>
        <v>425</v>
      </c>
    </row>
    <row r="332" spans="1:15" ht="15.5" x14ac:dyDescent="0.25">
      <c r="A332" s="149">
        <v>46184</v>
      </c>
      <c r="B332" s="149" t="s">
        <v>726</v>
      </c>
      <c r="C332" s="15">
        <v>1</v>
      </c>
      <c r="D332" s="15" t="s">
        <v>8</v>
      </c>
      <c r="E332" s="29" t="s">
        <v>310</v>
      </c>
      <c r="F332" s="114" t="s">
        <v>311</v>
      </c>
      <c r="G332" s="15" t="s">
        <v>312</v>
      </c>
      <c r="H332" s="29" t="s">
        <v>212</v>
      </c>
      <c r="I332" s="114" t="s">
        <v>210</v>
      </c>
      <c r="J332" s="15">
        <v>300</v>
      </c>
      <c r="K332" s="15">
        <f t="shared" si="32"/>
        <v>201.20999999999998</v>
      </c>
      <c r="L332" s="148">
        <v>0.67069999999999996</v>
      </c>
      <c r="M332" s="15">
        <v>13350</v>
      </c>
      <c r="N332" s="15">
        <f t="shared" si="30"/>
        <v>300</v>
      </c>
      <c r="O332" s="15">
        <f t="shared" si="31"/>
        <v>13050</v>
      </c>
    </row>
    <row r="333" spans="1:15" ht="15.5" x14ac:dyDescent="0.3">
      <c r="A333" s="149">
        <v>46184</v>
      </c>
      <c r="B333" s="149" t="s">
        <v>726</v>
      </c>
      <c r="C333" s="15">
        <v>1</v>
      </c>
      <c r="D333" s="15" t="s">
        <v>8</v>
      </c>
      <c r="E333" s="38" t="s">
        <v>241</v>
      </c>
      <c r="F333" s="38" t="s">
        <v>242</v>
      </c>
      <c r="G333" s="38" t="s">
        <v>59</v>
      </c>
      <c r="H333" s="38" t="s">
        <v>193</v>
      </c>
      <c r="I333" s="38" t="s">
        <v>240</v>
      </c>
      <c r="J333" s="15">
        <v>650</v>
      </c>
      <c r="K333" s="15">
        <f t="shared" si="32"/>
        <v>819</v>
      </c>
      <c r="L333" s="148">
        <v>1.26</v>
      </c>
      <c r="M333" s="15">
        <v>9460</v>
      </c>
      <c r="N333" s="15">
        <f t="shared" si="30"/>
        <v>650</v>
      </c>
      <c r="O333" s="15">
        <f t="shared" si="31"/>
        <v>8810</v>
      </c>
    </row>
    <row r="334" spans="1:15" ht="15.5" x14ac:dyDescent="0.25">
      <c r="A334" s="149">
        <v>46184</v>
      </c>
      <c r="B334" s="149" t="s">
        <v>726</v>
      </c>
      <c r="C334" s="15">
        <v>1</v>
      </c>
      <c r="D334" s="15" t="s">
        <v>8</v>
      </c>
      <c r="E334" s="37" t="s">
        <v>297</v>
      </c>
      <c r="F334" s="34" t="s">
        <v>271</v>
      </c>
      <c r="G334" s="15" t="s">
        <v>299</v>
      </c>
      <c r="H334" s="34" t="s">
        <v>271</v>
      </c>
      <c r="I334" s="34" t="s">
        <v>269</v>
      </c>
      <c r="J334" s="15">
        <f>280+160</f>
        <v>440</v>
      </c>
      <c r="K334" s="15">
        <f t="shared" si="32"/>
        <v>954.8</v>
      </c>
      <c r="L334" s="148">
        <v>2.17</v>
      </c>
      <c r="M334" s="15">
        <v>4560</v>
      </c>
      <c r="N334" s="15">
        <f t="shared" si="30"/>
        <v>440</v>
      </c>
      <c r="O334" s="15">
        <f t="shared" si="31"/>
        <v>4120</v>
      </c>
    </row>
    <row r="335" spans="1:15" ht="16" thickBot="1" x14ac:dyDescent="0.3">
      <c r="A335" s="149">
        <v>46184</v>
      </c>
      <c r="B335" s="149" t="s">
        <v>726</v>
      </c>
      <c r="C335" s="15">
        <v>1</v>
      </c>
      <c r="D335" s="15" t="s">
        <v>8</v>
      </c>
      <c r="E335" s="39" t="s">
        <v>223</v>
      </c>
      <c r="F335" s="39" t="s">
        <v>305</v>
      </c>
      <c r="G335" s="39" t="s">
        <v>225</v>
      </c>
      <c r="H335" s="115" t="s">
        <v>301</v>
      </c>
      <c r="I335" s="115" t="s">
        <v>300</v>
      </c>
      <c r="J335" s="15">
        <v>200</v>
      </c>
      <c r="K335" s="15">
        <f t="shared" si="32"/>
        <v>345.2</v>
      </c>
      <c r="L335" s="148">
        <v>1.726</v>
      </c>
      <c r="M335" s="15">
        <v>700</v>
      </c>
      <c r="N335" s="15">
        <f t="shared" si="30"/>
        <v>200</v>
      </c>
      <c r="O335" s="15">
        <f t="shared" si="31"/>
        <v>500</v>
      </c>
    </row>
    <row r="336" spans="1:15" ht="15.5" x14ac:dyDescent="0.25">
      <c r="A336" s="149">
        <v>46185</v>
      </c>
      <c r="B336" s="149" t="s">
        <v>726</v>
      </c>
      <c r="C336" s="15">
        <v>1</v>
      </c>
      <c r="D336" s="15" t="s">
        <v>8</v>
      </c>
      <c r="E336" s="29" t="s">
        <v>310</v>
      </c>
      <c r="F336" s="114" t="s">
        <v>220</v>
      </c>
      <c r="G336" s="15" t="s">
        <v>312</v>
      </c>
      <c r="H336" s="29" t="s">
        <v>212</v>
      </c>
      <c r="I336" s="29" t="s">
        <v>219</v>
      </c>
      <c r="J336" s="15">
        <v>425</v>
      </c>
      <c r="K336" s="15">
        <f t="shared" si="32"/>
        <v>285.04749999999996</v>
      </c>
      <c r="L336" s="148">
        <v>0.67069999999999996</v>
      </c>
      <c r="M336" s="15">
        <v>425</v>
      </c>
      <c r="N336" s="15">
        <f t="shared" si="30"/>
        <v>425</v>
      </c>
      <c r="O336" s="15">
        <f t="shared" si="31"/>
        <v>0</v>
      </c>
    </row>
    <row r="337" spans="1:15" ht="15.5" x14ac:dyDescent="0.3">
      <c r="A337" s="149">
        <v>46185</v>
      </c>
      <c r="B337" s="149" t="s">
        <v>726</v>
      </c>
      <c r="C337" s="15">
        <v>1</v>
      </c>
      <c r="D337" s="15" t="s">
        <v>8</v>
      </c>
      <c r="E337" s="38" t="s">
        <v>241</v>
      </c>
      <c r="F337" s="38" t="s">
        <v>242</v>
      </c>
      <c r="G337" s="38" t="s">
        <v>59</v>
      </c>
      <c r="H337" s="38" t="s">
        <v>193</v>
      </c>
      <c r="I337" s="38" t="s">
        <v>240</v>
      </c>
      <c r="J337" s="15">
        <f>500+450+550</f>
        <v>1500</v>
      </c>
      <c r="K337" s="15">
        <f t="shared" si="32"/>
        <v>1890</v>
      </c>
      <c r="L337" s="148">
        <v>1.26</v>
      </c>
      <c r="M337" s="15">
        <v>8810</v>
      </c>
      <c r="N337" s="15">
        <f t="shared" si="30"/>
        <v>1500</v>
      </c>
      <c r="O337" s="15">
        <f t="shared" si="31"/>
        <v>7310</v>
      </c>
    </row>
    <row r="338" spans="1:15" ht="16" thickBot="1" x14ac:dyDescent="0.3">
      <c r="A338" s="149">
        <v>46185</v>
      </c>
      <c r="B338" s="149" t="s">
        <v>726</v>
      </c>
      <c r="C338" s="15">
        <v>1</v>
      </c>
      <c r="D338" s="15" t="s">
        <v>8</v>
      </c>
      <c r="E338" s="39" t="s">
        <v>223</v>
      </c>
      <c r="F338" s="39" t="s">
        <v>305</v>
      </c>
      <c r="G338" s="39" t="s">
        <v>225</v>
      </c>
      <c r="H338" s="115" t="s">
        <v>301</v>
      </c>
      <c r="I338" s="115" t="s">
        <v>300</v>
      </c>
      <c r="J338" s="15">
        <v>50</v>
      </c>
      <c r="K338" s="15">
        <f t="shared" si="32"/>
        <v>86.3</v>
      </c>
      <c r="L338" s="148">
        <v>1.726</v>
      </c>
      <c r="M338" s="15">
        <v>500</v>
      </c>
      <c r="N338" s="15">
        <f t="shared" si="30"/>
        <v>50</v>
      </c>
      <c r="O338" s="15">
        <f t="shared" si="31"/>
        <v>450</v>
      </c>
    </row>
    <row r="339" spans="1:15" ht="15.5" x14ac:dyDescent="0.25">
      <c r="A339" s="149">
        <v>46185</v>
      </c>
      <c r="B339" s="149" t="s">
        <v>726</v>
      </c>
      <c r="C339" s="15">
        <v>1</v>
      </c>
      <c r="D339" s="15" t="s">
        <v>8</v>
      </c>
      <c r="E339" s="37" t="s">
        <v>297</v>
      </c>
      <c r="F339" s="34" t="s">
        <v>271</v>
      </c>
      <c r="G339" s="15" t="s">
        <v>299</v>
      </c>
      <c r="H339" s="34" t="s">
        <v>271</v>
      </c>
      <c r="I339" s="34" t="s">
        <v>269</v>
      </c>
      <c r="J339" s="15">
        <f>170+335</f>
        <v>505</v>
      </c>
      <c r="K339" s="15">
        <f t="shared" si="32"/>
        <v>1095.8499999999999</v>
      </c>
      <c r="L339" s="148">
        <v>2.17</v>
      </c>
      <c r="M339" s="15">
        <v>4120</v>
      </c>
      <c r="N339" s="15">
        <f t="shared" si="30"/>
        <v>505</v>
      </c>
      <c r="O339" s="15">
        <f t="shared" si="31"/>
        <v>3615</v>
      </c>
    </row>
    <row r="340" spans="1:15" ht="15.5" x14ac:dyDescent="0.3">
      <c r="A340" s="149">
        <v>46186</v>
      </c>
      <c r="B340" s="149" t="s">
        <v>726</v>
      </c>
      <c r="C340" s="15">
        <v>1</v>
      </c>
      <c r="D340" s="15" t="s">
        <v>8</v>
      </c>
      <c r="E340" s="38" t="s">
        <v>241</v>
      </c>
      <c r="F340" s="38" t="s">
        <v>242</v>
      </c>
      <c r="G340" s="38" t="s">
        <v>59</v>
      </c>
      <c r="H340" s="38" t="s">
        <v>193</v>
      </c>
      <c r="I340" s="38" t="s">
        <v>240</v>
      </c>
      <c r="J340" s="15">
        <f>450+450+400</f>
        <v>1300</v>
      </c>
      <c r="K340" s="15">
        <f t="shared" si="32"/>
        <v>1638</v>
      </c>
      <c r="L340" s="148">
        <v>1.26</v>
      </c>
      <c r="M340" s="15">
        <v>7310</v>
      </c>
      <c r="N340" s="15">
        <f t="shared" si="30"/>
        <v>1300</v>
      </c>
      <c r="O340" s="15">
        <f t="shared" si="31"/>
        <v>6010</v>
      </c>
    </row>
    <row r="341" spans="1:15" ht="16" thickBot="1" x14ac:dyDescent="0.3">
      <c r="A341" s="149">
        <v>46186</v>
      </c>
      <c r="B341" s="149" t="s">
        <v>726</v>
      </c>
      <c r="C341" s="15">
        <v>1</v>
      </c>
      <c r="D341" s="15" t="s">
        <v>8</v>
      </c>
      <c r="E341" s="39" t="s">
        <v>223</v>
      </c>
      <c r="F341" s="39" t="s">
        <v>305</v>
      </c>
      <c r="G341" s="39" t="s">
        <v>225</v>
      </c>
      <c r="H341" s="115" t="s">
        <v>301</v>
      </c>
      <c r="I341" s="115" t="s">
        <v>300</v>
      </c>
      <c r="J341" s="15">
        <v>300</v>
      </c>
      <c r="K341" s="15">
        <f t="shared" si="32"/>
        <v>517.79999999999995</v>
      </c>
      <c r="L341" s="148">
        <v>1.726</v>
      </c>
      <c r="M341" s="15">
        <v>450</v>
      </c>
      <c r="N341" s="15">
        <f t="shared" si="30"/>
        <v>300</v>
      </c>
      <c r="O341" s="15">
        <f t="shared" si="31"/>
        <v>150</v>
      </c>
    </row>
    <row r="342" spans="1:15" ht="15.5" x14ac:dyDescent="0.25">
      <c r="A342" s="149">
        <v>46186</v>
      </c>
      <c r="B342" s="149" t="s">
        <v>726</v>
      </c>
      <c r="C342" s="15">
        <v>1</v>
      </c>
      <c r="D342" s="15" t="s">
        <v>8</v>
      </c>
      <c r="E342" s="37" t="s">
        <v>297</v>
      </c>
      <c r="F342" s="34" t="s">
        <v>271</v>
      </c>
      <c r="G342" s="15" t="s">
        <v>299</v>
      </c>
      <c r="H342" s="34" t="s">
        <v>271</v>
      </c>
      <c r="I342" s="34" t="s">
        <v>269</v>
      </c>
      <c r="J342" s="15">
        <f>325+190</f>
        <v>515</v>
      </c>
      <c r="K342" s="15">
        <f t="shared" si="32"/>
        <v>1085.6200000000001</v>
      </c>
      <c r="L342" s="148">
        <v>2.1080000000000001</v>
      </c>
      <c r="M342" s="15">
        <v>3615</v>
      </c>
      <c r="N342" s="15">
        <f t="shared" si="30"/>
        <v>515</v>
      </c>
      <c r="O342" s="15">
        <f t="shared" si="31"/>
        <v>3100</v>
      </c>
    </row>
    <row r="343" spans="1:15" ht="15.5" x14ac:dyDescent="0.25">
      <c r="A343" s="149">
        <v>46188</v>
      </c>
      <c r="B343" s="149" t="s">
        <v>726</v>
      </c>
      <c r="C343" s="15">
        <v>1</v>
      </c>
      <c r="D343" s="15" t="s">
        <v>8</v>
      </c>
      <c r="E343" s="37" t="s">
        <v>297</v>
      </c>
      <c r="F343" s="34" t="s">
        <v>271</v>
      </c>
      <c r="G343" s="15" t="s">
        <v>299</v>
      </c>
      <c r="H343" s="34" t="s">
        <v>271</v>
      </c>
      <c r="I343" s="34" t="s">
        <v>269</v>
      </c>
      <c r="J343" s="15">
        <f>325+230</f>
        <v>555</v>
      </c>
      <c r="K343" s="15">
        <f t="shared" si="32"/>
        <v>1169.94</v>
      </c>
      <c r="L343" s="148">
        <v>2.1080000000000001</v>
      </c>
      <c r="M343" s="15">
        <v>3100</v>
      </c>
      <c r="N343" s="15">
        <f t="shared" si="30"/>
        <v>555</v>
      </c>
      <c r="O343" s="15">
        <f t="shared" si="31"/>
        <v>2545</v>
      </c>
    </row>
    <row r="344" spans="1:15" ht="15.5" x14ac:dyDescent="0.25">
      <c r="A344" s="149">
        <v>46188</v>
      </c>
      <c r="B344" s="149" t="s">
        <v>726</v>
      </c>
      <c r="C344" s="15">
        <v>1</v>
      </c>
      <c r="D344" s="15" t="s">
        <v>8</v>
      </c>
      <c r="E344" s="29" t="s">
        <v>253</v>
      </c>
      <c r="F344" s="169" t="s">
        <v>315</v>
      </c>
      <c r="G344" s="34" t="s">
        <v>69</v>
      </c>
      <c r="H344" s="29" t="s">
        <v>159</v>
      </c>
      <c r="I344" s="29" t="s">
        <v>316</v>
      </c>
      <c r="J344" s="15">
        <v>175</v>
      </c>
      <c r="K344" s="15">
        <f t="shared" si="32"/>
        <v>239.75000000000003</v>
      </c>
      <c r="L344" s="148">
        <v>1.37</v>
      </c>
      <c r="M344" s="15">
        <v>4230</v>
      </c>
      <c r="N344" s="15">
        <f t="shared" si="30"/>
        <v>175</v>
      </c>
      <c r="O344" s="15">
        <f t="shared" si="31"/>
        <v>4055</v>
      </c>
    </row>
    <row r="345" spans="1:15" ht="15.5" x14ac:dyDescent="0.25">
      <c r="A345" s="149">
        <v>46188</v>
      </c>
      <c r="B345" s="149" t="s">
        <v>726</v>
      </c>
      <c r="C345" s="15">
        <v>1</v>
      </c>
      <c r="D345" s="15" t="s">
        <v>8</v>
      </c>
      <c r="E345" s="37" t="s">
        <v>234</v>
      </c>
      <c r="F345" s="34" t="s">
        <v>233</v>
      </c>
      <c r="G345" s="15" t="s">
        <v>244</v>
      </c>
      <c r="H345" s="34">
        <v>0</v>
      </c>
      <c r="I345" s="34">
        <v>0</v>
      </c>
      <c r="J345" s="15">
        <v>50</v>
      </c>
      <c r="K345" s="15">
        <f t="shared" si="32"/>
        <v>113.99999999999999</v>
      </c>
      <c r="L345" s="148">
        <v>2.2799999999999998</v>
      </c>
      <c r="M345" s="15">
        <v>50</v>
      </c>
      <c r="N345" s="15">
        <f t="shared" si="30"/>
        <v>50</v>
      </c>
      <c r="O345" s="15">
        <f t="shared" si="31"/>
        <v>0</v>
      </c>
    </row>
    <row r="346" spans="1:15" ht="15.5" x14ac:dyDescent="0.3">
      <c r="A346" s="149">
        <v>46188</v>
      </c>
      <c r="B346" s="149" t="s">
        <v>726</v>
      </c>
      <c r="C346" s="15">
        <v>1</v>
      </c>
      <c r="D346" s="15" t="s">
        <v>8</v>
      </c>
      <c r="E346" s="38" t="s">
        <v>241</v>
      </c>
      <c r="F346" s="38" t="s">
        <v>242</v>
      </c>
      <c r="G346" s="38" t="s">
        <v>59</v>
      </c>
      <c r="H346" s="38" t="s">
        <v>193</v>
      </c>
      <c r="I346" s="38" t="s">
        <v>240</v>
      </c>
      <c r="J346" s="15">
        <f>300+600</f>
        <v>900</v>
      </c>
      <c r="K346" s="15">
        <f t="shared" si="32"/>
        <v>1134</v>
      </c>
      <c r="L346" s="148">
        <v>1.26</v>
      </c>
      <c r="M346" s="15">
        <v>6010</v>
      </c>
      <c r="N346" s="15">
        <f t="shared" si="30"/>
        <v>900</v>
      </c>
      <c r="O346" s="15">
        <f t="shared" si="31"/>
        <v>5110</v>
      </c>
    </row>
    <row r="347" spans="1:15" ht="16" thickBot="1" x14ac:dyDescent="0.3">
      <c r="A347" s="149">
        <v>46188</v>
      </c>
      <c r="B347" s="149" t="s">
        <v>726</v>
      </c>
      <c r="C347" s="15">
        <v>1</v>
      </c>
      <c r="D347" s="15" t="s">
        <v>8</v>
      </c>
      <c r="E347" s="39" t="s">
        <v>223</v>
      </c>
      <c r="F347" s="39" t="s">
        <v>305</v>
      </c>
      <c r="G347" s="39" t="s">
        <v>225</v>
      </c>
      <c r="H347" s="115" t="s">
        <v>301</v>
      </c>
      <c r="I347" s="115" t="s">
        <v>300</v>
      </c>
      <c r="J347" s="15">
        <v>85</v>
      </c>
      <c r="K347" s="15">
        <f t="shared" si="32"/>
        <v>146.71</v>
      </c>
      <c r="L347" s="148">
        <v>1.726</v>
      </c>
      <c r="M347" s="15">
        <v>150</v>
      </c>
      <c r="N347" s="15">
        <f t="shared" si="30"/>
        <v>85</v>
      </c>
      <c r="O347" s="15">
        <f t="shared" si="31"/>
        <v>65</v>
      </c>
    </row>
    <row r="348" spans="1:15" ht="15.5" x14ac:dyDescent="0.25">
      <c r="A348" s="149">
        <v>46189</v>
      </c>
      <c r="B348" s="149" t="s">
        <v>726</v>
      </c>
      <c r="C348" s="15">
        <v>1</v>
      </c>
      <c r="D348" s="15" t="s">
        <v>8</v>
      </c>
      <c r="E348" s="29" t="s">
        <v>253</v>
      </c>
      <c r="F348" s="169" t="s">
        <v>315</v>
      </c>
      <c r="G348" s="34" t="s">
        <v>69</v>
      </c>
      <c r="H348" s="29" t="s">
        <v>159</v>
      </c>
      <c r="I348" s="29" t="s">
        <v>316</v>
      </c>
      <c r="J348" s="15">
        <v>300</v>
      </c>
      <c r="K348" s="15">
        <f t="shared" si="32"/>
        <v>411.00000000000006</v>
      </c>
      <c r="L348" s="148">
        <v>1.37</v>
      </c>
      <c r="M348" s="15">
        <v>4055</v>
      </c>
      <c r="N348" s="15">
        <f t="shared" si="30"/>
        <v>300</v>
      </c>
      <c r="O348" s="15">
        <f t="shared" si="31"/>
        <v>3755</v>
      </c>
    </row>
    <row r="349" spans="1:15" ht="15.5" x14ac:dyDescent="0.3">
      <c r="A349" s="149">
        <v>46189</v>
      </c>
      <c r="B349" s="149" t="s">
        <v>726</v>
      </c>
      <c r="C349" s="15">
        <v>1</v>
      </c>
      <c r="D349" s="15" t="s">
        <v>8</v>
      </c>
      <c r="E349" s="38" t="s">
        <v>241</v>
      </c>
      <c r="F349" s="38" t="s">
        <v>242</v>
      </c>
      <c r="G349" s="38" t="s">
        <v>59</v>
      </c>
      <c r="H349" s="38" t="s">
        <v>193</v>
      </c>
      <c r="I349" s="38" t="s">
        <v>240</v>
      </c>
      <c r="J349" s="15">
        <f>250+650</f>
        <v>900</v>
      </c>
      <c r="K349" s="15">
        <f t="shared" si="32"/>
        <v>1134</v>
      </c>
      <c r="L349" s="148">
        <v>1.26</v>
      </c>
      <c r="M349" s="15">
        <v>5110</v>
      </c>
      <c r="N349" s="15">
        <f t="shared" si="30"/>
        <v>900</v>
      </c>
      <c r="O349" s="15">
        <f t="shared" si="31"/>
        <v>4210</v>
      </c>
    </row>
    <row r="350" spans="1:15" ht="15.5" x14ac:dyDescent="0.25">
      <c r="A350" s="149">
        <v>46189</v>
      </c>
      <c r="B350" s="149" t="s">
        <v>726</v>
      </c>
      <c r="C350" s="15">
        <v>1</v>
      </c>
      <c r="D350" s="15" t="s">
        <v>8</v>
      </c>
      <c r="E350" s="37" t="s">
        <v>297</v>
      </c>
      <c r="F350" s="34" t="s">
        <v>271</v>
      </c>
      <c r="G350" s="15" t="s">
        <v>299</v>
      </c>
      <c r="H350" s="34" t="s">
        <v>271</v>
      </c>
      <c r="I350" s="34" t="s">
        <v>269</v>
      </c>
      <c r="J350" s="15">
        <f>300+210</f>
        <v>510</v>
      </c>
      <c r="K350" s="15">
        <f t="shared" si="32"/>
        <v>1075.0800000000002</v>
      </c>
      <c r="L350" s="148">
        <v>2.1080000000000001</v>
      </c>
      <c r="M350" s="15">
        <v>2545</v>
      </c>
      <c r="N350" s="15">
        <f t="shared" si="30"/>
        <v>510</v>
      </c>
      <c r="O350" s="15">
        <f t="shared" si="31"/>
        <v>2035</v>
      </c>
    </row>
    <row r="351" spans="1:15" ht="15.5" x14ac:dyDescent="0.25">
      <c r="A351" s="149">
        <v>46190</v>
      </c>
      <c r="B351" s="149" t="s">
        <v>726</v>
      </c>
      <c r="C351" s="15">
        <v>1</v>
      </c>
      <c r="D351" s="15" t="s">
        <v>8</v>
      </c>
      <c r="E351" s="29" t="s">
        <v>253</v>
      </c>
      <c r="F351" s="169" t="s">
        <v>315</v>
      </c>
      <c r="G351" s="34" t="s">
        <v>69</v>
      </c>
      <c r="H351" s="29" t="s">
        <v>159</v>
      </c>
      <c r="I351" s="29" t="s">
        <v>316</v>
      </c>
      <c r="J351" s="15">
        <v>425</v>
      </c>
      <c r="K351" s="15">
        <f t="shared" si="32"/>
        <v>582.25</v>
      </c>
      <c r="L351" s="148">
        <v>1.37</v>
      </c>
      <c r="M351" s="15">
        <v>3755</v>
      </c>
      <c r="N351" s="15">
        <f t="shared" ref="N351:N357" si="33">J351</f>
        <v>425</v>
      </c>
      <c r="O351" s="15">
        <f t="shared" ref="O351:O353" si="34">M351-N351</f>
        <v>3330</v>
      </c>
    </row>
    <row r="352" spans="1:15" ht="15.5" x14ac:dyDescent="0.3">
      <c r="A352" s="149">
        <v>46190</v>
      </c>
      <c r="B352" s="149" t="s">
        <v>726</v>
      </c>
      <c r="C352" s="15">
        <v>1</v>
      </c>
      <c r="D352" s="15" t="s">
        <v>8</v>
      </c>
      <c r="E352" s="38" t="s">
        <v>241</v>
      </c>
      <c r="F352" s="38" t="s">
        <v>242</v>
      </c>
      <c r="G352" s="38" t="s">
        <v>59</v>
      </c>
      <c r="H352" s="38" t="s">
        <v>193</v>
      </c>
      <c r="I352" s="38" t="s">
        <v>240</v>
      </c>
      <c r="J352" s="15">
        <f>700+450</f>
        <v>1150</v>
      </c>
      <c r="K352" s="15">
        <f t="shared" si="32"/>
        <v>1449</v>
      </c>
      <c r="L352" s="148">
        <v>1.26</v>
      </c>
      <c r="M352" s="15">
        <v>4210</v>
      </c>
      <c r="N352" s="15">
        <f t="shared" si="33"/>
        <v>1150</v>
      </c>
      <c r="O352" s="15">
        <f t="shared" si="34"/>
        <v>3060</v>
      </c>
    </row>
    <row r="353" spans="1:15" ht="15.5" x14ac:dyDescent="0.25">
      <c r="A353" s="149">
        <v>46190</v>
      </c>
      <c r="B353" s="149" t="s">
        <v>726</v>
      </c>
      <c r="C353" s="15">
        <v>1</v>
      </c>
      <c r="D353" s="15" t="s">
        <v>8</v>
      </c>
      <c r="E353" s="37" t="s">
        <v>297</v>
      </c>
      <c r="F353" s="34" t="s">
        <v>271</v>
      </c>
      <c r="G353" s="15" t="s">
        <v>299</v>
      </c>
      <c r="H353" s="34" t="s">
        <v>271</v>
      </c>
      <c r="I353" s="34" t="s">
        <v>269</v>
      </c>
      <c r="J353" s="15">
        <f>325+150</f>
        <v>475</v>
      </c>
      <c r="K353" s="15">
        <f t="shared" si="32"/>
        <v>1001.3000000000001</v>
      </c>
      <c r="L353" s="148">
        <v>2.1080000000000001</v>
      </c>
      <c r="M353" s="15">
        <v>2035</v>
      </c>
      <c r="N353" s="15">
        <f t="shared" si="33"/>
        <v>475</v>
      </c>
      <c r="O353" s="15">
        <f t="shared" si="34"/>
        <v>1560</v>
      </c>
    </row>
    <row r="354" spans="1:15" ht="15.5" x14ac:dyDescent="0.25">
      <c r="A354" s="149">
        <v>46191</v>
      </c>
      <c r="B354" s="149" t="s">
        <v>726</v>
      </c>
      <c r="C354" s="15">
        <v>1</v>
      </c>
      <c r="D354" s="15" t="s">
        <v>8</v>
      </c>
      <c r="E354" s="29" t="s">
        <v>253</v>
      </c>
      <c r="F354" s="169" t="s">
        <v>315</v>
      </c>
      <c r="G354" s="34" t="s">
        <v>69</v>
      </c>
      <c r="H354" s="29" t="s">
        <v>159</v>
      </c>
      <c r="I354" s="29" t="s">
        <v>316</v>
      </c>
      <c r="J354" s="15">
        <v>1300</v>
      </c>
      <c r="K354" s="15">
        <f t="shared" ref="K354:K357" si="35">L354*J354</f>
        <v>1781.0000000000002</v>
      </c>
      <c r="L354" s="148">
        <v>1.37</v>
      </c>
      <c r="M354" s="15">
        <v>3330</v>
      </c>
      <c r="N354" s="15">
        <f t="shared" si="33"/>
        <v>1300</v>
      </c>
      <c r="O354" s="15">
        <f t="shared" ref="O354:O357" si="36">M354-N354</f>
        <v>2030</v>
      </c>
    </row>
    <row r="355" spans="1:15" ht="15.5" x14ac:dyDescent="0.3">
      <c r="A355" s="149">
        <v>46191</v>
      </c>
      <c r="B355" s="149" t="s">
        <v>726</v>
      </c>
      <c r="C355" s="15">
        <v>1</v>
      </c>
      <c r="D355" s="15" t="s">
        <v>8</v>
      </c>
      <c r="E355" s="38" t="s">
        <v>241</v>
      </c>
      <c r="F355" s="38" t="s">
        <v>242</v>
      </c>
      <c r="G355" s="38" t="s">
        <v>59</v>
      </c>
      <c r="H355" s="38" t="s">
        <v>193</v>
      </c>
      <c r="I355" s="38" t="s">
        <v>240</v>
      </c>
      <c r="J355" s="15">
        <v>600</v>
      </c>
      <c r="K355" s="15">
        <f t="shared" si="35"/>
        <v>756</v>
      </c>
      <c r="L355" s="148">
        <v>1.26</v>
      </c>
      <c r="M355" s="15">
        <v>3060</v>
      </c>
      <c r="N355" s="15">
        <f t="shared" si="33"/>
        <v>600</v>
      </c>
      <c r="O355" s="15">
        <f t="shared" si="36"/>
        <v>2460</v>
      </c>
    </row>
    <row r="356" spans="1:15" ht="15.5" x14ac:dyDescent="0.25">
      <c r="A356" s="149">
        <v>46191</v>
      </c>
      <c r="B356" s="149" t="s">
        <v>726</v>
      </c>
      <c r="C356" s="15">
        <v>1</v>
      </c>
      <c r="D356" s="15" t="s">
        <v>8</v>
      </c>
      <c r="E356" s="37" t="s">
        <v>297</v>
      </c>
      <c r="F356" s="34" t="s">
        <v>271</v>
      </c>
      <c r="G356" s="15" t="s">
        <v>299</v>
      </c>
      <c r="H356" s="34" t="s">
        <v>271</v>
      </c>
      <c r="I356" s="34" t="s">
        <v>269</v>
      </c>
      <c r="J356" s="15">
        <v>580</v>
      </c>
      <c r="K356" s="15">
        <f t="shared" si="35"/>
        <v>1222.6400000000001</v>
      </c>
      <c r="L356" s="148">
        <v>2.1080000000000001</v>
      </c>
      <c r="M356" s="15">
        <v>1560</v>
      </c>
      <c r="N356" s="15">
        <f t="shared" si="33"/>
        <v>580</v>
      </c>
      <c r="O356" s="15">
        <f t="shared" si="36"/>
        <v>980</v>
      </c>
    </row>
    <row r="357" spans="1:15" ht="15.5" x14ac:dyDescent="0.25">
      <c r="A357" s="149">
        <v>46191</v>
      </c>
      <c r="B357" s="149" t="s">
        <v>726</v>
      </c>
      <c r="C357" s="15">
        <v>1</v>
      </c>
      <c r="D357" s="15" t="s">
        <v>8</v>
      </c>
      <c r="E357" s="26" t="s">
        <v>310</v>
      </c>
      <c r="F357" s="27" t="s">
        <v>216</v>
      </c>
      <c r="G357" s="34" t="s">
        <v>69</v>
      </c>
      <c r="H357" s="26" t="s">
        <v>212</v>
      </c>
      <c r="I357" s="34" t="s">
        <v>215</v>
      </c>
      <c r="J357" s="15">
        <v>500</v>
      </c>
      <c r="K357" s="15">
        <f t="shared" si="35"/>
        <v>335</v>
      </c>
      <c r="L357" s="148">
        <v>0.67</v>
      </c>
      <c r="M357" s="15">
        <v>1800</v>
      </c>
      <c r="N357" s="15">
        <f t="shared" si="33"/>
        <v>500</v>
      </c>
      <c r="O357" s="15">
        <f t="shared" si="36"/>
        <v>1300</v>
      </c>
    </row>
    <row r="358" spans="1:15" ht="15.5" x14ac:dyDescent="0.25">
      <c r="A358" s="149">
        <v>46192</v>
      </c>
      <c r="B358" s="149" t="s">
        <v>726</v>
      </c>
      <c r="C358" s="15">
        <v>1</v>
      </c>
      <c r="D358" s="15" t="s">
        <v>8</v>
      </c>
      <c r="E358" s="29" t="s">
        <v>253</v>
      </c>
      <c r="F358" s="169" t="s">
        <v>315</v>
      </c>
      <c r="G358" s="34" t="s">
        <v>69</v>
      </c>
      <c r="H358" s="29" t="s">
        <v>159</v>
      </c>
      <c r="I358" s="29" t="s">
        <v>316</v>
      </c>
      <c r="J358" s="15">
        <v>1300</v>
      </c>
      <c r="K358" s="15">
        <f t="shared" ref="K358:K361" si="37">L358*J358</f>
        <v>1781.0000000000002</v>
      </c>
      <c r="L358" s="148">
        <v>1.37</v>
      </c>
      <c r="M358" s="15">
        <v>2030</v>
      </c>
      <c r="N358" s="15">
        <f t="shared" ref="N358:N361" si="38">J358</f>
        <v>1300</v>
      </c>
      <c r="O358" s="15">
        <f t="shared" ref="O358:O361" si="39">M358-N358</f>
        <v>730</v>
      </c>
    </row>
    <row r="359" spans="1:15" ht="15.5" x14ac:dyDescent="0.3">
      <c r="A359" s="149">
        <v>46192</v>
      </c>
      <c r="B359" s="149" t="s">
        <v>726</v>
      </c>
      <c r="C359" s="15">
        <v>1</v>
      </c>
      <c r="D359" s="15" t="s">
        <v>8</v>
      </c>
      <c r="E359" s="38" t="s">
        <v>241</v>
      </c>
      <c r="F359" s="38" t="s">
        <v>242</v>
      </c>
      <c r="G359" s="38" t="s">
        <v>59</v>
      </c>
      <c r="H359" s="38" t="s">
        <v>193</v>
      </c>
      <c r="I359" s="38" t="s">
        <v>240</v>
      </c>
      <c r="J359" s="15">
        <v>600</v>
      </c>
      <c r="K359" s="15">
        <f t="shared" si="37"/>
        <v>756</v>
      </c>
      <c r="L359" s="148">
        <v>1.26</v>
      </c>
      <c r="M359" s="15">
        <v>2460</v>
      </c>
      <c r="N359" s="15">
        <f t="shared" si="38"/>
        <v>600</v>
      </c>
      <c r="O359" s="15">
        <f t="shared" si="39"/>
        <v>1860</v>
      </c>
    </row>
    <row r="360" spans="1:15" ht="15.5" x14ac:dyDescent="0.25">
      <c r="A360" s="149">
        <v>46192</v>
      </c>
      <c r="B360" s="149" t="s">
        <v>726</v>
      </c>
      <c r="C360" s="15">
        <v>1</v>
      </c>
      <c r="D360" s="15" t="s">
        <v>8</v>
      </c>
      <c r="E360" s="37" t="s">
        <v>297</v>
      </c>
      <c r="F360" s="34" t="s">
        <v>271</v>
      </c>
      <c r="G360" s="15" t="s">
        <v>299</v>
      </c>
      <c r="H360" s="34" t="s">
        <v>271</v>
      </c>
      <c r="I360" s="34" t="s">
        <v>269</v>
      </c>
      <c r="J360" s="15">
        <v>595</v>
      </c>
      <c r="K360" s="15">
        <f t="shared" si="37"/>
        <v>1254.26</v>
      </c>
      <c r="L360" s="148">
        <v>2.1080000000000001</v>
      </c>
      <c r="M360" s="15">
        <v>980</v>
      </c>
      <c r="N360" s="15">
        <f t="shared" si="38"/>
        <v>595</v>
      </c>
      <c r="O360" s="15">
        <f t="shared" si="39"/>
        <v>385</v>
      </c>
    </row>
    <row r="361" spans="1:15" ht="15.5" x14ac:dyDescent="0.25">
      <c r="A361" s="149">
        <v>46192</v>
      </c>
      <c r="B361" s="149" t="s">
        <v>726</v>
      </c>
      <c r="C361" s="15">
        <v>1</v>
      </c>
      <c r="D361" s="15" t="s">
        <v>8</v>
      </c>
      <c r="E361" s="26" t="s">
        <v>310</v>
      </c>
      <c r="F361" s="27" t="s">
        <v>216</v>
      </c>
      <c r="G361" s="34" t="s">
        <v>69</v>
      </c>
      <c r="H361" s="26" t="s">
        <v>212</v>
      </c>
      <c r="I361" s="34" t="s">
        <v>215</v>
      </c>
      <c r="J361" s="15">
        <v>450</v>
      </c>
      <c r="K361" s="15">
        <f t="shared" si="37"/>
        <v>301.5</v>
      </c>
      <c r="L361" s="148">
        <v>0.67</v>
      </c>
      <c r="M361" s="15">
        <v>1300</v>
      </c>
      <c r="N361" s="15">
        <f t="shared" si="38"/>
        <v>450</v>
      </c>
      <c r="O361" s="15">
        <f t="shared" si="39"/>
        <v>850</v>
      </c>
    </row>
    <row r="362" spans="1:15" ht="15.5" x14ac:dyDescent="0.25">
      <c r="A362" s="149">
        <v>46193</v>
      </c>
      <c r="B362" s="149" t="s">
        <v>726</v>
      </c>
      <c r="C362" s="15">
        <v>1</v>
      </c>
      <c r="D362" s="15" t="s">
        <v>8</v>
      </c>
      <c r="E362" s="28" t="s">
        <v>253</v>
      </c>
      <c r="F362" s="29" t="s">
        <v>315</v>
      </c>
      <c r="G362" s="27" t="s">
        <v>319</v>
      </c>
      <c r="H362" s="174" t="s">
        <v>255</v>
      </c>
      <c r="I362" s="48" t="s">
        <v>320</v>
      </c>
      <c r="J362" s="15">
        <v>400</v>
      </c>
      <c r="K362" s="15">
        <f t="shared" ref="K362:K370" si="40">L362*J362</f>
        <v>546.56000000000006</v>
      </c>
      <c r="L362" s="29">
        <v>1.3664000000000001</v>
      </c>
      <c r="M362" s="15">
        <v>730</v>
      </c>
      <c r="N362" s="15">
        <f t="shared" ref="N362:N375" si="41">J362</f>
        <v>400</v>
      </c>
      <c r="O362" s="15">
        <f t="shared" ref="O362:O370" si="42">M362-N362</f>
        <v>330</v>
      </c>
    </row>
    <row r="363" spans="1:15" ht="15.5" x14ac:dyDescent="0.25">
      <c r="A363" s="149">
        <v>46193</v>
      </c>
      <c r="B363" s="149" t="s">
        <v>726</v>
      </c>
      <c r="C363" s="15">
        <v>1</v>
      </c>
      <c r="D363" s="15" t="s">
        <v>8</v>
      </c>
      <c r="E363" s="28" t="s">
        <v>317</v>
      </c>
      <c r="F363" s="29" t="s">
        <v>248</v>
      </c>
      <c r="G363" s="27" t="s">
        <v>319</v>
      </c>
      <c r="H363" s="174" t="s">
        <v>249</v>
      </c>
      <c r="I363" s="48" t="s">
        <v>246</v>
      </c>
      <c r="J363" s="15">
        <f>175+400</f>
        <v>575</v>
      </c>
      <c r="K363" s="15">
        <f t="shared" si="40"/>
        <v>917.7</v>
      </c>
      <c r="L363" s="29">
        <v>1.5960000000000001</v>
      </c>
      <c r="M363" s="15">
        <v>3240</v>
      </c>
      <c r="N363" s="15">
        <f t="shared" si="41"/>
        <v>575</v>
      </c>
      <c r="O363" s="15">
        <f t="shared" si="42"/>
        <v>2665</v>
      </c>
    </row>
    <row r="364" spans="1:15" ht="15.5" x14ac:dyDescent="0.25">
      <c r="A364" s="149">
        <v>46193</v>
      </c>
      <c r="B364" s="149" t="s">
        <v>726</v>
      </c>
      <c r="C364" s="15">
        <v>1</v>
      </c>
      <c r="D364" s="15" t="s">
        <v>8</v>
      </c>
      <c r="E364" s="29" t="s">
        <v>321</v>
      </c>
      <c r="F364" s="29" t="s">
        <v>318</v>
      </c>
      <c r="G364" s="114" t="s">
        <v>319</v>
      </c>
      <c r="H364" s="175" t="s">
        <v>212</v>
      </c>
      <c r="I364" s="29" t="s">
        <v>215</v>
      </c>
      <c r="J364" s="15">
        <v>400</v>
      </c>
      <c r="K364" s="15">
        <f t="shared" si="40"/>
        <v>268.27999999999997</v>
      </c>
      <c r="L364" s="29">
        <v>0.67069999999999996</v>
      </c>
      <c r="M364" s="15">
        <v>850</v>
      </c>
      <c r="N364" s="15">
        <f t="shared" si="41"/>
        <v>400</v>
      </c>
      <c r="O364" s="15">
        <f t="shared" si="42"/>
        <v>450</v>
      </c>
    </row>
    <row r="365" spans="1:15" ht="15.5" x14ac:dyDescent="0.3">
      <c r="A365" s="149">
        <v>46193</v>
      </c>
      <c r="B365" s="149" t="s">
        <v>726</v>
      </c>
      <c r="C365" s="15">
        <v>1</v>
      </c>
      <c r="D365" s="15" t="s">
        <v>8</v>
      </c>
      <c r="E365" s="38" t="s">
        <v>241</v>
      </c>
      <c r="F365" s="29" t="s">
        <v>242</v>
      </c>
      <c r="G365" s="27" t="s">
        <v>319</v>
      </c>
      <c r="H365" s="175" t="s">
        <v>193</v>
      </c>
      <c r="I365" s="29" t="s">
        <v>240</v>
      </c>
      <c r="J365" s="15">
        <v>750</v>
      </c>
      <c r="K365" s="15">
        <f t="shared" si="40"/>
        <v>950.24999999999989</v>
      </c>
      <c r="L365" s="29">
        <v>1.2669999999999999</v>
      </c>
      <c r="M365" s="15">
        <v>1860</v>
      </c>
      <c r="N365" s="15">
        <f t="shared" si="41"/>
        <v>750</v>
      </c>
      <c r="O365" s="15">
        <f t="shared" si="42"/>
        <v>1110</v>
      </c>
    </row>
    <row r="366" spans="1:15" ht="15.5" x14ac:dyDescent="0.25">
      <c r="A366" s="149">
        <v>46193</v>
      </c>
      <c r="B366" s="149" t="s">
        <v>726</v>
      </c>
      <c r="C366" s="15">
        <v>1</v>
      </c>
      <c r="D366" s="15" t="s">
        <v>8</v>
      </c>
      <c r="E366" s="37" t="s">
        <v>297</v>
      </c>
      <c r="F366" s="34" t="s">
        <v>271</v>
      </c>
      <c r="G366" s="15" t="s">
        <v>299</v>
      </c>
      <c r="H366" s="34" t="s">
        <v>271</v>
      </c>
      <c r="I366" s="34" t="s">
        <v>269</v>
      </c>
      <c r="J366" s="15">
        <f>300+220</f>
        <v>520</v>
      </c>
      <c r="K366" s="15">
        <f t="shared" si="40"/>
        <v>1096.1600000000001</v>
      </c>
      <c r="L366" s="148">
        <v>2.1080000000000001</v>
      </c>
      <c r="M366" s="15">
        <v>905</v>
      </c>
      <c r="N366" s="15">
        <f t="shared" si="41"/>
        <v>520</v>
      </c>
      <c r="O366" s="15">
        <f t="shared" si="42"/>
        <v>385</v>
      </c>
    </row>
    <row r="367" spans="1:15" ht="15.5" x14ac:dyDescent="0.25">
      <c r="A367" s="149">
        <v>46194</v>
      </c>
      <c r="B367" s="149" t="s">
        <v>726</v>
      </c>
      <c r="C367" s="15">
        <v>1</v>
      </c>
      <c r="D367" s="15" t="s">
        <v>8</v>
      </c>
      <c r="E367" s="28" t="s">
        <v>317</v>
      </c>
      <c r="F367" s="29" t="s">
        <v>248</v>
      </c>
      <c r="G367" s="27" t="s">
        <v>319</v>
      </c>
      <c r="H367" s="174" t="s">
        <v>249</v>
      </c>
      <c r="I367" s="48" t="s">
        <v>246</v>
      </c>
      <c r="J367" s="15">
        <f>500+575</f>
        <v>1075</v>
      </c>
      <c r="K367" s="15">
        <f t="shared" si="40"/>
        <v>1715.7</v>
      </c>
      <c r="L367" s="29">
        <v>1.5960000000000001</v>
      </c>
      <c r="M367" s="15">
        <v>2665</v>
      </c>
      <c r="N367" s="15">
        <f t="shared" si="41"/>
        <v>1075</v>
      </c>
      <c r="O367" s="15">
        <f t="shared" si="42"/>
        <v>1590</v>
      </c>
    </row>
    <row r="368" spans="1:15" ht="15.5" x14ac:dyDescent="0.25">
      <c r="A368" s="149">
        <v>46194</v>
      </c>
      <c r="B368" s="149" t="s">
        <v>726</v>
      </c>
      <c r="C368" s="15">
        <v>1</v>
      </c>
      <c r="D368" s="15" t="s">
        <v>8</v>
      </c>
      <c r="E368" s="29" t="s">
        <v>321</v>
      </c>
      <c r="F368" s="29" t="s">
        <v>318</v>
      </c>
      <c r="G368" s="114" t="s">
        <v>319</v>
      </c>
      <c r="H368" s="175" t="s">
        <v>212</v>
      </c>
      <c r="I368" s="29" t="s">
        <v>215</v>
      </c>
      <c r="J368" s="15">
        <v>450</v>
      </c>
      <c r="K368" s="15">
        <f t="shared" si="40"/>
        <v>301.815</v>
      </c>
      <c r="L368" s="29">
        <v>0.67069999999999996</v>
      </c>
      <c r="M368" s="15">
        <v>450</v>
      </c>
      <c r="N368" s="15">
        <f t="shared" si="41"/>
        <v>450</v>
      </c>
      <c r="O368" s="15">
        <f t="shared" si="42"/>
        <v>0</v>
      </c>
    </row>
    <row r="369" spans="1:15" ht="15.5" x14ac:dyDescent="0.3">
      <c r="A369" s="149">
        <v>46194</v>
      </c>
      <c r="B369" s="149" t="s">
        <v>726</v>
      </c>
      <c r="C369" s="15">
        <v>1</v>
      </c>
      <c r="D369" s="15" t="s">
        <v>8</v>
      </c>
      <c r="E369" s="38" t="s">
        <v>241</v>
      </c>
      <c r="F369" s="29" t="s">
        <v>242</v>
      </c>
      <c r="G369" s="27" t="s">
        <v>319</v>
      </c>
      <c r="H369" s="175" t="s">
        <v>193</v>
      </c>
      <c r="I369" s="29" t="s">
        <v>240</v>
      </c>
      <c r="J369" s="15">
        <v>750</v>
      </c>
      <c r="K369" s="15">
        <f t="shared" si="40"/>
        <v>950.24999999999989</v>
      </c>
      <c r="L369" s="29">
        <v>1.2669999999999999</v>
      </c>
      <c r="M369" s="15">
        <v>1110</v>
      </c>
      <c r="N369" s="15">
        <f t="shared" si="41"/>
        <v>750</v>
      </c>
      <c r="O369" s="15">
        <f t="shared" si="42"/>
        <v>360</v>
      </c>
    </row>
    <row r="370" spans="1:15" ht="15.5" x14ac:dyDescent="0.25">
      <c r="A370" s="149">
        <v>46194</v>
      </c>
      <c r="B370" s="149" t="s">
        <v>726</v>
      </c>
      <c r="C370" s="15">
        <v>1</v>
      </c>
      <c r="D370" s="15" t="s">
        <v>8</v>
      </c>
      <c r="E370" s="37" t="s">
        <v>297</v>
      </c>
      <c r="F370" s="34" t="s">
        <v>271</v>
      </c>
      <c r="G370" s="15" t="s">
        <v>299</v>
      </c>
      <c r="H370" s="34" t="s">
        <v>271</v>
      </c>
      <c r="I370" s="50" t="s">
        <v>313</v>
      </c>
      <c r="J370" s="15">
        <f>350+220</f>
        <v>570</v>
      </c>
      <c r="K370" s="15">
        <f t="shared" si="40"/>
        <v>1201.56</v>
      </c>
      <c r="L370" s="148">
        <v>2.1080000000000001</v>
      </c>
      <c r="M370" s="15">
        <v>9815</v>
      </c>
      <c r="N370" s="15">
        <f t="shared" si="41"/>
        <v>570</v>
      </c>
      <c r="O370" s="15">
        <f t="shared" si="42"/>
        <v>9245</v>
      </c>
    </row>
    <row r="371" spans="1:15" ht="15.5" x14ac:dyDescent="0.25">
      <c r="A371" s="149">
        <v>46196</v>
      </c>
      <c r="B371" s="149" t="s">
        <v>726</v>
      </c>
      <c r="C371" s="15">
        <v>1</v>
      </c>
      <c r="D371" s="15" t="s">
        <v>8</v>
      </c>
      <c r="E371" s="28" t="s">
        <v>317</v>
      </c>
      <c r="F371" s="29" t="s">
        <v>248</v>
      </c>
      <c r="G371" s="27" t="s">
        <v>319</v>
      </c>
      <c r="H371" s="174" t="s">
        <v>249</v>
      </c>
      <c r="I371" s="48" t="s">
        <v>246</v>
      </c>
      <c r="J371" s="15">
        <v>500</v>
      </c>
      <c r="K371" s="15">
        <f t="shared" ref="K371:K375" si="43">L371*J371</f>
        <v>798</v>
      </c>
      <c r="L371" s="29">
        <v>1.5960000000000001</v>
      </c>
      <c r="M371" s="15">
        <v>2090</v>
      </c>
      <c r="N371" s="15">
        <f t="shared" si="41"/>
        <v>500</v>
      </c>
      <c r="O371" s="15">
        <f t="shared" ref="O371:O375" si="44">M371-N371</f>
        <v>1590</v>
      </c>
    </row>
    <row r="372" spans="1:15" ht="15.5" x14ac:dyDescent="0.25">
      <c r="A372" s="149">
        <v>46196</v>
      </c>
      <c r="B372" s="149" t="s">
        <v>726</v>
      </c>
      <c r="C372" s="15">
        <v>1</v>
      </c>
      <c r="D372" s="15" t="s">
        <v>8</v>
      </c>
      <c r="E372" s="29" t="s">
        <v>321</v>
      </c>
      <c r="F372" s="29" t="s">
        <v>318</v>
      </c>
      <c r="G372" s="114" t="s">
        <v>319</v>
      </c>
      <c r="H372" s="175" t="s">
        <v>212</v>
      </c>
      <c r="I372" s="29" t="s">
        <v>217</v>
      </c>
      <c r="J372" s="15">
        <v>1275</v>
      </c>
      <c r="K372" s="15">
        <f t="shared" si="43"/>
        <v>855.14249999999993</v>
      </c>
      <c r="L372" s="29">
        <v>0.67069999999999996</v>
      </c>
      <c r="M372" s="15">
        <v>9600</v>
      </c>
      <c r="N372" s="15">
        <f t="shared" si="41"/>
        <v>1275</v>
      </c>
      <c r="O372" s="15">
        <f t="shared" si="44"/>
        <v>8325</v>
      </c>
    </row>
    <row r="373" spans="1:15" ht="15.5" x14ac:dyDescent="0.3">
      <c r="A373" s="149">
        <v>46196</v>
      </c>
      <c r="B373" s="149" t="s">
        <v>726</v>
      </c>
      <c r="C373" s="15">
        <v>1</v>
      </c>
      <c r="D373" s="15" t="s">
        <v>8</v>
      </c>
      <c r="E373" s="38" t="s">
        <v>241</v>
      </c>
      <c r="F373" s="29" t="s">
        <v>242</v>
      </c>
      <c r="G373" s="27" t="s">
        <v>319</v>
      </c>
      <c r="H373" s="175" t="s">
        <v>193</v>
      </c>
      <c r="I373" s="29" t="s">
        <v>240</v>
      </c>
      <c r="J373" s="15">
        <v>360</v>
      </c>
      <c r="K373" s="15">
        <f t="shared" si="43"/>
        <v>456.11999999999995</v>
      </c>
      <c r="L373" s="29">
        <v>1.2669999999999999</v>
      </c>
      <c r="M373" s="15">
        <v>360</v>
      </c>
      <c r="N373" s="15">
        <f t="shared" si="41"/>
        <v>360</v>
      </c>
      <c r="O373" s="15">
        <f t="shared" si="44"/>
        <v>0</v>
      </c>
    </row>
    <row r="374" spans="1:15" ht="15.5" x14ac:dyDescent="0.25">
      <c r="A374" s="149">
        <v>46196</v>
      </c>
      <c r="B374" s="149" t="s">
        <v>726</v>
      </c>
      <c r="C374" s="15">
        <v>1</v>
      </c>
      <c r="D374" s="15" t="s">
        <v>8</v>
      </c>
      <c r="E374" s="37" t="s">
        <v>297</v>
      </c>
      <c r="F374" s="34" t="s">
        <v>271</v>
      </c>
      <c r="G374" s="15" t="s">
        <v>299</v>
      </c>
      <c r="H374" s="34" t="s">
        <v>271</v>
      </c>
      <c r="I374" s="50" t="s">
        <v>313</v>
      </c>
      <c r="J374" s="15">
        <v>570</v>
      </c>
      <c r="K374" s="15">
        <f t="shared" si="43"/>
        <v>1201.56</v>
      </c>
      <c r="L374" s="148">
        <v>2.1080000000000001</v>
      </c>
      <c r="M374" s="15">
        <v>9245</v>
      </c>
      <c r="N374" s="15">
        <f t="shared" si="41"/>
        <v>570</v>
      </c>
      <c r="O374" s="15">
        <f t="shared" si="44"/>
        <v>8675</v>
      </c>
    </row>
    <row r="375" spans="1:15" ht="15.5" x14ac:dyDescent="0.25">
      <c r="A375" s="149">
        <v>46196</v>
      </c>
      <c r="B375" s="149" t="s">
        <v>726</v>
      </c>
      <c r="C375" s="15">
        <v>1</v>
      </c>
      <c r="D375" s="15" t="s">
        <v>8</v>
      </c>
      <c r="E375" s="28" t="s">
        <v>253</v>
      </c>
      <c r="F375" s="29" t="s">
        <v>315</v>
      </c>
      <c r="G375" s="27" t="s">
        <v>319</v>
      </c>
      <c r="H375" s="174" t="s">
        <v>255</v>
      </c>
      <c r="I375" s="48" t="s">
        <v>320</v>
      </c>
      <c r="J375" s="15">
        <v>330</v>
      </c>
      <c r="K375" s="15">
        <f t="shared" si="43"/>
        <v>450.91200000000003</v>
      </c>
      <c r="L375" s="29">
        <v>1.3664000000000001</v>
      </c>
      <c r="M375" s="15">
        <v>330</v>
      </c>
      <c r="N375" s="15">
        <f t="shared" si="41"/>
        <v>330</v>
      </c>
      <c r="O375" s="15">
        <f t="shared" si="44"/>
        <v>0</v>
      </c>
    </row>
    <row r="376" spans="1:15" ht="15.5" x14ac:dyDescent="0.25">
      <c r="A376" s="149">
        <v>46197</v>
      </c>
      <c r="B376" s="149" t="s">
        <v>726</v>
      </c>
      <c r="C376" s="15">
        <v>1</v>
      </c>
      <c r="D376" s="15" t="s">
        <v>8</v>
      </c>
      <c r="E376" s="41" t="s">
        <v>317</v>
      </c>
      <c r="F376" s="40" t="s">
        <v>248</v>
      </c>
      <c r="G376" s="176" t="s">
        <v>319</v>
      </c>
      <c r="H376" s="177" t="s">
        <v>249</v>
      </c>
      <c r="I376" s="42" t="s">
        <v>246</v>
      </c>
      <c r="J376" s="15">
        <v>225</v>
      </c>
      <c r="K376" s="15">
        <f t="shared" ref="K376:K378" si="45">L376*J376</f>
        <v>359.1</v>
      </c>
      <c r="L376" s="40">
        <v>1.5960000000000001</v>
      </c>
      <c r="M376" s="15">
        <v>1590</v>
      </c>
      <c r="N376" s="15">
        <f t="shared" ref="N376:N379" si="46">J376</f>
        <v>225</v>
      </c>
      <c r="O376" s="15">
        <f t="shared" ref="O376:O378" si="47">M376-N376</f>
        <v>1365</v>
      </c>
    </row>
    <row r="377" spans="1:15" ht="15.5" x14ac:dyDescent="0.25">
      <c r="A377" s="149">
        <v>46197</v>
      </c>
      <c r="B377" s="149" t="s">
        <v>726</v>
      </c>
      <c r="C377" s="15">
        <v>1</v>
      </c>
      <c r="D377" s="15" t="s">
        <v>8</v>
      </c>
      <c r="E377" s="40" t="s">
        <v>310</v>
      </c>
      <c r="F377" s="42" t="s">
        <v>327</v>
      </c>
      <c r="G377" s="176" t="s">
        <v>319</v>
      </c>
      <c r="H377" s="178" t="s">
        <v>212</v>
      </c>
      <c r="I377" s="42" t="s">
        <v>221</v>
      </c>
      <c r="J377" s="15">
        <v>1100</v>
      </c>
      <c r="K377" s="15">
        <f t="shared" si="45"/>
        <v>737.77</v>
      </c>
      <c r="L377" s="40">
        <v>0.67069999999999996</v>
      </c>
      <c r="M377" s="15">
        <v>1200</v>
      </c>
      <c r="N377" s="15">
        <f t="shared" si="46"/>
        <v>1100</v>
      </c>
      <c r="O377" s="15">
        <f t="shared" si="47"/>
        <v>100</v>
      </c>
    </row>
    <row r="378" spans="1:15" ht="15.5" x14ac:dyDescent="0.25">
      <c r="A378" s="149">
        <v>46197</v>
      </c>
      <c r="B378" s="149" t="s">
        <v>726</v>
      </c>
      <c r="C378" s="15">
        <v>1</v>
      </c>
      <c r="D378" s="15" t="s">
        <v>8</v>
      </c>
      <c r="E378" s="40" t="s">
        <v>310</v>
      </c>
      <c r="F378" s="40" t="s">
        <v>218</v>
      </c>
      <c r="G378" s="179" t="s">
        <v>319</v>
      </c>
      <c r="H378" s="178" t="s">
        <v>212</v>
      </c>
      <c r="I378" s="40" t="s">
        <v>217</v>
      </c>
      <c r="J378" s="15">
        <v>1675</v>
      </c>
      <c r="K378" s="15">
        <f t="shared" si="45"/>
        <v>1123.4224999999999</v>
      </c>
      <c r="L378" s="40">
        <v>0.67069999999999996</v>
      </c>
      <c r="M378" s="15">
        <v>8325</v>
      </c>
      <c r="N378" s="15">
        <f t="shared" si="46"/>
        <v>1675</v>
      </c>
      <c r="O378" s="15">
        <f t="shared" si="47"/>
        <v>6650</v>
      </c>
    </row>
    <row r="379" spans="1:15" ht="15.5" x14ac:dyDescent="0.25">
      <c r="A379" s="149">
        <v>46197</v>
      </c>
      <c r="B379" s="149" t="s">
        <v>726</v>
      </c>
      <c r="C379" s="15">
        <v>1</v>
      </c>
      <c r="D379" s="15" t="s">
        <v>8</v>
      </c>
      <c r="E379" s="43" t="s">
        <v>270</v>
      </c>
      <c r="F379" s="44" t="s">
        <v>314</v>
      </c>
      <c r="G379" s="180" t="s">
        <v>328</v>
      </c>
      <c r="H379" s="181" t="s">
        <v>272</v>
      </c>
      <c r="I379" s="44" t="s">
        <v>313</v>
      </c>
      <c r="J379" s="15">
        <v>480</v>
      </c>
      <c r="K379" s="15">
        <v>1219</v>
      </c>
      <c r="L379" s="44">
        <v>2.1017999999999999</v>
      </c>
      <c r="M379" s="15">
        <v>8675</v>
      </c>
      <c r="N379" s="15">
        <f t="shared" si="46"/>
        <v>480</v>
      </c>
      <c r="O379" s="15">
        <v>8145</v>
      </c>
    </row>
    <row r="380" spans="1:15" ht="15.5" x14ac:dyDescent="0.25">
      <c r="A380" s="149">
        <v>46198</v>
      </c>
      <c r="B380" s="149" t="s">
        <v>726</v>
      </c>
      <c r="C380" s="15">
        <v>1</v>
      </c>
      <c r="D380" s="29" t="s">
        <v>8</v>
      </c>
      <c r="E380" s="28" t="s">
        <v>317</v>
      </c>
      <c r="F380" s="29" t="s">
        <v>248</v>
      </c>
      <c r="G380" s="27" t="s">
        <v>319</v>
      </c>
      <c r="H380" s="174" t="s">
        <v>249</v>
      </c>
      <c r="I380" s="48" t="s">
        <v>246</v>
      </c>
      <c r="J380" s="15">
        <v>375</v>
      </c>
      <c r="K380" s="15">
        <f t="shared" ref="K380:K393" si="48">L380*J380</f>
        <v>598.5</v>
      </c>
      <c r="L380" s="40">
        <v>1.5960000000000001</v>
      </c>
      <c r="M380" s="15">
        <v>865</v>
      </c>
      <c r="N380" s="15">
        <f t="shared" ref="N380:N384" si="49">J380</f>
        <v>375</v>
      </c>
      <c r="O380" s="15">
        <f t="shared" ref="O380:O384" si="50">M380-N380</f>
        <v>490</v>
      </c>
    </row>
    <row r="381" spans="1:15" ht="15.5" x14ac:dyDescent="0.25">
      <c r="A381" s="149">
        <v>46198</v>
      </c>
      <c r="B381" s="149" t="s">
        <v>726</v>
      </c>
      <c r="C381" s="15">
        <v>1</v>
      </c>
      <c r="D381" s="29" t="s">
        <v>8</v>
      </c>
      <c r="E381" s="29" t="s">
        <v>310</v>
      </c>
      <c r="F381" s="48" t="s">
        <v>327</v>
      </c>
      <c r="G381" s="27" t="s">
        <v>319</v>
      </c>
      <c r="H381" s="175" t="s">
        <v>212</v>
      </c>
      <c r="I381" s="48" t="s">
        <v>221</v>
      </c>
      <c r="J381" s="15">
        <v>100</v>
      </c>
      <c r="K381" s="15">
        <f t="shared" si="48"/>
        <v>67.069999999999993</v>
      </c>
      <c r="L381" s="40">
        <v>0.67069999999999996</v>
      </c>
      <c r="M381" s="15">
        <v>100</v>
      </c>
      <c r="N381" s="15">
        <f t="shared" si="49"/>
        <v>100</v>
      </c>
      <c r="O381" s="15">
        <f t="shared" si="50"/>
        <v>0</v>
      </c>
    </row>
    <row r="382" spans="1:15" ht="15.5" x14ac:dyDescent="0.25">
      <c r="A382" s="149">
        <v>46198</v>
      </c>
      <c r="B382" s="149" t="s">
        <v>726</v>
      </c>
      <c r="C382" s="15">
        <v>1</v>
      </c>
      <c r="D382" s="29" t="s">
        <v>8</v>
      </c>
      <c r="E382" s="29" t="s">
        <v>310</v>
      </c>
      <c r="F382" s="29" t="s">
        <v>218</v>
      </c>
      <c r="G382" s="114" t="s">
        <v>319</v>
      </c>
      <c r="H382" s="175" t="s">
        <v>212</v>
      </c>
      <c r="I382" s="29" t="s">
        <v>217</v>
      </c>
      <c r="J382" s="15">
        <v>500</v>
      </c>
      <c r="K382" s="15">
        <f t="shared" si="48"/>
        <v>335.34999999999997</v>
      </c>
      <c r="L382" s="40">
        <v>0.67069999999999996</v>
      </c>
      <c r="M382" s="15">
        <v>6650</v>
      </c>
      <c r="N382" s="15">
        <f t="shared" si="49"/>
        <v>500</v>
      </c>
      <c r="O382" s="15">
        <f t="shared" si="50"/>
        <v>6150</v>
      </c>
    </row>
    <row r="383" spans="1:15" ht="15.5" x14ac:dyDescent="0.25">
      <c r="A383" s="149">
        <v>46198</v>
      </c>
      <c r="B383" s="149" t="s">
        <v>726</v>
      </c>
      <c r="C383" s="15">
        <v>1</v>
      </c>
      <c r="D383" s="29" t="s">
        <v>8</v>
      </c>
      <c r="E383" s="29" t="s">
        <v>253</v>
      </c>
      <c r="F383" s="29" t="s">
        <v>363</v>
      </c>
      <c r="G383" s="114" t="s">
        <v>319</v>
      </c>
      <c r="H383" s="175" t="s">
        <v>255</v>
      </c>
      <c r="I383" s="34" t="s">
        <v>258</v>
      </c>
      <c r="J383" s="1">
        <v>1085</v>
      </c>
      <c r="K383" s="15">
        <f t="shared" si="48"/>
        <v>1486.45</v>
      </c>
      <c r="L383" s="182">
        <v>1.37</v>
      </c>
      <c r="M383" s="1">
        <v>9900</v>
      </c>
      <c r="N383" s="15">
        <f t="shared" si="49"/>
        <v>1085</v>
      </c>
      <c r="O383" s="15">
        <f t="shared" si="50"/>
        <v>8815</v>
      </c>
    </row>
    <row r="384" spans="1:15" ht="15.5" x14ac:dyDescent="0.25">
      <c r="A384" s="149">
        <v>46198</v>
      </c>
      <c r="B384" s="149" t="s">
        <v>726</v>
      </c>
      <c r="C384" s="15">
        <v>1</v>
      </c>
      <c r="D384" s="29" t="s">
        <v>8</v>
      </c>
      <c r="E384" s="28" t="s">
        <v>270</v>
      </c>
      <c r="F384" s="29" t="s">
        <v>314</v>
      </c>
      <c r="G384" s="114" t="s">
        <v>328</v>
      </c>
      <c r="H384" s="174" t="s">
        <v>272</v>
      </c>
      <c r="I384" s="29" t="s">
        <v>313</v>
      </c>
      <c r="J384" s="15">
        <v>475</v>
      </c>
      <c r="K384" s="15">
        <v>1219</v>
      </c>
      <c r="L384" s="44">
        <v>2.1017999999999999</v>
      </c>
      <c r="M384" s="15">
        <v>8145</v>
      </c>
      <c r="N384" s="15">
        <f t="shared" si="49"/>
        <v>475</v>
      </c>
      <c r="O384" s="15">
        <f t="shared" si="50"/>
        <v>7670</v>
      </c>
    </row>
    <row r="385" spans="1:15" ht="15.5" x14ac:dyDescent="0.25">
      <c r="A385" s="149">
        <v>46199</v>
      </c>
      <c r="B385" s="149" t="s">
        <v>726</v>
      </c>
      <c r="C385" s="15">
        <v>1</v>
      </c>
      <c r="D385" s="29" t="s">
        <v>8</v>
      </c>
      <c r="E385" s="28" t="s">
        <v>317</v>
      </c>
      <c r="F385" s="29" t="s">
        <v>248</v>
      </c>
      <c r="G385" s="27" t="s">
        <v>319</v>
      </c>
      <c r="H385" s="174" t="s">
        <v>249</v>
      </c>
      <c r="I385" s="48" t="s">
        <v>246</v>
      </c>
      <c r="J385" s="183">
        <v>400</v>
      </c>
      <c r="K385" s="15">
        <f t="shared" si="48"/>
        <v>638.40000000000009</v>
      </c>
      <c r="L385" s="29">
        <v>1.5960000000000001</v>
      </c>
      <c r="M385" s="15">
        <v>490</v>
      </c>
      <c r="N385" s="15">
        <f t="shared" ref="N385" si="51">J385</f>
        <v>400</v>
      </c>
      <c r="O385" s="15">
        <f t="shared" ref="O385" si="52">M385-N385</f>
        <v>90</v>
      </c>
    </row>
    <row r="386" spans="1:15" ht="15.5" x14ac:dyDescent="0.25">
      <c r="A386" s="149">
        <v>46199</v>
      </c>
      <c r="B386" s="149" t="s">
        <v>726</v>
      </c>
      <c r="C386" s="15">
        <v>1</v>
      </c>
      <c r="D386" s="29" t="s">
        <v>8</v>
      </c>
      <c r="E386" s="29" t="s">
        <v>310</v>
      </c>
      <c r="F386" s="29" t="s">
        <v>218</v>
      </c>
      <c r="G386" s="114" t="s">
        <v>319</v>
      </c>
      <c r="H386" s="175" t="s">
        <v>212</v>
      </c>
      <c r="I386" s="29" t="s">
        <v>217</v>
      </c>
      <c r="J386" s="183">
        <v>500</v>
      </c>
      <c r="K386" s="15">
        <f t="shared" si="48"/>
        <v>335.34999999999997</v>
      </c>
      <c r="L386" s="29">
        <v>0.67069999999999996</v>
      </c>
      <c r="M386" s="15">
        <v>6150</v>
      </c>
      <c r="N386" s="15">
        <f t="shared" ref="N386:N390" si="53">J386</f>
        <v>500</v>
      </c>
      <c r="O386" s="15">
        <f t="shared" ref="O386:O390" si="54">M386-N386</f>
        <v>5650</v>
      </c>
    </row>
    <row r="387" spans="1:15" ht="15.5" x14ac:dyDescent="0.25">
      <c r="A387" s="149">
        <v>46199</v>
      </c>
      <c r="B387" s="149" t="s">
        <v>726</v>
      </c>
      <c r="C387" s="15">
        <v>1</v>
      </c>
      <c r="D387" s="29" t="s">
        <v>8</v>
      </c>
      <c r="E387" s="29" t="s">
        <v>253</v>
      </c>
      <c r="F387" s="29" t="s">
        <v>363</v>
      </c>
      <c r="G387" s="114" t="s">
        <v>319</v>
      </c>
      <c r="H387" s="175" t="s">
        <v>255</v>
      </c>
      <c r="I387" s="29" t="s">
        <v>258</v>
      </c>
      <c r="J387" s="183">
        <v>700</v>
      </c>
      <c r="K387" s="15">
        <f t="shared" si="48"/>
        <v>956.48</v>
      </c>
      <c r="L387" s="29">
        <v>1.3664000000000001</v>
      </c>
      <c r="M387" s="15">
        <v>8815</v>
      </c>
      <c r="N387" s="15">
        <f t="shared" si="53"/>
        <v>700</v>
      </c>
      <c r="O387" s="15">
        <f t="shared" si="54"/>
        <v>8115</v>
      </c>
    </row>
    <row r="388" spans="1:15" ht="15.5" x14ac:dyDescent="0.25">
      <c r="A388" s="149">
        <v>46199</v>
      </c>
      <c r="B388" s="149" t="s">
        <v>726</v>
      </c>
      <c r="C388" s="15">
        <v>1</v>
      </c>
      <c r="D388" s="50" t="s">
        <v>8</v>
      </c>
      <c r="E388" s="49" t="s">
        <v>270</v>
      </c>
      <c r="F388" s="50" t="s">
        <v>314</v>
      </c>
      <c r="G388" s="184" t="s">
        <v>328</v>
      </c>
      <c r="H388" s="52" t="s">
        <v>272</v>
      </c>
      <c r="I388" s="50" t="s">
        <v>313</v>
      </c>
      <c r="J388" s="15">
        <v>525</v>
      </c>
      <c r="K388" s="15">
        <f t="shared" si="48"/>
        <v>1103.4449999999999</v>
      </c>
      <c r="L388" s="44">
        <v>2.1017999999999999</v>
      </c>
      <c r="M388" s="15">
        <v>7670</v>
      </c>
      <c r="N388" s="15">
        <f t="shared" si="53"/>
        <v>525</v>
      </c>
      <c r="O388" s="15">
        <f t="shared" si="54"/>
        <v>7145</v>
      </c>
    </row>
    <row r="389" spans="1:15" ht="15.5" x14ac:dyDescent="0.25">
      <c r="A389" s="149">
        <v>46200</v>
      </c>
      <c r="B389" s="149" t="s">
        <v>726</v>
      </c>
      <c r="C389" s="15">
        <v>1</v>
      </c>
      <c r="D389" s="29" t="s">
        <v>8</v>
      </c>
      <c r="E389" s="28" t="s">
        <v>317</v>
      </c>
      <c r="F389" s="29" t="s">
        <v>248</v>
      </c>
      <c r="G389" s="27" t="s">
        <v>319</v>
      </c>
      <c r="H389" s="174" t="s">
        <v>249</v>
      </c>
      <c r="I389" s="48" t="s">
        <v>246</v>
      </c>
      <c r="J389" s="15">
        <v>90</v>
      </c>
      <c r="K389" s="15">
        <f t="shared" si="48"/>
        <v>143.64000000000001</v>
      </c>
      <c r="L389" s="29">
        <v>1.5960000000000001</v>
      </c>
      <c r="M389" s="15">
        <v>90</v>
      </c>
      <c r="N389" s="15">
        <f t="shared" si="53"/>
        <v>90</v>
      </c>
      <c r="O389" s="15">
        <f t="shared" si="54"/>
        <v>0</v>
      </c>
    </row>
    <row r="390" spans="1:15" ht="15.5" x14ac:dyDescent="0.25">
      <c r="A390" s="149">
        <v>46200</v>
      </c>
      <c r="B390" s="149" t="s">
        <v>726</v>
      </c>
      <c r="C390" s="15">
        <v>1</v>
      </c>
      <c r="D390" s="29" t="s">
        <v>8</v>
      </c>
      <c r="E390" s="28" t="s">
        <v>310</v>
      </c>
      <c r="F390" s="29" t="s">
        <v>311</v>
      </c>
      <c r="G390" s="27" t="s">
        <v>319</v>
      </c>
      <c r="H390" s="175" t="s">
        <v>212</v>
      </c>
      <c r="I390" s="48" t="s">
        <v>210</v>
      </c>
      <c r="J390" s="15">
        <v>400</v>
      </c>
      <c r="K390" s="15">
        <f t="shared" si="48"/>
        <v>268.27999999999997</v>
      </c>
      <c r="L390" s="29">
        <v>0.67069999999999996</v>
      </c>
      <c r="M390" s="1">
        <v>13050</v>
      </c>
      <c r="N390" s="15">
        <f t="shared" si="53"/>
        <v>400</v>
      </c>
      <c r="O390" s="15">
        <f t="shared" si="54"/>
        <v>12650</v>
      </c>
    </row>
    <row r="391" spans="1:15" ht="15.5" x14ac:dyDescent="0.25">
      <c r="A391" s="149">
        <v>46200</v>
      </c>
      <c r="B391" s="149" t="s">
        <v>726</v>
      </c>
      <c r="C391" s="15">
        <v>1</v>
      </c>
      <c r="D391" s="29" t="s">
        <v>8</v>
      </c>
      <c r="E391" s="29" t="s">
        <v>310</v>
      </c>
      <c r="F391" s="29" t="s">
        <v>218</v>
      </c>
      <c r="G391" s="114" t="s">
        <v>319</v>
      </c>
      <c r="H391" s="175" t="s">
        <v>212</v>
      </c>
      <c r="I391" s="29" t="s">
        <v>217</v>
      </c>
      <c r="J391" s="15">
        <v>1000</v>
      </c>
      <c r="K391" s="15">
        <f t="shared" si="48"/>
        <v>670.69999999999993</v>
      </c>
      <c r="L391" s="29">
        <v>0.67069999999999996</v>
      </c>
      <c r="M391" s="15">
        <v>6150</v>
      </c>
      <c r="N391" s="15">
        <f t="shared" ref="N391" si="55">J391</f>
        <v>1000</v>
      </c>
      <c r="O391" s="15">
        <f t="shared" ref="O391" si="56">M391-N391</f>
        <v>5150</v>
      </c>
    </row>
    <row r="392" spans="1:15" ht="15.5" x14ac:dyDescent="0.25">
      <c r="A392" s="149">
        <v>46200</v>
      </c>
      <c r="B392" s="149" t="s">
        <v>726</v>
      </c>
      <c r="C392" s="15">
        <v>1</v>
      </c>
      <c r="D392" s="29" t="s">
        <v>8</v>
      </c>
      <c r="E392" s="29" t="s">
        <v>253</v>
      </c>
      <c r="F392" s="29" t="s">
        <v>363</v>
      </c>
      <c r="G392" s="114" t="s">
        <v>319</v>
      </c>
      <c r="H392" s="175" t="s">
        <v>255</v>
      </c>
      <c r="I392" s="29" t="s">
        <v>258</v>
      </c>
      <c r="J392" s="15">
        <v>1025</v>
      </c>
      <c r="K392" s="15">
        <f t="shared" si="48"/>
        <v>1400.5600000000002</v>
      </c>
      <c r="L392" s="29">
        <v>1.3664000000000001</v>
      </c>
      <c r="M392" s="15">
        <v>8115</v>
      </c>
      <c r="N392" s="15">
        <f t="shared" ref="N392:N393" si="57">J392</f>
        <v>1025</v>
      </c>
      <c r="O392" s="15">
        <f t="shared" ref="O392:O393" si="58">M392-N392</f>
        <v>7090</v>
      </c>
    </row>
    <row r="393" spans="1:15" ht="15.5" x14ac:dyDescent="0.25">
      <c r="A393" s="149">
        <v>46200</v>
      </c>
      <c r="B393" s="149" t="s">
        <v>726</v>
      </c>
      <c r="C393" s="15">
        <v>1</v>
      </c>
      <c r="D393" s="50" t="s">
        <v>8</v>
      </c>
      <c r="E393" s="49" t="s">
        <v>270</v>
      </c>
      <c r="F393" s="50" t="s">
        <v>314</v>
      </c>
      <c r="G393" s="184" t="s">
        <v>328</v>
      </c>
      <c r="H393" s="52" t="s">
        <v>272</v>
      </c>
      <c r="I393" s="50" t="s">
        <v>313</v>
      </c>
      <c r="J393" s="15">
        <v>235</v>
      </c>
      <c r="K393" s="15">
        <f t="shared" si="48"/>
        <v>493.923</v>
      </c>
      <c r="L393" s="50">
        <v>2.1017999999999999</v>
      </c>
      <c r="M393" s="15">
        <v>7145</v>
      </c>
      <c r="N393" s="15">
        <f t="shared" si="57"/>
        <v>235</v>
      </c>
      <c r="O393" s="15">
        <f t="shared" si="58"/>
        <v>6910</v>
      </c>
    </row>
    <row r="394" spans="1:15" ht="15.5" x14ac:dyDescent="0.25">
      <c r="A394" s="149">
        <v>46202</v>
      </c>
      <c r="B394" s="149" t="s">
        <v>726</v>
      </c>
      <c r="C394" s="15">
        <v>1</v>
      </c>
      <c r="D394" s="50" t="s">
        <v>8</v>
      </c>
      <c r="E394" s="28" t="s">
        <v>310</v>
      </c>
      <c r="F394" s="29" t="s">
        <v>311</v>
      </c>
      <c r="G394" s="27" t="s">
        <v>319</v>
      </c>
      <c r="H394" s="175" t="s">
        <v>212</v>
      </c>
      <c r="I394" s="48" t="s">
        <v>210</v>
      </c>
      <c r="J394" s="15">
        <v>675</v>
      </c>
      <c r="K394" s="15">
        <f t="shared" ref="K394:K401" si="59">L394*J394</f>
        <v>452.72249999999997</v>
      </c>
      <c r="L394" s="29">
        <v>0.67069999999999996</v>
      </c>
      <c r="M394" s="15">
        <v>12650</v>
      </c>
      <c r="N394" s="15">
        <f t="shared" ref="N394:N401" si="60">J394</f>
        <v>675</v>
      </c>
      <c r="O394" s="15">
        <f t="shared" ref="O394:O401" si="61">M394-N394</f>
        <v>11975</v>
      </c>
    </row>
    <row r="395" spans="1:15" ht="15.5" x14ac:dyDescent="0.25">
      <c r="A395" s="149">
        <v>46202</v>
      </c>
      <c r="B395" s="149" t="s">
        <v>726</v>
      </c>
      <c r="C395" s="15">
        <v>1</v>
      </c>
      <c r="D395" s="50" t="s">
        <v>8</v>
      </c>
      <c r="E395" s="29" t="s">
        <v>310</v>
      </c>
      <c r="F395" s="29" t="s">
        <v>218</v>
      </c>
      <c r="G395" s="114" t="s">
        <v>319</v>
      </c>
      <c r="H395" s="175" t="s">
        <v>212</v>
      </c>
      <c r="I395" s="29" t="s">
        <v>217</v>
      </c>
      <c r="J395" s="15">
        <v>500</v>
      </c>
      <c r="K395" s="15">
        <f t="shared" si="59"/>
        <v>335.34999999999997</v>
      </c>
      <c r="L395" s="29">
        <v>0.67069999999999996</v>
      </c>
      <c r="M395" s="15">
        <v>4650</v>
      </c>
      <c r="N395" s="15">
        <f t="shared" si="60"/>
        <v>500</v>
      </c>
      <c r="O395" s="15">
        <f t="shared" si="61"/>
        <v>4150</v>
      </c>
    </row>
    <row r="396" spans="1:15" ht="15.5" x14ac:dyDescent="0.25">
      <c r="A396" s="149">
        <v>46202</v>
      </c>
      <c r="B396" s="149" t="s">
        <v>726</v>
      </c>
      <c r="C396" s="15">
        <v>1</v>
      </c>
      <c r="D396" s="50" t="s">
        <v>8</v>
      </c>
      <c r="E396" s="29" t="s">
        <v>253</v>
      </c>
      <c r="F396" s="29" t="s">
        <v>363</v>
      </c>
      <c r="G396" s="114" t="s">
        <v>319</v>
      </c>
      <c r="H396" s="175" t="s">
        <v>255</v>
      </c>
      <c r="I396" s="29" t="s">
        <v>258</v>
      </c>
      <c r="J396" s="15">
        <f>675+1150</f>
        <v>1825</v>
      </c>
      <c r="K396" s="15">
        <f t="shared" si="59"/>
        <v>2493.6800000000003</v>
      </c>
      <c r="L396" s="29">
        <v>1.3664000000000001</v>
      </c>
      <c r="M396" s="15">
        <v>7090</v>
      </c>
      <c r="N396" s="15">
        <f t="shared" si="60"/>
        <v>1825</v>
      </c>
      <c r="O396" s="15">
        <f t="shared" si="61"/>
        <v>5265</v>
      </c>
    </row>
    <row r="397" spans="1:15" ht="15.5" x14ac:dyDescent="0.25">
      <c r="A397" s="149">
        <v>46202</v>
      </c>
      <c r="B397" s="149" t="s">
        <v>726</v>
      </c>
      <c r="C397" s="15">
        <v>1</v>
      </c>
      <c r="D397" s="50" t="s">
        <v>8</v>
      </c>
      <c r="E397" s="49" t="s">
        <v>270</v>
      </c>
      <c r="F397" s="50" t="s">
        <v>314</v>
      </c>
      <c r="G397" s="184" t="s">
        <v>328</v>
      </c>
      <c r="H397" s="52" t="s">
        <v>272</v>
      </c>
      <c r="I397" s="50" t="s">
        <v>313</v>
      </c>
      <c r="J397" s="15">
        <v>200</v>
      </c>
      <c r="K397" s="15">
        <f t="shared" si="59"/>
        <v>420.35999999999996</v>
      </c>
      <c r="L397" s="50">
        <v>2.1017999999999999</v>
      </c>
      <c r="M397" s="15">
        <v>6910</v>
      </c>
      <c r="N397" s="15">
        <f t="shared" si="60"/>
        <v>200</v>
      </c>
      <c r="O397" s="15">
        <f t="shared" si="61"/>
        <v>6710</v>
      </c>
    </row>
    <row r="398" spans="1:15" ht="15.5" x14ac:dyDescent="0.25">
      <c r="A398" s="149">
        <v>46203</v>
      </c>
      <c r="B398" s="149" t="s">
        <v>726</v>
      </c>
      <c r="C398" s="15">
        <v>1</v>
      </c>
      <c r="D398" s="29" t="s">
        <v>8</v>
      </c>
      <c r="E398" s="28" t="s">
        <v>310</v>
      </c>
      <c r="F398" s="29" t="s">
        <v>311</v>
      </c>
      <c r="G398" s="27" t="s">
        <v>319</v>
      </c>
      <c r="H398" s="175" t="s">
        <v>212</v>
      </c>
      <c r="I398" s="48" t="s">
        <v>210</v>
      </c>
      <c r="J398" s="183">
        <v>675</v>
      </c>
      <c r="K398" s="15">
        <f t="shared" si="59"/>
        <v>452.72249999999997</v>
      </c>
      <c r="L398" s="29">
        <v>0.67069999999999996</v>
      </c>
      <c r="M398" s="183">
        <v>11975</v>
      </c>
      <c r="N398" s="183">
        <f t="shared" si="60"/>
        <v>675</v>
      </c>
      <c r="O398" s="183">
        <f t="shared" si="61"/>
        <v>11300</v>
      </c>
    </row>
    <row r="399" spans="1:15" ht="15.5" x14ac:dyDescent="0.25">
      <c r="A399" s="149">
        <v>46203</v>
      </c>
      <c r="B399" s="149" t="s">
        <v>726</v>
      </c>
      <c r="C399" s="15">
        <v>1</v>
      </c>
      <c r="D399" s="29" t="s">
        <v>8</v>
      </c>
      <c r="E399" s="29" t="s">
        <v>310</v>
      </c>
      <c r="F399" s="29" t="s">
        <v>218</v>
      </c>
      <c r="G399" s="114" t="s">
        <v>319</v>
      </c>
      <c r="H399" s="175" t="s">
        <v>212</v>
      </c>
      <c r="I399" s="29" t="s">
        <v>217</v>
      </c>
      <c r="J399" s="183">
        <v>150</v>
      </c>
      <c r="K399" s="15">
        <f t="shared" si="59"/>
        <v>100.60499999999999</v>
      </c>
      <c r="L399" s="29">
        <v>0.67069999999999996</v>
      </c>
      <c r="M399" s="183">
        <v>4150</v>
      </c>
      <c r="N399" s="183">
        <f t="shared" si="60"/>
        <v>150</v>
      </c>
      <c r="O399" s="183">
        <f t="shared" si="61"/>
        <v>4000</v>
      </c>
    </row>
    <row r="400" spans="1:15" ht="15.5" x14ac:dyDescent="0.25">
      <c r="A400" s="149">
        <v>46203</v>
      </c>
      <c r="B400" s="149" t="s">
        <v>726</v>
      </c>
      <c r="C400" s="15">
        <v>1</v>
      </c>
      <c r="D400" s="29" t="s">
        <v>8</v>
      </c>
      <c r="E400" s="29" t="s">
        <v>253</v>
      </c>
      <c r="F400" s="29" t="s">
        <v>363</v>
      </c>
      <c r="G400" s="114" t="s">
        <v>319</v>
      </c>
      <c r="H400" s="175" t="s">
        <v>255</v>
      </c>
      <c r="I400" s="29" t="s">
        <v>258</v>
      </c>
      <c r="J400" s="183">
        <v>2200</v>
      </c>
      <c r="K400" s="15">
        <f t="shared" si="59"/>
        <v>3006.08</v>
      </c>
      <c r="L400" s="29">
        <v>1.3664000000000001</v>
      </c>
      <c r="M400" s="183">
        <v>5265</v>
      </c>
      <c r="N400" s="183">
        <f t="shared" si="60"/>
        <v>2200</v>
      </c>
      <c r="O400" s="183">
        <f t="shared" si="61"/>
        <v>3065</v>
      </c>
    </row>
    <row r="401" spans="1:15" ht="15.5" x14ac:dyDescent="0.25">
      <c r="A401" s="149">
        <v>46203</v>
      </c>
      <c r="B401" s="149" t="s">
        <v>726</v>
      </c>
      <c r="C401" s="15">
        <v>1</v>
      </c>
      <c r="D401" s="29" t="s">
        <v>8</v>
      </c>
      <c r="E401" s="28" t="s">
        <v>270</v>
      </c>
      <c r="F401" s="29" t="s">
        <v>314</v>
      </c>
      <c r="G401" s="114" t="s">
        <v>328</v>
      </c>
      <c r="H401" s="29" t="s">
        <v>272</v>
      </c>
      <c r="I401" s="29" t="s">
        <v>313</v>
      </c>
      <c r="J401" s="183">
        <v>195</v>
      </c>
      <c r="K401" s="15">
        <f t="shared" si="59"/>
        <v>409.851</v>
      </c>
      <c r="L401" s="50">
        <v>2.1017999999999999</v>
      </c>
      <c r="M401" s="183">
        <v>6710</v>
      </c>
      <c r="N401" s="183">
        <f t="shared" si="60"/>
        <v>195</v>
      </c>
      <c r="O401" s="183">
        <f t="shared" si="61"/>
        <v>6515</v>
      </c>
    </row>
    <row r="402" spans="1:15" ht="15.5" x14ac:dyDescent="0.25">
      <c r="A402" s="149">
        <v>46204</v>
      </c>
      <c r="B402" s="149" t="s">
        <v>727</v>
      </c>
      <c r="C402" s="15">
        <v>1</v>
      </c>
      <c r="D402" s="29" t="s">
        <v>8</v>
      </c>
      <c r="E402" s="28" t="s">
        <v>310</v>
      </c>
      <c r="F402" s="29" t="s">
        <v>311</v>
      </c>
      <c r="G402" s="27" t="s">
        <v>319</v>
      </c>
      <c r="H402" s="175" t="s">
        <v>212</v>
      </c>
      <c r="I402" s="48" t="s">
        <v>210</v>
      </c>
      <c r="J402" s="183">
        <v>675</v>
      </c>
      <c r="K402" s="15">
        <f t="shared" ref="K402:K465" si="62">L402*J402</f>
        <v>452.72249999999997</v>
      </c>
      <c r="L402" s="29">
        <v>0.67069999999999996</v>
      </c>
      <c r="M402" s="183">
        <v>11300</v>
      </c>
      <c r="N402" s="183">
        <f t="shared" ref="N402:N408" si="63">J402</f>
        <v>675</v>
      </c>
      <c r="O402" s="183">
        <f t="shared" ref="O402:O408" si="64">M402-N402</f>
        <v>10625</v>
      </c>
    </row>
    <row r="403" spans="1:15" ht="15.5" x14ac:dyDescent="0.25">
      <c r="A403" s="149">
        <v>46204</v>
      </c>
      <c r="B403" s="149" t="s">
        <v>727</v>
      </c>
      <c r="C403" s="15">
        <v>1</v>
      </c>
      <c r="D403" s="29" t="s">
        <v>8</v>
      </c>
      <c r="E403" s="29" t="s">
        <v>310</v>
      </c>
      <c r="F403" s="29" t="s">
        <v>218</v>
      </c>
      <c r="G403" s="114" t="s">
        <v>319</v>
      </c>
      <c r="H403" s="175" t="s">
        <v>212</v>
      </c>
      <c r="I403" s="29" t="s">
        <v>217</v>
      </c>
      <c r="J403" s="183">
        <v>650</v>
      </c>
      <c r="K403" s="15">
        <f t="shared" si="62"/>
        <v>435.95499999999998</v>
      </c>
      <c r="L403" s="29">
        <v>0.67069999999999996</v>
      </c>
      <c r="M403" s="183">
        <v>4000</v>
      </c>
      <c r="N403" s="183">
        <f t="shared" si="63"/>
        <v>650</v>
      </c>
      <c r="O403" s="183">
        <f t="shared" si="64"/>
        <v>3350</v>
      </c>
    </row>
    <row r="404" spans="1:15" ht="15.5" x14ac:dyDescent="0.25">
      <c r="A404" s="149">
        <v>46204</v>
      </c>
      <c r="B404" s="149" t="s">
        <v>727</v>
      </c>
      <c r="C404" s="15">
        <v>1</v>
      </c>
      <c r="D404" s="29" t="s">
        <v>8</v>
      </c>
      <c r="E404" s="29" t="s">
        <v>253</v>
      </c>
      <c r="F404" s="29" t="s">
        <v>363</v>
      </c>
      <c r="G404" s="114" t="s">
        <v>319</v>
      </c>
      <c r="H404" s="175" t="s">
        <v>255</v>
      </c>
      <c r="I404" s="29" t="s">
        <v>258</v>
      </c>
      <c r="J404" s="183">
        <f>850+800</f>
        <v>1650</v>
      </c>
      <c r="K404" s="15">
        <f t="shared" si="62"/>
        <v>2254.56</v>
      </c>
      <c r="L404" s="29">
        <v>1.3664000000000001</v>
      </c>
      <c r="M404" s="183">
        <v>3065</v>
      </c>
      <c r="N404" s="183">
        <f t="shared" si="63"/>
        <v>1650</v>
      </c>
      <c r="O404" s="183">
        <f t="shared" si="64"/>
        <v>1415</v>
      </c>
    </row>
    <row r="405" spans="1:15" ht="15.5" x14ac:dyDescent="0.25">
      <c r="A405" s="149">
        <v>46204</v>
      </c>
      <c r="B405" s="149" t="s">
        <v>727</v>
      </c>
      <c r="C405" s="15">
        <v>1</v>
      </c>
      <c r="D405" s="29" t="s">
        <v>8</v>
      </c>
      <c r="E405" s="28" t="s">
        <v>270</v>
      </c>
      <c r="F405" s="29" t="s">
        <v>314</v>
      </c>
      <c r="G405" s="114" t="s">
        <v>328</v>
      </c>
      <c r="H405" s="174" t="s">
        <v>272</v>
      </c>
      <c r="I405" s="29" t="s">
        <v>313</v>
      </c>
      <c r="J405" s="183">
        <v>200</v>
      </c>
      <c r="K405" s="15">
        <f t="shared" si="62"/>
        <v>420.35999999999996</v>
      </c>
      <c r="L405" s="29">
        <v>2.1017999999999999</v>
      </c>
      <c r="M405" s="183">
        <v>6515</v>
      </c>
      <c r="N405" s="183">
        <f t="shared" si="63"/>
        <v>200</v>
      </c>
      <c r="O405" s="183">
        <f t="shared" si="64"/>
        <v>6315</v>
      </c>
    </row>
    <row r="406" spans="1:15" ht="15.5" x14ac:dyDescent="0.25">
      <c r="A406" s="149">
        <v>46205</v>
      </c>
      <c r="B406" s="149" t="s">
        <v>727</v>
      </c>
      <c r="C406" s="15">
        <v>1</v>
      </c>
      <c r="D406" s="29" t="s">
        <v>8</v>
      </c>
      <c r="E406" s="28" t="s">
        <v>310</v>
      </c>
      <c r="F406" s="29" t="s">
        <v>311</v>
      </c>
      <c r="G406" s="27" t="s">
        <v>319</v>
      </c>
      <c r="H406" s="175" t="s">
        <v>212</v>
      </c>
      <c r="I406" s="48" t="s">
        <v>210</v>
      </c>
      <c r="J406" s="183">
        <v>600</v>
      </c>
      <c r="K406" s="15">
        <f t="shared" si="62"/>
        <v>402.41999999999996</v>
      </c>
      <c r="L406" s="29">
        <v>0.67069999999999996</v>
      </c>
      <c r="M406" s="183">
        <v>10625</v>
      </c>
      <c r="N406" s="1">
        <f t="shared" si="63"/>
        <v>600</v>
      </c>
      <c r="O406" s="183">
        <f t="shared" si="64"/>
        <v>10025</v>
      </c>
    </row>
    <row r="407" spans="1:15" ht="15.5" x14ac:dyDescent="0.25">
      <c r="A407" s="149">
        <v>46205</v>
      </c>
      <c r="B407" s="149" t="s">
        <v>727</v>
      </c>
      <c r="C407" s="15">
        <v>1</v>
      </c>
      <c r="D407" s="29" t="s">
        <v>8</v>
      </c>
      <c r="E407" s="29" t="s">
        <v>310</v>
      </c>
      <c r="F407" s="29" t="s">
        <v>218</v>
      </c>
      <c r="G407" s="114" t="s">
        <v>319</v>
      </c>
      <c r="H407" s="175" t="s">
        <v>212</v>
      </c>
      <c r="I407" s="29" t="s">
        <v>217</v>
      </c>
      <c r="J407" s="183">
        <v>900</v>
      </c>
      <c r="K407" s="15">
        <f t="shared" si="62"/>
        <v>603.63</v>
      </c>
      <c r="L407" s="29">
        <v>0.67069999999999996</v>
      </c>
      <c r="M407" s="183">
        <v>3350</v>
      </c>
      <c r="N407" s="1">
        <f t="shared" si="63"/>
        <v>900</v>
      </c>
      <c r="O407" s="183">
        <f t="shared" si="64"/>
        <v>2450</v>
      </c>
    </row>
    <row r="408" spans="1:15" ht="15.5" x14ac:dyDescent="0.25">
      <c r="A408" s="149">
        <v>46205</v>
      </c>
      <c r="B408" s="149" t="s">
        <v>727</v>
      </c>
      <c r="C408" s="15">
        <v>1</v>
      </c>
      <c r="D408" s="29" t="s">
        <v>8</v>
      </c>
      <c r="E408" s="29" t="s">
        <v>253</v>
      </c>
      <c r="F408" s="29" t="s">
        <v>363</v>
      </c>
      <c r="G408" s="114" t="s">
        <v>319</v>
      </c>
      <c r="H408" s="175" t="s">
        <v>255</v>
      </c>
      <c r="I408" s="29" t="s">
        <v>258</v>
      </c>
      <c r="J408" s="183">
        <v>1275</v>
      </c>
      <c r="K408" s="15">
        <f t="shared" si="62"/>
        <v>1742.16</v>
      </c>
      <c r="L408" s="29">
        <v>1.3664000000000001</v>
      </c>
      <c r="M408" s="183">
        <v>1415</v>
      </c>
      <c r="N408" s="1">
        <f t="shared" si="63"/>
        <v>1275</v>
      </c>
      <c r="O408" s="183">
        <f t="shared" si="64"/>
        <v>140</v>
      </c>
    </row>
    <row r="409" spans="1:15" ht="15.5" x14ac:dyDescent="0.25">
      <c r="A409" s="149">
        <v>46205</v>
      </c>
      <c r="B409" s="149" t="s">
        <v>727</v>
      </c>
      <c r="C409" s="15">
        <v>1</v>
      </c>
      <c r="D409" s="29" t="s">
        <v>8</v>
      </c>
      <c r="E409" s="28" t="s">
        <v>270</v>
      </c>
      <c r="F409" s="29" t="s">
        <v>314</v>
      </c>
      <c r="G409" s="114" t="s">
        <v>328</v>
      </c>
      <c r="H409" s="174" t="s">
        <v>272</v>
      </c>
      <c r="I409" s="29" t="s">
        <v>313</v>
      </c>
      <c r="J409" s="183">
        <v>200</v>
      </c>
      <c r="K409" s="15">
        <f t="shared" si="62"/>
        <v>420.35999999999996</v>
      </c>
      <c r="L409" s="29">
        <v>2.1017999999999999</v>
      </c>
      <c r="M409" s="183">
        <v>6315</v>
      </c>
      <c r="N409" s="183">
        <f t="shared" ref="N409" si="65">J409</f>
        <v>200</v>
      </c>
      <c r="O409" s="183">
        <f t="shared" ref="O409" si="66">M409-N409</f>
        <v>6115</v>
      </c>
    </row>
    <row r="410" spans="1:15" ht="15.5" x14ac:dyDescent="0.25">
      <c r="A410" s="149">
        <v>46206</v>
      </c>
      <c r="B410" s="149" t="s">
        <v>727</v>
      </c>
      <c r="C410" s="15">
        <v>1</v>
      </c>
      <c r="D410" s="29" t="s">
        <v>8</v>
      </c>
      <c r="E410" s="28" t="s">
        <v>407</v>
      </c>
      <c r="F410" s="29" t="s">
        <v>307</v>
      </c>
      <c r="G410" s="27" t="s">
        <v>408</v>
      </c>
      <c r="H410" s="175" t="s">
        <v>224</v>
      </c>
      <c r="I410" s="48" t="s">
        <v>306</v>
      </c>
      <c r="J410" s="183">
        <v>375</v>
      </c>
      <c r="K410" s="15">
        <f t="shared" si="62"/>
        <v>646.91250000000002</v>
      </c>
      <c r="L410" s="29">
        <v>1.7251000000000001</v>
      </c>
      <c r="M410" s="183">
        <v>4000</v>
      </c>
      <c r="N410" s="183">
        <f t="shared" ref="N410:N475" si="67">J410</f>
        <v>375</v>
      </c>
      <c r="O410" s="183">
        <f t="shared" ref="O410:O475" si="68">M410-N410</f>
        <v>3625</v>
      </c>
    </row>
    <row r="411" spans="1:15" ht="15.5" x14ac:dyDescent="0.25">
      <c r="A411" s="149">
        <v>46206</v>
      </c>
      <c r="B411" s="149" t="s">
        <v>727</v>
      </c>
      <c r="C411" s="15">
        <v>1</v>
      </c>
      <c r="D411" s="29" t="s">
        <v>8</v>
      </c>
      <c r="E411" s="29" t="s">
        <v>310</v>
      </c>
      <c r="F411" s="29" t="s">
        <v>218</v>
      </c>
      <c r="G411" s="114" t="s">
        <v>319</v>
      </c>
      <c r="H411" s="175" t="s">
        <v>212</v>
      </c>
      <c r="I411" s="29" t="s">
        <v>217</v>
      </c>
      <c r="J411" s="183">
        <v>555</v>
      </c>
      <c r="K411" s="15">
        <f t="shared" si="62"/>
        <v>372.23849999999999</v>
      </c>
      <c r="L411" s="29">
        <v>0.67069999999999996</v>
      </c>
      <c r="M411" s="183">
        <v>2450</v>
      </c>
      <c r="N411" s="183">
        <f t="shared" si="67"/>
        <v>555</v>
      </c>
      <c r="O411" s="183">
        <f t="shared" si="68"/>
        <v>1895</v>
      </c>
    </row>
    <row r="412" spans="1:15" ht="15.5" x14ac:dyDescent="0.25">
      <c r="A412" s="149">
        <v>46206</v>
      </c>
      <c r="B412" s="149" t="s">
        <v>727</v>
      </c>
      <c r="C412" s="15">
        <v>1</v>
      </c>
      <c r="D412" s="29" t="s">
        <v>8</v>
      </c>
      <c r="E412" s="49" t="s">
        <v>270</v>
      </c>
      <c r="F412" s="50" t="s">
        <v>314</v>
      </c>
      <c r="G412" s="184" t="s">
        <v>328</v>
      </c>
      <c r="H412" s="52" t="s">
        <v>272</v>
      </c>
      <c r="I412" s="50" t="s">
        <v>313</v>
      </c>
      <c r="J412" s="183">
        <v>385</v>
      </c>
      <c r="K412" s="15">
        <f t="shared" si="62"/>
        <v>809.19299999999998</v>
      </c>
      <c r="L412" s="29">
        <v>2.1017999999999999</v>
      </c>
      <c r="M412" s="183">
        <v>6115</v>
      </c>
      <c r="N412" s="183">
        <f t="shared" si="67"/>
        <v>385</v>
      </c>
      <c r="O412" s="183">
        <f t="shared" si="68"/>
        <v>5730</v>
      </c>
    </row>
    <row r="413" spans="1:15" ht="15.5" x14ac:dyDescent="0.25">
      <c r="A413" s="149">
        <v>46206</v>
      </c>
      <c r="B413" s="149" t="s">
        <v>727</v>
      </c>
      <c r="C413" s="15">
        <v>1</v>
      </c>
      <c r="D413" s="29" t="s">
        <v>8</v>
      </c>
      <c r="E413" s="28" t="s">
        <v>310</v>
      </c>
      <c r="F413" s="29" t="s">
        <v>311</v>
      </c>
      <c r="G413" s="27" t="s">
        <v>319</v>
      </c>
      <c r="H413" s="175" t="s">
        <v>212</v>
      </c>
      <c r="I413" s="48" t="s">
        <v>210</v>
      </c>
      <c r="J413" s="183">
        <v>1000</v>
      </c>
      <c r="K413" s="15">
        <f t="shared" si="62"/>
        <v>670.69999999999993</v>
      </c>
      <c r="L413" s="29">
        <v>0.67069999999999996</v>
      </c>
      <c r="M413" s="183">
        <v>10025</v>
      </c>
      <c r="N413" s="183">
        <f t="shared" si="67"/>
        <v>1000</v>
      </c>
      <c r="O413" s="183">
        <f t="shared" si="68"/>
        <v>9025</v>
      </c>
    </row>
    <row r="414" spans="1:15" ht="15.5" x14ac:dyDescent="0.25">
      <c r="A414" s="149">
        <v>46207</v>
      </c>
      <c r="B414" s="149" t="s">
        <v>727</v>
      </c>
      <c r="C414" s="15">
        <v>1</v>
      </c>
      <c r="D414" s="29" t="s">
        <v>8</v>
      </c>
      <c r="E414" s="28" t="s">
        <v>407</v>
      </c>
      <c r="F414" s="29" t="s">
        <v>307</v>
      </c>
      <c r="G414" s="27" t="s">
        <v>408</v>
      </c>
      <c r="H414" s="175" t="s">
        <v>224</v>
      </c>
      <c r="I414" s="48" t="s">
        <v>306</v>
      </c>
      <c r="J414" s="183">
        <v>625</v>
      </c>
      <c r="K414" s="15">
        <f t="shared" si="62"/>
        <v>1078.1875</v>
      </c>
      <c r="L414" s="29">
        <v>1.7251000000000001</v>
      </c>
      <c r="M414" s="183">
        <v>3625</v>
      </c>
      <c r="N414" s="183">
        <f t="shared" si="67"/>
        <v>625</v>
      </c>
      <c r="O414" s="183">
        <f t="shared" si="68"/>
        <v>3000</v>
      </c>
    </row>
    <row r="415" spans="1:15" ht="15.5" x14ac:dyDescent="0.25">
      <c r="A415" s="149">
        <v>46207</v>
      </c>
      <c r="B415" s="149" t="s">
        <v>727</v>
      </c>
      <c r="C415" s="15">
        <v>1</v>
      </c>
      <c r="D415" s="29" t="s">
        <v>8</v>
      </c>
      <c r="E415" s="29" t="s">
        <v>310</v>
      </c>
      <c r="F415" s="29" t="s">
        <v>218</v>
      </c>
      <c r="G415" s="114" t="s">
        <v>319</v>
      </c>
      <c r="H415" s="175" t="s">
        <v>212</v>
      </c>
      <c r="I415" s="29" t="s">
        <v>217</v>
      </c>
      <c r="J415" s="183">
        <v>400</v>
      </c>
      <c r="K415" s="15">
        <f t="shared" si="62"/>
        <v>268.27999999999997</v>
      </c>
      <c r="L415" s="29">
        <v>0.67069999999999996</v>
      </c>
      <c r="M415" s="183">
        <v>1895</v>
      </c>
      <c r="N415" s="183">
        <f t="shared" si="67"/>
        <v>400</v>
      </c>
      <c r="O415" s="183">
        <f t="shared" si="68"/>
        <v>1495</v>
      </c>
    </row>
    <row r="416" spans="1:15" ht="15.5" x14ac:dyDescent="0.25">
      <c r="A416" s="149">
        <v>46207</v>
      </c>
      <c r="B416" s="149" t="s">
        <v>727</v>
      </c>
      <c r="C416" s="15">
        <v>1</v>
      </c>
      <c r="D416" s="29" t="s">
        <v>8</v>
      </c>
      <c r="E416" s="49" t="s">
        <v>270</v>
      </c>
      <c r="F416" s="50" t="s">
        <v>314</v>
      </c>
      <c r="G416" s="184" t="s">
        <v>328</v>
      </c>
      <c r="H416" s="52" t="s">
        <v>272</v>
      </c>
      <c r="I416" s="50" t="s">
        <v>313</v>
      </c>
      <c r="J416" s="185">
        <v>350</v>
      </c>
      <c r="K416" s="15">
        <f t="shared" si="62"/>
        <v>735.63</v>
      </c>
      <c r="L416" s="50">
        <v>2.1017999999999999</v>
      </c>
      <c r="M416" s="183">
        <v>5730</v>
      </c>
      <c r="N416" s="183">
        <f t="shared" si="67"/>
        <v>350</v>
      </c>
      <c r="O416" s="183">
        <f t="shared" si="68"/>
        <v>5380</v>
      </c>
    </row>
    <row r="417" spans="1:15" ht="15.5" x14ac:dyDescent="0.25">
      <c r="A417" s="149">
        <v>46207</v>
      </c>
      <c r="B417" s="149" t="s">
        <v>727</v>
      </c>
      <c r="C417" s="15">
        <v>1</v>
      </c>
      <c r="D417" s="29" t="s">
        <v>8</v>
      </c>
      <c r="E417" s="28" t="s">
        <v>310</v>
      </c>
      <c r="F417" s="29" t="s">
        <v>311</v>
      </c>
      <c r="G417" s="27" t="s">
        <v>319</v>
      </c>
      <c r="H417" s="175" t="s">
        <v>212</v>
      </c>
      <c r="I417" s="48" t="s">
        <v>210</v>
      </c>
      <c r="J417" s="183">
        <v>950</v>
      </c>
      <c r="K417" s="15">
        <f t="shared" si="62"/>
        <v>637.16499999999996</v>
      </c>
      <c r="L417" s="29">
        <v>0.67069999999999996</v>
      </c>
      <c r="M417" s="183">
        <v>9025</v>
      </c>
      <c r="N417" s="183">
        <f t="shared" si="67"/>
        <v>950</v>
      </c>
      <c r="O417" s="183">
        <f t="shared" si="68"/>
        <v>8075</v>
      </c>
    </row>
    <row r="418" spans="1:15" ht="15.5" x14ac:dyDescent="0.25">
      <c r="A418" s="149">
        <v>46207</v>
      </c>
      <c r="B418" s="149" t="s">
        <v>727</v>
      </c>
      <c r="C418" s="15">
        <v>1</v>
      </c>
      <c r="D418" s="29" t="s">
        <v>8</v>
      </c>
      <c r="E418" s="29" t="s">
        <v>253</v>
      </c>
      <c r="F418" s="29" t="s">
        <v>363</v>
      </c>
      <c r="G418" s="114" t="s">
        <v>319</v>
      </c>
      <c r="H418" s="175" t="s">
        <v>255</v>
      </c>
      <c r="I418" s="29" t="s">
        <v>258</v>
      </c>
      <c r="J418" s="183">
        <v>140</v>
      </c>
      <c r="K418" s="15">
        <f t="shared" si="62"/>
        <v>191.29600000000002</v>
      </c>
      <c r="L418" s="29">
        <v>1.3664000000000001</v>
      </c>
      <c r="M418" s="183">
        <v>140</v>
      </c>
      <c r="N418" s="183">
        <f t="shared" si="67"/>
        <v>140</v>
      </c>
      <c r="O418" s="183">
        <f t="shared" si="68"/>
        <v>0</v>
      </c>
    </row>
    <row r="419" spans="1:15" ht="15.5" x14ac:dyDescent="0.25">
      <c r="A419" s="149">
        <v>46207</v>
      </c>
      <c r="B419" s="149" t="s">
        <v>727</v>
      </c>
      <c r="C419" s="15">
        <v>1</v>
      </c>
      <c r="D419" s="29" t="s">
        <v>8</v>
      </c>
      <c r="E419" s="52" t="s">
        <v>409</v>
      </c>
      <c r="F419" s="29" t="s">
        <v>324</v>
      </c>
      <c r="G419" s="29" t="s">
        <v>410</v>
      </c>
      <c r="H419" s="29" t="s">
        <v>325</v>
      </c>
      <c r="I419" s="29" t="s">
        <v>322</v>
      </c>
      <c r="J419" s="29">
        <v>250</v>
      </c>
      <c r="K419" s="29">
        <f t="shared" si="62"/>
        <v>513.25</v>
      </c>
      <c r="L419" s="29">
        <v>2.0529999999999999</v>
      </c>
      <c r="M419" s="29">
        <v>500</v>
      </c>
      <c r="N419" s="29">
        <f t="shared" si="67"/>
        <v>250</v>
      </c>
      <c r="O419" s="29">
        <f t="shared" si="68"/>
        <v>250</v>
      </c>
    </row>
    <row r="420" spans="1:15" ht="15.5" x14ac:dyDescent="0.25">
      <c r="A420" s="149">
        <v>46209</v>
      </c>
      <c r="B420" s="149" t="s">
        <v>727</v>
      </c>
      <c r="C420" s="15">
        <v>1</v>
      </c>
      <c r="D420" s="29" t="s">
        <v>8</v>
      </c>
      <c r="E420" s="28" t="s">
        <v>407</v>
      </c>
      <c r="F420" s="29" t="s">
        <v>307</v>
      </c>
      <c r="G420" s="27" t="s">
        <v>408</v>
      </c>
      <c r="H420" s="175" t="s">
        <v>224</v>
      </c>
      <c r="I420" s="48" t="s">
        <v>306</v>
      </c>
      <c r="J420" s="29">
        <v>425</v>
      </c>
      <c r="K420" s="29">
        <f t="shared" si="62"/>
        <v>733.16750000000002</v>
      </c>
      <c r="L420" s="29">
        <v>1.7251000000000001</v>
      </c>
      <c r="M420" s="29">
        <v>3000</v>
      </c>
      <c r="N420" s="29">
        <f t="shared" si="67"/>
        <v>425</v>
      </c>
      <c r="O420" s="29">
        <f t="shared" si="68"/>
        <v>2575</v>
      </c>
    </row>
    <row r="421" spans="1:15" ht="15.5" x14ac:dyDescent="0.25">
      <c r="A421" s="149">
        <v>46209</v>
      </c>
      <c r="B421" s="149" t="s">
        <v>727</v>
      </c>
      <c r="C421" s="15">
        <v>1</v>
      </c>
      <c r="D421" s="29" t="s">
        <v>8</v>
      </c>
      <c r="E421" s="29" t="s">
        <v>310</v>
      </c>
      <c r="F421" s="29" t="s">
        <v>218</v>
      </c>
      <c r="G421" s="114" t="s">
        <v>319</v>
      </c>
      <c r="H421" s="175" t="s">
        <v>212</v>
      </c>
      <c r="I421" s="29" t="s">
        <v>217</v>
      </c>
      <c r="J421" s="29">
        <v>300</v>
      </c>
      <c r="K421" s="29">
        <f t="shared" si="62"/>
        <v>201.20999999999998</v>
      </c>
      <c r="L421" s="29">
        <v>0.67069999999999996</v>
      </c>
      <c r="M421" s="29">
        <v>1495</v>
      </c>
      <c r="N421" s="29">
        <f t="shared" si="67"/>
        <v>300</v>
      </c>
      <c r="O421" s="29">
        <f t="shared" si="68"/>
        <v>1195</v>
      </c>
    </row>
    <row r="422" spans="1:15" ht="15.5" x14ac:dyDescent="0.25">
      <c r="A422" s="149">
        <v>46209</v>
      </c>
      <c r="B422" s="149" t="s">
        <v>727</v>
      </c>
      <c r="C422" s="15">
        <v>1</v>
      </c>
      <c r="D422" s="29" t="s">
        <v>8</v>
      </c>
      <c r="E422" s="28" t="s">
        <v>310</v>
      </c>
      <c r="F422" s="29" t="s">
        <v>311</v>
      </c>
      <c r="G422" s="27" t="s">
        <v>319</v>
      </c>
      <c r="H422" s="175" t="s">
        <v>212</v>
      </c>
      <c r="I422" s="48" t="s">
        <v>210</v>
      </c>
      <c r="J422" s="29">
        <f>200+520</f>
        <v>720</v>
      </c>
      <c r="K422" s="29">
        <f t="shared" si="62"/>
        <v>482.904</v>
      </c>
      <c r="L422" s="29">
        <v>0.67069999999999996</v>
      </c>
      <c r="M422" s="29">
        <v>8075</v>
      </c>
      <c r="N422" s="29">
        <f t="shared" si="67"/>
        <v>720</v>
      </c>
      <c r="O422" s="29">
        <f t="shared" si="68"/>
        <v>7355</v>
      </c>
    </row>
    <row r="423" spans="1:15" ht="15.5" x14ac:dyDescent="0.25">
      <c r="A423" s="149">
        <v>46209</v>
      </c>
      <c r="B423" s="149" t="s">
        <v>727</v>
      </c>
      <c r="C423" s="15">
        <v>1</v>
      </c>
      <c r="D423" s="29" t="s">
        <v>8</v>
      </c>
      <c r="E423" s="49" t="s">
        <v>270</v>
      </c>
      <c r="F423" s="50" t="s">
        <v>314</v>
      </c>
      <c r="G423" s="184" t="s">
        <v>328</v>
      </c>
      <c r="H423" s="52" t="s">
        <v>272</v>
      </c>
      <c r="I423" s="50" t="s">
        <v>313</v>
      </c>
      <c r="J423" s="29">
        <f>150+230</f>
        <v>380</v>
      </c>
      <c r="K423" s="29">
        <f t="shared" si="62"/>
        <v>798.68399999999997</v>
      </c>
      <c r="L423" s="29">
        <v>2.1017999999999999</v>
      </c>
      <c r="M423" s="29">
        <v>5380</v>
      </c>
      <c r="N423" s="29">
        <f t="shared" si="67"/>
        <v>380</v>
      </c>
      <c r="O423" s="29">
        <f t="shared" si="68"/>
        <v>5000</v>
      </c>
    </row>
    <row r="424" spans="1:15" ht="15.5" x14ac:dyDescent="0.25">
      <c r="A424" s="149">
        <v>46209</v>
      </c>
      <c r="B424" s="149" t="s">
        <v>727</v>
      </c>
      <c r="C424" s="15">
        <v>1</v>
      </c>
      <c r="D424" s="29" t="s">
        <v>8</v>
      </c>
      <c r="E424" s="52" t="s">
        <v>409</v>
      </c>
      <c r="F424" s="29" t="s">
        <v>324</v>
      </c>
      <c r="G424" s="29" t="s">
        <v>410</v>
      </c>
      <c r="H424" s="29" t="s">
        <v>325</v>
      </c>
      <c r="I424" s="29" t="s">
        <v>322</v>
      </c>
      <c r="J424" s="29">
        <v>250</v>
      </c>
      <c r="K424" s="29">
        <f t="shared" si="62"/>
        <v>513.25</v>
      </c>
      <c r="L424" s="29">
        <v>2.0529999999999999</v>
      </c>
      <c r="M424" s="29">
        <v>250</v>
      </c>
      <c r="N424" s="29">
        <f t="shared" si="67"/>
        <v>250</v>
      </c>
      <c r="O424" s="29">
        <f t="shared" si="68"/>
        <v>0</v>
      </c>
    </row>
    <row r="425" spans="1:15" ht="15.5" x14ac:dyDescent="0.25">
      <c r="A425" s="149">
        <v>46210</v>
      </c>
      <c r="B425" s="149" t="s">
        <v>727</v>
      </c>
      <c r="C425" s="15">
        <v>1</v>
      </c>
      <c r="D425" s="29" t="s">
        <v>8</v>
      </c>
      <c r="E425" s="54" t="s">
        <v>310</v>
      </c>
      <c r="F425" s="53" t="s">
        <v>311</v>
      </c>
      <c r="G425" s="186" t="s">
        <v>319</v>
      </c>
      <c r="H425" s="187" t="s">
        <v>212</v>
      </c>
      <c r="I425" s="116" t="s">
        <v>210</v>
      </c>
      <c r="J425" s="68">
        <v>1670</v>
      </c>
      <c r="K425" s="68">
        <f t="shared" si="62"/>
        <v>1120.069</v>
      </c>
      <c r="L425" s="29">
        <v>0.67069999999999996</v>
      </c>
      <c r="M425" s="29">
        <v>7355</v>
      </c>
      <c r="N425" s="29">
        <f t="shared" si="67"/>
        <v>1670</v>
      </c>
      <c r="O425" s="29">
        <f t="shared" si="68"/>
        <v>5685</v>
      </c>
    </row>
    <row r="426" spans="1:15" ht="15.5" x14ac:dyDescent="0.25">
      <c r="A426" s="149">
        <v>46210</v>
      </c>
      <c r="B426" s="149" t="s">
        <v>727</v>
      </c>
      <c r="C426" s="15">
        <v>1</v>
      </c>
      <c r="D426" s="29" t="s">
        <v>8</v>
      </c>
      <c r="E426" s="55" t="s">
        <v>270</v>
      </c>
      <c r="F426" s="56" t="s">
        <v>314</v>
      </c>
      <c r="G426" s="188" t="s">
        <v>328</v>
      </c>
      <c r="H426" s="189" t="s">
        <v>272</v>
      </c>
      <c r="I426" s="56" t="s">
        <v>313</v>
      </c>
      <c r="J426" s="68">
        <v>200</v>
      </c>
      <c r="K426" s="68">
        <f t="shared" si="62"/>
        <v>420.35999999999996</v>
      </c>
      <c r="L426" s="29">
        <v>2.1017999999999999</v>
      </c>
      <c r="M426" s="29">
        <v>5000</v>
      </c>
      <c r="N426" s="29">
        <f t="shared" si="67"/>
        <v>200</v>
      </c>
      <c r="O426" s="29">
        <f t="shared" si="68"/>
        <v>4800</v>
      </c>
    </row>
    <row r="427" spans="1:15" ht="15.5" x14ac:dyDescent="0.25">
      <c r="A427" s="149">
        <v>46213</v>
      </c>
      <c r="B427" s="149" t="s">
        <v>727</v>
      </c>
      <c r="C427" s="15">
        <v>1</v>
      </c>
      <c r="D427" s="29" t="s">
        <v>8</v>
      </c>
      <c r="E427" s="64" t="s">
        <v>310</v>
      </c>
      <c r="F427" s="63" t="s">
        <v>311</v>
      </c>
      <c r="G427" s="190" t="s">
        <v>319</v>
      </c>
      <c r="H427" s="191" t="s">
        <v>212</v>
      </c>
      <c r="I427" s="117" t="s">
        <v>210</v>
      </c>
      <c r="J427" s="68">
        <v>2025</v>
      </c>
      <c r="K427" s="68">
        <f t="shared" si="62"/>
        <v>1358.1675</v>
      </c>
      <c r="L427" s="63">
        <v>0.67069999999999996</v>
      </c>
      <c r="M427" s="29">
        <v>5685</v>
      </c>
      <c r="N427" s="29">
        <f t="shared" si="67"/>
        <v>2025</v>
      </c>
      <c r="O427" s="29">
        <f t="shared" si="68"/>
        <v>3660</v>
      </c>
    </row>
    <row r="428" spans="1:15" ht="15.5" x14ac:dyDescent="0.25">
      <c r="A428" s="149">
        <v>46213</v>
      </c>
      <c r="B428" s="149" t="s">
        <v>727</v>
      </c>
      <c r="C428" s="15">
        <v>1</v>
      </c>
      <c r="D428" s="29" t="s">
        <v>8</v>
      </c>
      <c r="E428" s="64" t="s">
        <v>407</v>
      </c>
      <c r="F428" s="63" t="s">
        <v>307</v>
      </c>
      <c r="G428" s="190" t="s">
        <v>408</v>
      </c>
      <c r="H428" s="191" t="s">
        <v>224</v>
      </c>
      <c r="I428" s="117" t="s">
        <v>306</v>
      </c>
      <c r="J428" s="68">
        <v>175</v>
      </c>
      <c r="K428" s="68">
        <f t="shared" si="62"/>
        <v>301.89250000000004</v>
      </c>
      <c r="L428" s="63">
        <v>1.7251000000000001</v>
      </c>
      <c r="M428" s="29">
        <v>2575</v>
      </c>
      <c r="N428" s="29">
        <f t="shared" si="67"/>
        <v>175</v>
      </c>
      <c r="O428" s="29">
        <f t="shared" si="68"/>
        <v>2400</v>
      </c>
    </row>
    <row r="429" spans="1:15" ht="15.5" x14ac:dyDescent="0.25">
      <c r="A429" s="149">
        <v>46213</v>
      </c>
      <c r="B429" s="149" t="s">
        <v>727</v>
      </c>
      <c r="C429" s="15">
        <v>1</v>
      </c>
      <c r="D429" s="29" t="s">
        <v>8</v>
      </c>
      <c r="E429" s="65" t="s">
        <v>270</v>
      </c>
      <c r="F429" s="66" t="s">
        <v>412</v>
      </c>
      <c r="G429" s="192" t="s">
        <v>328</v>
      </c>
      <c r="H429" s="193" t="s">
        <v>413</v>
      </c>
      <c r="I429" s="118" t="s">
        <v>411</v>
      </c>
      <c r="J429" s="68">
        <v>200</v>
      </c>
      <c r="K429" s="68">
        <f t="shared" si="62"/>
        <v>443.98</v>
      </c>
      <c r="L429" s="66">
        <v>2.2199</v>
      </c>
      <c r="M429" s="29">
        <v>2000</v>
      </c>
      <c r="N429" s="29">
        <f t="shared" si="67"/>
        <v>200</v>
      </c>
      <c r="O429" s="29">
        <f t="shared" si="68"/>
        <v>1800</v>
      </c>
    </row>
    <row r="430" spans="1:15" ht="15.5" x14ac:dyDescent="0.25">
      <c r="A430" s="149">
        <v>46213</v>
      </c>
      <c r="B430" s="149" t="s">
        <v>727</v>
      </c>
      <c r="C430" s="15">
        <v>1</v>
      </c>
      <c r="D430" s="29" t="s">
        <v>8</v>
      </c>
      <c r="E430" s="65" t="s">
        <v>270</v>
      </c>
      <c r="F430" s="66" t="s">
        <v>314</v>
      </c>
      <c r="G430" s="194" t="s">
        <v>328</v>
      </c>
      <c r="H430" s="195" t="s">
        <v>272</v>
      </c>
      <c r="I430" s="66" t="s">
        <v>313</v>
      </c>
      <c r="J430" s="68">
        <v>250</v>
      </c>
      <c r="K430" s="68">
        <f t="shared" si="62"/>
        <v>525.44999999999993</v>
      </c>
      <c r="L430" s="66">
        <v>2.1017999999999999</v>
      </c>
      <c r="M430" s="29">
        <v>4800</v>
      </c>
      <c r="N430" s="29">
        <f t="shared" si="67"/>
        <v>250</v>
      </c>
      <c r="O430" s="29">
        <f t="shared" si="68"/>
        <v>4550</v>
      </c>
    </row>
    <row r="431" spans="1:15" ht="15.5" x14ac:dyDescent="0.25">
      <c r="A431" s="149">
        <v>46214</v>
      </c>
      <c r="B431" s="149" t="s">
        <v>727</v>
      </c>
      <c r="C431" s="15">
        <v>1</v>
      </c>
      <c r="D431" s="29" t="s">
        <v>8</v>
      </c>
      <c r="E431" s="28" t="s">
        <v>310</v>
      </c>
      <c r="F431" s="29" t="s">
        <v>311</v>
      </c>
      <c r="G431" s="27" t="s">
        <v>319</v>
      </c>
      <c r="H431" s="175" t="s">
        <v>212</v>
      </c>
      <c r="I431" s="48" t="s">
        <v>210</v>
      </c>
      <c r="J431" s="68">
        <v>2300</v>
      </c>
      <c r="K431" s="68">
        <f t="shared" si="62"/>
        <v>1542.61</v>
      </c>
      <c r="L431" s="29">
        <v>0.67069999999999996</v>
      </c>
      <c r="M431" s="29">
        <v>3660</v>
      </c>
      <c r="N431" s="29">
        <f t="shared" si="67"/>
        <v>2300</v>
      </c>
      <c r="O431" s="29">
        <f t="shared" si="68"/>
        <v>1360</v>
      </c>
    </row>
    <row r="432" spans="1:15" ht="15.5" x14ac:dyDescent="0.25">
      <c r="A432" s="149">
        <v>46214</v>
      </c>
      <c r="B432" s="149" t="s">
        <v>727</v>
      </c>
      <c r="C432" s="15">
        <v>1</v>
      </c>
      <c r="D432" s="29" t="s">
        <v>8</v>
      </c>
      <c r="E432" s="28" t="s">
        <v>407</v>
      </c>
      <c r="F432" s="29" t="s">
        <v>307</v>
      </c>
      <c r="G432" s="27" t="s">
        <v>408</v>
      </c>
      <c r="H432" s="175" t="s">
        <v>224</v>
      </c>
      <c r="I432" s="48" t="s">
        <v>306</v>
      </c>
      <c r="J432" s="68">
        <v>175</v>
      </c>
      <c r="K432" s="68">
        <f t="shared" si="62"/>
        <v>301.89250000000004</v>
      </c>
      <c r="L432" s="29">
        <v>1.7251000000000001</v>
      </c>
      <c r="M432" s="29">
        <v>2400</v>
      </c>
      <c r="N432" s="29">
        <f t="shared" si="67"/>
        <v>175</v>
      </c>
      <c r="O432" s="29">
        <f t="shared" si="68"/>
        <v>2225</v>
      </c>
    </row>
    <row r="433" spans="1:15" ht="15.5" x14ac:dyDescent="0.25">
      <c r="A433" s="149">
        <v>46214</v>
      </c>
      <c r="B433" s="149" t="s">
        <v>727</v>
      </c>
      <c r="C433" s="15">
        <v>1</v>
      </c>
      <c r="D433" s="29" t="s">
        <v>8</v>
      </c>
      <c r="E433" s="49" t="s">
        <v>270</v>
      </c>
      <c r="F433" s="50" t="s">
        <v>314</v>
      </c>
      <c r="G433" s="184" t="s">
        <v>328</v>
      </c>
      <c r="H433" s="52" t="s">
        <v>272</v>
      </c>
      <c r="I433" s="50" t="s">
        <v>313</v>
      </c>
      <c r="J433" s="68">
        <v>200</v>
      </c>
      <c r="K433" s="68">
        <f t="shared" si="62"/>
        <v>420.35999999999996</v>
      </c>
      <c r="L433" s="50">
        <v>2.1017999999999999</v>
      </c>
      <c r="M433" s="29">
        <v>4550</v>
      </c>
      <c r="N433" s="29">
        <f t="shared" si="67"/>
        <v>200</v>
      </c>
      <c r="O433" s="29">
        <f t="shared" si="68"/>
        <v>4350</v>
      </c>
    </row>
    <row r="434" spans="1:15" ht="15.5" x14ac:dyDescent="0.25">
      <c r="A434" s="149">
        <v>46214</v>
      </c>
      <c r="B434" s="149" t="s">
        <v>727</v>
      </c>
      <c r="C434" s="15">
        <v>1</v>
      </c>
      <c r="D434" s="29" t="s">
        <v>8</v>
      </c>
      <c r="E434" s="49" t="s">
        <v>457</v>
      </c>
      <c r="F434" s="67" t="s">
        <v>458</v>
      </c>
      <c r="G434" s="196" t="s">
        <v>319</v>
      </c>
      <c r="H434" s="197" t="s">
        <v>332</v>
      </c>
      <c r="I434" s="67" t="s">
        <v>329</v>
      </c>
      <c r="J434" s="68">
        <v>400</v>
      </c>
      <c r="K434" s="68">
        <f t="shared" si="62"/>
        <v>723.6</v>
      </c>
      <c r="L434" s="50">
        <v>1.8089999999999999</v>
      </c>
      <c r="M434" s="29">
        <v>5000</v>
      </c>
      <c r="N434" s="29">
        <f t="shared" si="67"/>
        <v>400</v>
      </c>
      <c r="O434" s="29">
        <f t="shared" si="68"/>
        <v>4600</v>
      </c>
    </row>
    <row r="435" spans="1:15" ht="15.5" x14ac:dyDescent="0.25">
      <c r="A435" s="149">
        <v>46214</v>
      </c>
      <c r="B435" s="149" t="s">
        <v>727</v>
      </c>
      <c r="C435" s="15">
        <v>1</v>
      </c>
      <c r="D435" s="29" t="s">
        <v>8</v>
      </c>
      <c r="E435" s="68" t="s">
        <v>270</v>
      </c>
      <c r="F435" s="68" t="s">
        <v>412</v>
      </c>
      <c r="G435" s="68" t="s">
        <v>328</v>
      </c>
      <c r="H435" s="68" t="s">
        <v>413</v>
      </c>
      <c r="I435" s="68" t="s">
        <v>411</v>
      </c>
      <c r="J435" s="68">
        <v>300</v>
      </c>
      <c r="K435" s="68">
        <f t="shared" si="62"/>
        <v>665.97</v>
      </c>
      <c r="L435" s="29">
        <v>2.2199</v>
      </c>
      <c r="M435" s="29">
        <v>1800</v>
      </c>
      <c r="N435" s="29">
        <f t="shared" si="67"/>
        <v>300</v>
      </c>
      <c r="O435" s="29">
        <f t="shared" si="68"/>
        <v>1500</v>
      </c>
    </row>
    <row r="436" spans="1:15" ht="15.5" x14ac:dyDescent="0.25">
      <c r="A436" s="149">
        <v>46216</v>
      </c>
      <c r="B436" s="149" t="s">
        <v>727</v>
      </c>
      <c r="C436" s="15">
        <v>1</v>
      </c>
      <c r="D436" s="29" t="s">
        <v>8</v>
      </c>
      <c r="E436" s="28" t="s">
        <v>407</v>
      </c>
      <c r="F436" s="29" t="s">
        <v>307</v>
      </c>
      <c r="G436" s="27" t="s">
        <v>408</v>
      </c>
      <c r="H436" s="175" t="s">
        <v>224</v>
      </c>
      <c r="I436" s="48" t="s">
        <v>306</v>
      </c>
      <c r="J436" s="1">
        <v>375</v>
      </c>
      <c r="K436" s="68">
        <f t="shared" si="62"/>
        <v>646.91250000000002</v>
      </c>
      <c r="L436" s="29">
        <v>1.7251000000000001</v>
      </c>
      <c r="M436" s="29">
        <v>2225</v>
      </c>
      <c r="N436" s="29">
        <f t="shared" si="67"/>
        <v>375</v>
      </c>
      <c r="O436" s="29">
        <f t="shared" si="68"/>
        <v>1850</v>
      </c>
    </row>
    <row r="437" spans="1:15" ht="15.5" x14ac:dyDescent="0.25">
      <c r="A437" s="149">
        <v>46216</v>
      </c>
      <c r="B437" s="149" t="s">
        <v>727</v>
      </c>
      <c r="C437" s="15">
        <v>1</v>
      </c>
      <c r="D437" s="29" t="s">
        <v>8</v>
      </c>
      <c r="E437" s="28" t="s">
        <v>457</v>
      </c>
      <c r="F437" s="29" t="s">
        <v>501</v>
      </c>
      <c r="G437" s="27" t="s">
        <v>319</v>
      </c>
      <c r="H437" s="175" t="s">
        <v>344</v>
      </c>
      <c r="I437" s="48" t="s">
        <v>342</v>
      </c>
      <c r="J437" s="1">
        <v>450</v>
      </c>
      <c r="K437" s="68">
        <f t="shared" si="62"/>
        <v>341.55</v>
      </c>
      <c r="L437" s="29">
        <v>0.75900000000000001</v>
      </c>
      <c r="M437" s="29">
        <v>2500</v>
      </c>
      <c r="N437" s="29">
        <f t="shared" si="67"/>
        <v>450</v>
      </c>
      <c r="O437" s="29">
        <f t="shared" si="68"/>
        <v>2050</v>
      </c>
    </row>
    <row r="438" spans="1:15" ht="15.5" x14ac:dyDescent="0.25">
      <c r="A438" s="149">
        <v>46216</v>
      </c>
      <c r="B438" s="149" t="s">
        <v>727</v>
      </c>
      <c r="C438" s="15">
        <v>1</v>
      </c>
      <c r="D438" s="29" t="s">
        <v>8</v>
      </c>
      <c r="E438" s="49" t="s">
        <v>270</v>
      </c>
      <c r="F438" s="50" t="s">
        <v>314</v>
      </c>
      <c r="G438" s="184" t="s">
        <v>328</v>
      </c>
      <c r="H438" s="52" t="s">
        <v>272</v>
      </c>
      <c r="I438" s="50" t="s">
        <v>313</v>
      </c>
      <c r="J438" s="1">
        <f>275+250</f>
        <v>525</v>
      </c>
      <c r="K438" s="68">
        <f t="shared" si="62"/>
        <v>1103.4449999999999</v>
      </c>
      <c r="L438" s="50">
        <v>2.1017999999999999</v>
      </c>
      <c r="M438" s="29">
        <v>4350</v>
      </c>
      <c r="N438" s="29">
        <f t="shared" si="67"/>
        <v>525</v>
      </c>
      <c r="O438" s="29">
        <f t="shared" si="68"/>
        <v>3825</v>
      </c>
    </row>
    <row r="439" spans="1:15" ht="15.5" x14ac:dyDescent="0.25">
      <c r="A439" s="149">
        <v>46216</v>
      </c>
      <c r="B439" s="149" t="s">
        <v>727</v>
      </c>
      <c r="C439" s="15">
        <v>1</v>
      </c>
      <c r="D439" s="29" t="s">
        <v>8</v>
      </c>
      <c r="E439" s="29" t="s">
        <v>457</v>
      </c>
      <c r="F439" s="29" t="s">
        <v>458</v>
      </c>
      <c r="G439" s="29" t="s">
        <v>319</v>
      </c>
      <c r="H439" s="29" t="s">
        <v>332</v>
      </c>
      <c r="I439" s="29" t="s">
        <v>329</v>
      </c>
      <c r="J439" s="29">
        <v>1125</v>
      </c>
      <c r="K439" s="29">
        <f t="shared" si="62"/>
        <v>2035.125</v>
      </c>
      <c r="L439" s="29">
        <v>1.8089999999999999</v>
      </c>
      <c r="M439" s="29">
        <v>4600</v>
      </c>
      <c r="N439" s="29">
        <f t="shared" si="67"/>
        <v>1125</v>
      </c>
      <c r="O439" s="29">
        <f t="shared" si="68"/>
        <v>3475</v>
      </c>
    </row>
    <row r="440" spans="1:15" ht="15.5" x14ac:dyDescent="0.25">
      <c r="A440" s="149">
        <v>46217</v>
      </c>
      <c r="B440" s="149" t="s">
        <v>727</v>
      </c>
      <c r="C440" s="15">
        <v>1</v>
      </c>
      <c r="D440" s="29" t="s">
        <v>8</v>
      </c>
      <c r="E440" s="70" t="s">
        <v>407</v>
      </c>
      <c r="F440" s="69" t="s">
        <v>307</v>
      </c>
      <c r="G440" s="198" t="s">
        <v>408</v>
      </c>
      <c r="H440" s="199" t="s">
        <v>224</v>
      </c>
      <c r="I440" s="73" t="s">
        <v>306</v>
      </c>
      <c r="J440" s="200">
        <v>350</v>
      </c>
      <c r="K440" s="68">
        <f t="shared" si="62"/>
        <v>603.78500000000008</v>
      </c>
      <c r="L440" s="69">
        <v>1.7251000000000001</v>
      </c>
      <c r="M440" s="29">
        <v>1850</v>
      </c>
      <c r="N440" s="29">
        <f t="shared" si="67"/>
        <v>350</v>
      </c>
      <c r="O440" s="29">
        <f t="shared" si="68"/>
        <v>1500</v>
      </c>
    </row>
    <row r="441" spans="1:15" ht="15.5" x14ac:dyDescent="0.25">
      <c r="A441" s="149">
        <v>46217</v>
      </c>
      <c r="B441" s="149" t="s">
        <v>727</v>
      </c>
      <c r="C441" s="15">
        <v>1</v>
      </c>
      <c r="D441" s="29" t="s">
        <v>8</v>
      </c>
      <c r="E441" s="70" t="s">
        <v>457</v>
      </c>
      <c r="F441" s="69" t="s">
        <v>501</v>
      </c>
      <c r="G441" s="198" t="s">
        <v>319</v>
      </c>
      <c r="H441" s="199" t="s">
        <v>344</v>
      </c>
      <c r="I441" s="73" t="s">
        <v>342</v>
      </c>
      <c r="J441" s="200">
        <v>500</v>
      </c>
      <c r="K441" s="68">
        <f t="shared" si="62"/>
        <v>379.5</v>
      </c>
      <c r="L441" s="69">
        <v>0.75900000000000001</v>
      </c>
      <c r="M441" s="29">
        <v>2050</v>
      </c>
      <c r="N441" s="29">
        <f t="shared" si="67"/>
        <v>500</v>
      </c>
      <c r="O441" s="29">
        <f t="shared" si="68"/>
        <v>1550</v>
      </c>
    </row>
    <row r="442" spans="1:15" ht="15.5" x14ac:dyDescent="0.25">
      <c r="A442" s="149">
        <v>46217</v>
      </c>
      <c r="B442" s="149" t="s">
        <v>727</v>
      </c>
      <c r="C442" s="15">
        <v>1</v>
      </c>
      <c r="D442" s="29" t="s">
        <v>8</v>
      </c>
      <c r="E442" s="71" t="s">
        <v>270</v>
      </c>
      <c r="F442" s="72" t="s">
        <v>314</v>
      </c>
      <c r="G442" s="201" t="s">
        <v>328</v>
      </c>
      <c r="H442" s="202" t="s">
        <v>272</v>
      </c>
      <c r="I442" s="72" t="s">
        <v>313</v>
      </c>
      <c r="J442" s="203">
        <f>275+250</f>
        <v>525</v>
      </c>
      <c r="K442" s="68">
        <f t="shared" si="62"/>
        <v>1103.4449999999999</v>
      </c>
      <c r="L442" s="72">
        <v>2.1017999999999999</v>
      </c>
      <c r="M442" s="29">
        <v>3825</v>
      </c>
      <c r="N442" s="29">
        <f t="shared" si="67"/>
        <v>525</v>
      </c>
      <c r="O442" s="29">
        <f t="shared" si="68"/>
        <v>3300</v>
      </c>
    </row>
    <row r="443" spans="1:15" ht="15.5" x14ac:dyDescent="0.25">
      <c r="A443" s="149">
        <v>46217</v>
      </c>
      <c r="B443" s="149" t="s">
        <v>727</v>
      </c>
      <c r="C443" s="15">
        <v>1</v>
      </c>
      <c r="D443" s="29" t="s">
        <v>8</v>
      </c>
      <c r="E443" s="70" t="s">
        <v>457</v>
      </c>
      <c r="F443" s="73" t="s">
        <v>458</v>
      </c>
      <c r="G443" s="198" t="s">
        <v>319</v>
      </c>
      <c r="H443" s="199" t="s">
        <v>332</v>
      </c>
      <c r="I443" s="73" t="s">
        <v>329</v>
      </c>
      <c r="J443" s="200">
        <v>550</v>
      </c>
      <c r="K443" s="68">
        <f t="shared" si="62"/>
        <v>994.94999999999993</v>
      </c>
      <c r="L443" s="69">
        <v>1.8089999999999999</v>
      </c>
      <c r="M443" s="29">
        <v>3475</v>
      </c>
      <c r="N443" s="29">
        <f t="shared" si="67"/>
        <v>550</v>
      </c>
      <c r="O443" s="29">
        <f t="shared" si="68"/>
        <v>2925</v>
      </c>
    </row>
    <row r="444" spans="1:15" ht="15.5" x14ac:dyDescent="0.25">
      <c r="A444" s="149">
        <v>46218</v>
      </c>
      <c r="B444" s="149" t="s">
        <v>727</v>
      </c>
      <c r="C444" s="15">
        <v>1</v>
      </c>
      <c r="D444" s="29" t="s">
        <v>8</v>
      </c>
      <c r="E444" s="28" t="s">
        <v>407</v>
      </c>
      <c r="F444" s="29" t="s">
        <v>307</v>
      </c>
      <c r="G444" s="27" t="s">
        <v>408</v>
      </c>
      <c r="H444" s="175" t="s">
        <v>224</v>
      </c>
      <c r="I444" s="48" t="s">
        <v>306</v>
      </c>
      <c r="J444" s="200">
        <v>100</v>
      </c>
      <c r="K444" s="68">
        <f t="shared" si="62"/>
        <v>172.51000000000002</v>
      </c>
      <c r="L444" s="29">
        <v>1.7251000000000001</v>
      </c>
      <c r="M444" s="29">
        <v>1500</v>
      </c>
      <c r="N444" s="29">
        <f t="shared" si="67"/>
        <v>100</v>
      </c>
      <c r="O444" s="29">
        <f t="shared" si="68"/>
        <v>1400</v>
      </c>
    </row>
    <row r="445" spans="1:15" ht="15.5" x14ac:dyDescent="0.25">
      <c r="A445" s="149">
        <v>46218</v>
      </c>
      <c r="B445" s="149" t="s">
        <v>727</v>
      </c>
      <c r="C445" s="15">
        <v>1</v>
      </c>
      <c r="D445" s="29" t="s">
        <v>8</v>
      </c>
      <c r="E445" s="49" t="s">
        <v>502</v>
      </c>
      <c r="F445" s="50" t="s">
        <v>284</v>
      </c>
      <c r="G445" s="196" t="s">
        <v>408</v>
      </c>
      <c r="H445" s="197" t="s">
        <v>169</v>
      </c>
      <c r="I445" s="67" t="s">
        <v>283</v>
      </c>
      <c r="J445" s="200">
        <v>500</v>
      </c>
      <c r="K445" s="68">
        <f t="shared" si="62"/>
        <v>671</v>
      </c>
      <c r="L445" s="50">
        <v>1.3420000000000001</v>
      </c>
      <c r="M445" s="29">
        <v>6820</v>
      </c>
      <c r="N445" s="29">
        <f t="shared" si="67"/>
        <v>500</v>
      </c>
      <c r="O445" s="29">
        <f t="shared" si="68"/>
        <v>6320</v>
      </c>
    </row>
    <row r="446" spans="1:15" ht="15.5" x14ac:dyDescent="0.25">
      <c r="A446" s="149">
        <v>46218</v>
      </c>
      <c r="B446" s="149" t="s">
        <v>727</v>
      </c>
      <c r="C446" s="15">
        <v>1</v>
      </c>
      <c r="D446" s="29" t="s">
        <v>8</v>
      </c>
      <c r="E446" s="49" t="s">
        <v>270</v>
      </c>
      <c r="F446" s="50" t="s">
        <v>314</v>
      </c>
      <c r="G446" s="184" t="s">
        <v>328</v>
      </c>
      <c r="H446" s="52" t="s">
        <v>272</v>
      </c>
      <c r="I446" s="50" t="s">
        <v>313</v>
      </c>
      <c r="J446" s="200">
        <v>300</v>
      </c>
      <c r="K446" s="68">
        <f t="shared" si="62"/>
        <v>630.54</v>
      </c>
      <c r="L446" s="50">
        <v>2.1017999999999999</v>
      </c>
      <c r="M446" s="29">
        <v>3300</v>
      </c>
      <c r="N446" s="29">
        <f t="shared" si="67"/>
        <v>300</v>
      </c>
      <c r="O446" s="29">
        <f t="shared" si="68"/>
        <v>3000</v>
      </c>
    </row>
    <row r="447" spans="1:15" ht="15.5" x14ac:dyDescent="0.25">
      <c r="A447" s="149">
        <v>46218</v>
      </c>
      <c r="B447" s="149" t="s">
        <v>727</v>
      </c>
      <c r="C447" s="15">
        <v>1</v>
      </c>
      <c r="D447" s="29" t="s">
        <v>8</v>
      </c>
      <c r="E447" s="49" t="s">
        <v>457</v>
      </c>
      <c r="F447" s="67" t="s">
        <v>458</v>
      </c>
      <c r="G447" s="196" t="s">
        <v>319</v>
      </c>
      <c r="H447" s="197" t="s">
        <v>332</v>
      </c>
      <c r="I447" s="67" t="s">
        <v>329</v>
      </c>
      <c r="J447" s="200">
        <v>350</v>
      </c>
      <c r="K447" s="68">
        <f t="shared" si="62"/>
        <v>633.15</v>
      </c>
      <c r="L447" s="50">
        <v>1.8089999999999999</v>
      </c>
      <c r="M447" s="29">
        <v>2925</v>
      </c>
      <c r="N447" s="29">
        <f t="shared" si="67"/>
        <v>350</v>
      </c>
      <c r="O447" s="29">
        <f t="shared" si="68"/>
        <v>2575</v>
      </c>
    </row>
    <row r="448" spans="1:15" ht="15.5" x14ac:dyDescent="0.25">
      <c r="A448" s="149">
        <v>46218</v>
      </c>
      <c r="B448" s="149" t="s">
        <v>727</v>
      </c>
      <c r="C448" s="15">
        <v>1</v>
      </c>
      <c r="D448" s="29" t="s">
        <v>8</v>
      </c>
      <c r="E448" s="49" t="s">
        <v>270</v>
      </c>
      <c r="F448" s="50" t="s">
        <v>412</v>
      </c>
      <c r="G448" s="196" t="s">
        <v>328</v>
      </c>
      <c r="H448" s="197" t="s">
        <v>413</v>
      </c>
      <c r="I448" s="67" t="s">
        <v>411</v>
      </c>
      <c r="J448" s="200">
        <v>50</v>
      </c>
      <c r="K448" s="68">
        <f t="shared" si="62"/>
        <v>110.995</v>
      </c>
      <c r="L448" s="50">
        <v>2.2199</v>
      </c>
      <c r="M448" s="29">
        <v>1500</v>
      </c>
      <c r="N448" s="29">
        <f t="shared" si="67"/>
        <v>50</v>
      </c>
      <c r="O448" s="29">
        <f t="shared" si="68"/>
        <v>1450</v>
      </c>
    </row>
    <row r="449" spans="1:15" ht="15.5" x14ac:dyDescent="0.25">
      <c r="A449" s="149">
        <v>46218</v>
      </c>
      <c r="B449" s="149" t="s">
        <v>727</v>
      </c>
      <c r="C449" s="15">
        <v>1</v>
      </c>
      <c r="D449" s="29" t="s">
        <v>8</v>
      </c>
      <c r="E449" s="28" t="s">
        <v>457</v>
      </c>
      <c r="F449" s="29" t="s">
        <v>501</v>
      </c>
      <c r="G449" s="27" t="s">
        <v>319</v>
      </c>
      <c r="H449" s="175" t="s">
        <v>344</v>
      </c>
      <c r="I449" s="48" t="s">
        <v>342</v>
      </c>
      <c r="J449" s="200">
        <v>1150</v>
      </c>
      <c r="K449" s="68">
        <f t="shared" si="62"/>
        <v>872.85</v>
      </c>
      <c r="L449" s="29">
        <v>0.75900000000000001</v>
      </c>
      <c r="M449" s="29">
        <v>1550</v>
      </c>
      <c r="N449" s="29">
        <f t="shared" si="67"/>
        <v>1150</v>
      </c>
      <c r="O449" s="29">
        <f t="shared" si="68"/>
        <v>400</v>
      </c>
    </row>
    <row r="450" spans="1:15" ht="15.5" x14ac:dyDescent="0.25">
      <c r="A450" s="149">
        <v>46219</v>
      </c>
      <c r="B450" s="149" t="s">
        <v>727</v>
      </c>
      <c r="C450" s="15">
        <v>1</v>
      </c>
      <c r="D450" s="29" t="s">
        <v>8</v>
      </c>
      <c r="E450" s="49" t="s">
        <v>502</v>
      </c>
      <c r="F450" s="50" t="s">
        <v>284</v>
      </c>
      <c r="G450" s="196" t="s">
        <v>408</v>
      </c>
      <c r="H450" s="197" t="s">
        <v>169</v>
      </c>
      <c r="I450" s="67" t="s">
        <v>283</v>
      </c>
      <c r="J450" s="200">
        <v>950</v>
      </c>
      <c r="K450" s="68">
        <f t="shared" si="62"/>
        <v>1274.9000000000001</v>
      </c>
      <c r="L450" s="50">
        <v>1.3420000000000001</v>
      </c>
      <c r="M450" s="29">
        <v>6820</v>
      </c>
      <c r="N450" s="29">
        <f t="shared" si="67"/>
        <v>950</v>
      </c>
      <c r="O450" s="29">
        <f t="shared" si="68"/>
        <v>5870</v>
      </c>
    </row>
    <row r="451" spans="1:15" ht="15.5" x14ac:dyDescent="0.25">
      <c r="A451" s="149">
        <v>46219</v>
      </c>
      <c r="B451" s="149" t="s">
        <v>727</v>
      </c>
      <c r="C451" s="15">
        <v>1</v>
      </c>
      <c r="D451" s="29" t="s">
        <v>8</v>
      </c>
      <c r="E451" s="49" t="s">
        <v>270</v>
      </c>
      <c r="F451" s="50" t="s">
        <v>314</v>
      </c>
      <c r="G451" s="184" t="s">
        <v>328</v>
      </c>
      <c r="H451" s="52" t="s">
        <v>272</v>
      </c>
      <c r="I451" s="50" t="s">
        <v>313</v>
      </c>
      <c r="J451" s="200">
        <v>550</v>
      </c>
      <c r="K451" s="68">
        <f t="shared" si="62"/>
        <v>1155.99</v>
      </c>
      <c r="L451" s="50">
        <v>2.1017999999999999</v>
      </c>
      <c r="M451" s="29">
        <v>3000</v>
      </c>
      <c r="N451" s="29">
        <f t="shared" si="67"/>
        <v>550</v>
      </c>
      <c r="O451" s="29">
        <f t="shared" si="68"/>
        <v>2450</v>
      </c>
    </row>
    <row r="452" spans="1:15" ht="15.5" x14ac:dyDescent="0.25">
      <c r="A452" s="149">
        <v>46219</v>
      </c>
      <c r="B452" s="149" t="s">
        <v>727</v>
      </c>
      <c r="C452" s="15">
        <v>1</v>
      </c>
      <c r="D452" s="29" t="s">
        <v>8</v>
      </c>
      <c r="E452" s="49" t="s">
        <v>270</v>
      </c>
      <c r="F452" s="50" t="s">
        <v>412</v>
      </c>
      <c r="G452" s="196" t="s">
        <v>328</v>
      </c>
      <c r="H452" s="197" t="s">
        <v>413</v>
      </c>
      <c r="I452" s="67" t="s">
        <v>411</v>
      </c>
      <c r="J452" s="200">
        <v>150</v>
      </c>
      <c r="K452" s="68">
        <f t="shared" si="62"/>
        <v>332.98500000000001</v>
      </c>
      <c r="L452" s="50">
        <v>2.2199</v>
      </c>
      <c r="M452" s="29">
        <v>1450</v>
      </c>
      <c r="N452" s="29">
        <f t="shared" si="67"/>
        <v>150</v>
      </c>
      <c r="O452" s="29">
        <f t="shared" si="68"/>
        <v>1300</v>
      </c>
    </row>
    <row r="453" spans="1:15" ht="15.5" x14ac:dyDescent="0.25">
      <c r="A453" s="149">
        <v>46219</v>
      </c>
      <c r="B453" s="149" t="s">
        <v>727</v>
      </c>
      <c r="C453" s="15">
        <v>1</v>
      </c>
      <c r="D453" s="29" t="s">
        <v>8</v>
      </c>
      <c r="E453" s="28" t="s">
        <v>457</v>
      </c>
      <c r="F453" s="67" t="s">
        <v>503</v>
      </c>
      <c r="G453" s="196" t="s">
        <v>319</v>
      </c>
      <c r="H453" s="197" t="s">
        <v>344</v>
      </c>
      <c r="I453" s="67" t="s">
        <v>348</v>
      </c>
      <c r="J453" s="200">
        <v>800</v>
      </c>
      <c r="K453" s="68">
        <f t="shared" si="62"/>
        <v>607.20000000000005</v>
      </c>
      <c r="L453" s="50">
        <v>0.75900000000000001</v>
      </c>
      <c r="M453" s="29">
        <v>1000</v>
      </c>
      <c r="N453" s="29">
        <f t="shared" si="67"/>
        <v>800</v>
      </c>
      <c r="O453" s="29">
        <f t="shared" si="68"/>
        <v>200</v>
      </c>
    </row>
    <row r="454" spans="1:15" ht="15.5" x14ac:dyDescent="0.25">
      <c r="A454" s="149">
        <v>46219</v>
      </c>
      <c r="B454" s="149" t="s">
        <v>727</v>
      </c>
      <c r="C454" s="15">
        <v>1</v>
      </c>
      <c r="D454" s="29" t="s">
        <v>8</v>
      </c>
      <c r="E454" s="28" t="s">
        <v>457</v>
      </c>
      <c r="F454" s="29" t="s">
        <v>501</v>
      </c>
      <c r="G454" s="27" t="s">
        <v>319</v>
      </c>
      <c r="H454" s="175" t="s">
        <v>344</v>
      </c>
      <c r="I454" s="48" t="s">
        <v>342</v>
      </c>
      <c r="J454" s="200">
        <v>200</v>
      </c>
      <c r="K454" s="68">
        <f t="shared" si="62"/>
        <v>151.80000000000001</v>
      </c>
      <c r="L454" s="29">
        <v>0.75900000000000001</v>
      </c>
      <c r="M454" s="29">
        <v>400</v>
      </c>
      <c r="N454" s="29">
        <f t="shared" si="67"/>
        <v>200</v>
      </c>
      <c r="O454" s="29">
        <f t="shared" si="68"/>
        <v>200</v>
      </c>
    </row>
    <row r="455" spans="1:15" ht="15.5" x14ac:dyDescent="0.25">
      <c r="A455" s="149">
        <v>46220</v>
      </c>
      <c r="B455" s="149" t="s">
        <v>727</v>
      </c>
      <c r="C455" s="15">
        <v>1</v>
      </c>
      <c r="D455" s="29" t="s">
        <v>8</v>
      </c>
      <c r="E455" s="74" t="s">
        <v>502</v>
      </c>
      <c r="F455" s="75" t="s">
        <v>284</v>
      </c>
      <c r="G455" s="204" t="s">
        <v>408</v>
      </c>
      <c r="H455" s="205" t="s">
        <v>169</v>
      </c>
      <c r="I455" s="78" t="s">
        <v>283</v>
      </c>
      <c r="J455" s="200">
        <v>675</v>
      </c>
      <c r="K455" s="68">
        <f t="shared" si="62"/>
        <v>905.85</v>
      </c>
      <c r="L455" s="75">
        <v>1.3420000000000001</v>
      </c>
      <c r="M455" s="29">
        <v>5370</v>
      </c>
      <c r="N455" s="29">
        <f t="shared" si="67"/>
        <v>675</v>
      </c>
      <c r="O455" s="29">
        <f t="shared" si="68"/>
        <v>4695</v>
      </c>
    </row>
    <row r="456" spans="1:15" ht="15.5" x14ac:dyDescent="0.25">
      <c r="A456" s="149">
        <v>46220</v>
      </c>
      <c r="B456" s="149" t="s">
        <v>727</v>
      </c>
      <c r="C456" s="15">
        <v>1</v>
      </c>
      <c r="D456" s="29" t="s">
        <v>8</v>
      </c>
      <c r="E456" s="74" t="s">
        <v>270</v>
      </c>
      <c r="F456" s="75" t="s">
        <v>314</v>
      </c>
      <c r="G456" s="206" t="s">
        <v>328</v>
      </c>
      <c r="H456" s="207" t="s">
        <v>272</v>
      </c>
      <c r="I456" s="75" t="s">
        <v>313</v>
      </c>
      <c r="J456" s="200">
        <v>525</v>
      </c>
      <c r="K456" s="68">
        <f t="shared" si="62"/>
        <v>1103.4449999999999</v>
      </c>
      <c r="L456" s="75">
        <v>2.1017999999999999</v>
      </c>
      <c r="M456" s="29">
        <v>2450</v>
      </c>
      <c r="N456" s="29">
        <f t="shared" si="67"/>
        <v>525</v>
      </c>
      <c r="O456" s="29">
        <f t="shared" si="68"/>
        <v>1925</v>
      </c>
    </row>
    <row r="457" spans="1:15" ht="15.5" x14ac:dyDescent="0.25">
      <c r="A457" s="149">
        <v>46220</v>
      </c>
      <c r="B457" s="149" t="s">
        <v>727</v>
      </c>
      <c r="C457" s="15">
        <v>1</v>
      </c>
      <c r="D457" s="29" t="s">
        <v>8</v>
      </c>
      <c r="E457" s="74" t="s">
        <v>270</v>
      </c>
      <c r="F457" s="75" t="s">
        <v>412</v>
      </c>
      <c r="G457" s="204" t="s">
        <v>328</v>
      </c>
      <c r="H457" s="205" t="s">
        <v>413</v>
      </c>
      <c r="I457" s="78" t="s">
        <v>411</v>
      </c>
      <c r="J457" s="200">
        <v>250</v>
      </c>
      <c r="K457" s="68">
        <f t="shared" si="62"/>
        <v>554.97500000000002</v>
      </c>
      <c r="L457" s="75">
        <v>2.2199</v>
      </c>
      <c r="M457" s="29">
        <v>1300</v>
      </c>
      <c r="N457" s="29">
        <f t="shared" si="67"/>
        <v>250</v>
      </c>
      <c r="O457" s="29">
        <f t="shared" si="68"/>
        <v>1050</v>
      </c>
    </row>
    <row r="458" spans="1:15" ht="15.5" x14ac:dyDescent="0.25">
      <c r="A458" s="149">
        <v>46220</v>
      </c>
      <c r="B458" s="149" t="s">
        <v>727</v>
      </c>
      <c r="C458" s="15">
        <v>1</v>
      </c>
      <c r="D458" s="29" t="s">
        <v>8</v>
      </c>
      <c r="E458" s="74" t="s">
        <v>504</v>
      </c>
      <c r="F458" s="75" t="s">
        <v>378</v>
      </c>
      <c r="G458" s="204" t="s">
        <v>319</v>
      </c>
      <c r="H458" s="205" t="s">
        <v>344</v>
      </c>
      <c r="I458" s="78" t="s">
        <v>377</v>
      </c>
      <c r="J458" s="200">
        <v>1100</v>
      </c>
      <c r="K458" s="68">
        <f t="shared" si="62"/>
        <v>885.5</v>
      </c>
      <c r="L458" s="75">
        <v>0.80500000000000005</v>
      </c>
      <c r="M458" s="29">
        <v>4000</v>
      </c>
      <c r="N458" s="29">
        <f t="shared" si="67"/>
        <v>1100</v>
      </c>
      <c r="O458" s="29">
        <f t="shared" si="68"/>
        <v>2900</v>
      </c>
    </row>
    <row r="459" spans="1:15" ht="15.5" x14ac:dyDescent="0.25">
      <c r="A459" s="149">
        <v>46220</v>
      </c>
      <c r="B459" s="149" t="s">
        <v>727</v>
      </c>
      <c r="C459" s="15">
        <v>1</v>
      </c>
      <c r="D459" s="29" t="s">
        <v>8</v>
      </c>
      <c r="E459" s="77" t="s">
        <v>457</v>
      </c>
      <c r="F459" s="78" t="s">
        <v>503</v>
      </c>
      <c r="G459" s="204" t="s">
        <v>319</v>
      </c>
      <c r="H459" s="205" t="s">
        <v>344</v>
      </c>
      <c r="I459" s="78" t="s">
        <v>348</v>
      </c>
      <c r="J459" s="200">
        <v>200</v>
      </c>
      <c r="K459" s="68">
        <f t="shared" si="62"/>
        <v>151.80000000000001</v>
      </c>
      <c r="L459" s="75">
        <v>0.75900000000000001</v>
      </c>
      <c r="M459" s="29">
        <v>200</v>
      </c>
      <c r="N459" s="29">
        <f t="shared" si="67"/>
        <v>200</v>
      </c>
      <c r="O459" s="29">
        <f t="shared" si="68"/>
        <v>0</v>
      </c>
    </row>
    <row r="460" spans="1:15" ht="15.5" x14ac:dyDescent="0.25">
      <c r="A460" s="149">
        <v>46220</v>
      </c>
      <c r="B460" s="149" t="s">
        <v>727</v>
      </c>
      <c r="C460" s="15">
        <v>1</v>
      </c>
      <c r="D460" s="29" t="s">
        <v>8</v>
      </c>
      <c r="E460" s="77" t="s">
        <v>457</v>
      </c>
      <c r="F460" s="76" t="s">
        <v>354</v>
      </c>
      <c r="G460" s="208" t="s">
        <v>319</v>
      </c>
      <c r="H460" s="209" t="s">
        <v>344</v>
      </c>
      <c r="I460" s="119" t="s">
        <v>353</v>
      </c>
      <c r="J460" s="200">
        <v>750</v>
      </c>
      <c r="K460" s="68">
        <f t="shared" si="62"/>
        <v>723</v>
      </c>
      <c r="L460" s="76">
        <v>0.96399999999999997</v>
      </c>
      <c r="M460" s="29">
        <v>900</v>
      </c>
      <c r="N460" s="29">
        <f t="shared" si="67"/>
        <v>750</v>
      </c>
      <c r="O460" s="29">
        <f t="shared" si="68"/>
        <v>150</v>
      </c>
    </row>
    <row r="461" spans="1:15" ht="15.5" x14ac:dyDescent="0.25">
      <c r="A461" s="149">
        <v>46221</v>
      </c>
      <c r="B461" s="149" t="s">
        <v>727</v>
      </c>
      <c r="C461" s="15">
        <v>1</v>
      </c>
      <c r="D461" s="29" t="s">
        <v>8</v>
      </c>
      <c r="E461" s="49" t="s">
        <v>502</v>
      </c>
      <c r="F461" s="50" t="s">
        <v>284</v>
      </c>
      <c r="G461" s="196" t="s">
        <v>408</v>
      </c>
      <c r="H461" s="197" t="s">
        <v>169</v>
      </c>
      <c r="I461" s="67" t="s">
        <v>283</v>
      </c>
      <c r="J461" s="200">
        <v>700</v>
      </c>
      <c r="K461" s="68">
        <f t="shared" si="62"/>
        <v>939.40000000000009</v>
      </c>
      <c r="L461" s="50">
        <v>1.3420000000000001</v>
      </c>
      <c r="M461" s="29">
        <v>4695</v>
      </c>
      <c r="N461" s="29">
        <f t="shared" si="67"/>
        <v>700</v>
      </c>
      <c r="O461" s="29">
        <f t="shared" si="68"/>
        <v>3995</v>
      </c>
    </row>
    <row r="462" spans="1:15" ht="15.5" x14ac:dyDescent="0.25">
      <c r="A462" s="149">
        <v>46221</v>
      </c>
      <c r="B462" s="149" t="s">
        <v>727</v>
      </c>
      <c r="C462" s="15">
        <v>1</v>
      </c>
      <c r="D462" s="29" t="s">
        <v>8</v>
      </c>
      <c r="E462" s="49" t="s">
        <v>270</v>
      </c>
      <c r="F462" s="50" t="s">
        <v>314</v>
      </c>
      <c r="G462" s="184" t="s">
        <v>328</v>
      </c>
      <c r="H462" s="52" t="s">
        <v>272</v>
      </c>
      <c r="I462" s="50" t="s">
        <v>313</v>
      </c>
      <c r="J462" s="200">
        <v>505</v>
      </c>
      <c r="K462" s="68">
        <f t="shared" si="62"/>
        <v>1061.4089999999999</v>
      </c>
      <c r="L462" s="50">
        <v>2.1017999999999999</v>
      </c>
      <c r="M462" s="29">
        <v>1925</v>
      </c>
      <c r="N462" s="29">
        <f t="shared" si="67"/>
        <v>505</v>
      </c>
      <c r="O462" s="29">
        <f t="shared" si="68"/>
        <v>1420</v>
      </c>
    </row>
    <row r="463" spans="1:15" ht="15.5" x14ac:dyDescent="0.25">
      <c r="A463" s="149">
        <v>46221</v>
      </c>
      <c r="B463" s="149" t="s">
        <v>727</v>
      </c>
      <c r="C463" s="15">
        <v>1</v>
      </c>
      <c r="D463" s="29" t="s">
        <v>8</v>
      </c>
      <c r="E463" s="49" t="s">
        <v>270</v>
      </c>
      <c r="F463" s="50" t="s">
        <v>412</v>
      </c>
      <c r="G463" s="196" t="s">
        <v>328</v>
      </c>
      <c r="H463" s="197" t="s">
        <v>413</v>
      </c>
      <c r="I463" s="67" t="s">
        <v>411</v>
      </c>
      <c r="J463" s="200">
        <v>250</v>
      </c>
      <c r="K463" s="68">
        <f t="shared" si="62"/>
        <v>554.97500000000002</v>
      </c>
      <c r="L463" s="50">
        <v>2.2199</v>
      </c>
      <c r="M463" s="29">
        <v>1050</v>
      </c>
      <c r="N463" s="29">
        <f t="shared" si="67"/>
        <v>250</v>
      </c>
      <c r="O463" s="29">
        <f t="shared" si="68"/>
        <v>800</v>
      </c>
    </row>
    <row r="464" spans="1:15" ht="15.5" x14ac:dyDescent="0.25">
      <c r="A464" s="149">
        <v>46221</v>
      </c>
      <c r="B464" s="149" t="s">
        <v>727</v>
      </c>
      <c r="C464" s="15">
        <v>1</v>
      </c>
      <c r="D464" s="29" t="s">
        <v>505</v>
      </c>
      <c r="E464" s="49" t="s">
        <v>457</v>
      </c>
      <c r="F464" s="67" t="s">
        <v>458</v>
      </c>
      <c r="G464" s="196" t="s">
        <v>319</v>
      </c>
      <c r="H464" s="197" t="s">
        <v>332</v>
      </c>
      <c r="I464" s="67" t="s">
        <v>329</v>
      </c>
      <c r="J464" s="200">
        <v>400</v>
      </c>
      <c r="K464" s="68">
        <f t="shared" si="62"/>
        <v>723.6</v>
      </c>
      <c r="L464" s="50">
        <v>1.8089999999999999</v>
      </c>
      <c r="M464" s="29">
        <v>2575</v>
      </c>
      <c r="N464" s="29">
        <f t="shared" si="67"/>
        <v>400</v>
      </c>
      <c r="O464" s="29">
        <f t="shared" si="68"/>
        <v>2175</v>
      </c>
    </row>
    <row r="465" spans="1:15" ht="15.5" x14ac:dyDescent="0.25">
      <c r="A465" s="149">
        <v>46221</v>
      </c>
      <c r="B465" s="149" t="s">
        <v>727</v>
      </c>
      <c r="C465" s="15">
        <v>1</v>
      </c>
      <c r="D465" s="29" t="s">
        <v>8</v>
      </c>
      <c r="E465" s="29" t="s">
        <v>310</v>
      </c>
      <c r="F465" s="29" t="s">
        <v>218</v>
      </c>
      <c r="G465" s="114" t="s">
        <v>319</v>
      </c>
      <c r="H465" s="175" t="s">
        <v>212</v>
      </c>
      <c r="I465" s="29" t="s">
        <v>217</v>
      </c>
      <c r="J465" s="200">
        <v>930</v>
      </c>
      <c r="K465" s="68">
        <f t="shared" si="62"/>
        <v>623.75099999999998</v>
      </c>
      <c r="L465" s="29">
        <v>0.67069999999999996</v>
      </c>
      <c r="M465" s="29">
        <v>1195</v>
      </c>
      <c r="N465" s="29">
        <f t="shared" si="67"/>
        <v>930</v>
      </c>
      <c r="O465" s="29">
        <f t="shared" si="68"/>
        <v>265</v>
      </c>
    </row>
    <row r="466" spans="1:15" ht="15.5" x14ac:dyDescent="0.25">
      <c r="A466" s="149">
        <v>46221</v>
      </c>
      <c r="B466" s="149" t="s">
        <v>727</v>
      </c>
      <c r="C466" s="15">
        <v>1</v>
      </c>
      <c r="D466" s="29" t="s">
        <v>8</v>
      </c>
      <c r="E466" s="28" t="s">
        <v>457</v>
      </c>
      <c r="F466" s="29" t="s">
        <v>354</v>
      </c>
      <c r="G466" s="27" t="s">
        <v>319</v>
      </c>
      <c r="H466" s="175" t="s">
        <v>344</v>
      </c>
      <c r="I466" s="48" t="s">
        <v>353</v>
      </c>
      <c r="J466" s="200">
        <v>100</v>
      </c>
      <c r="K466" s="68">
        <f t="shared" ref="K466:K529" si="69">L466*J466</f>
        <v>96.399999999999991</v>
      </c>
      <c r="L466" s="29">
        <v>0.96399999999999997</v>
      </c>
      <c r="M466" s="29">
        <v>150</v>
      </c>
      <c r="N466" s="29">
        <f t="shared" si="67"/>
        <v>100</v>
      </c>
      <c r="O466" s="29">
        <f t="shared" si="68"/>
        <v>50</v>
      </c>
    </row>
    <row r="467" spans="1:15" ht="15.5" x14ac:dyDescent="0.25">
      <c r="A467" s="149">
        <v>46223</v>
      </c>
      <c r="B467" s="149" t="s">
        <v>727</v>
      </c>
      <c r="C467" s="15">
        <v>1</v>
      </c>
      <c r="D467" s="29" t="s">
        <v>8</v>
      </c>
      <c r="E467" s="49" t="s">
        <v>502</v>
      </c>
      <c r="F467" s="50" t="s">
        <v>284</v>
      </c>
      <c r="G467" s="196" t="s">
        <v>408</v>
      </c>
      <c r="H467" s="197" t="s">
        <v>169</v>
      </c>
      <c r="I467" s="67" t="s">
        <v>283</v>
      </c>
      <c r="J467" s="15">
        <v>950</v>
      </c>
      <c r="K467" s="68">
        <f t="shared" si="69"/>
        <v>1274.9000000000001</v>
      </c>
      <c r="L467" s="50">
        <v>1.3420000000000001</v>
      </c>
      <c r="M467" s="29">
        <v>3995</v>
      </c>
      <c r="N467" s="29">
        <f t="shared" si="67"/>
        <v>950</v>
      </c>
      <c r="O467" s="29">
        <f t="shared" si="68"/>
        <v>3045</v>
      </c>
    </row>
    <row r="468" spans="1:15" ht="15.5" x14ac:dyDescent="0.25">
      <c r="A468" s="149">
        <v>46223</v>
      </c>
      <c r="B468" s="149" t="s">
        <v>727</v>
      </c>
      <c r="C468" s="15">
        <v>1</v>
      </c>
      <c r="D468" s="29" t="s">
        <v>8</v>
      </c>
      <c r="E468" s="49" t="s">
        <v>270</v>
      </c>
      <c r="F468" s="50" t="s">
        <v>314</v>
      </c>
      <c r="G468" s="184" t="s">
        <v>328</v>
      </c>
      <c r="H468" s="52" t="s">
        <v>272</v>
      </c>
      <c r="I468" s="50" t="s">
        <v>313</v>
      </c>
      <c r="J468" s="15">
        <v>300</v>
      </c>
      <c r="K468" s="68">
        <f t="shared" si="69"/>
        <v>630.54</v>
      </c>
      <c r="L468" s="50">
        <v>2.1017999999999999</v>
      </c>
      <c r="M468" s="29">
        <v>1420</v>
      </c>
      <c r="N468" s="29">
        <f t="shared" si="67"/>
        <v>300</v>
      </c>
      <c r="O468" s="29">
        <f t="shared" si="68"/>
        <v>1120</v>
      </c>
    </row>
    <row r="469" spans="1:15" ht="15.5" x14ac:dyDescent="0.25">
      <c r="A469" s="149">
        <v>46223</v>
      </c>
      <c r="B469" s="149" t="s">
        <v>727</v>
      </c>
      <c r="C469" s="15">
        <v>1</v>
      </c>
      <c r="D469" s="29" t="s">
        <v>8</v>
      </c>
      <c r="E469" s="49" t="s">
        <v>504</v>
      </c>
      <c r="F469" s="50" t="s">
        <v>378</v>
      </c>
      <c r="G469" s="196" t="s">
        <v>319</v>
      </c>
      <c r="H469" s="197" t="s">
        <v>344</v>
      </c>
      <c r="I469" s="67" t="s">
        <v>377</v>
      </c>
      <c r="J469" s="15">
        <v>450</v>
      </c>
      <c r="K469" s="68">
        <f t="shared" si="69"/>
        <v>362.25</v>
      </c>
      <c r="L469" s="50">
        <v>0.80500000000000005</v>
      </c>
      <c r="M469" s="29">
        <v>2900</v>
      </c>
      <c r="N469" s="29">
        <f t="shared" si="67"/>
        <v>450</v>
      </c>
      <c r="O469" s="29">
        <f t="shared" si="68"/>
        <v>2450</v>
      </c>
    </row>
    <row r="470" spans="1:15" ht="15.5" x14ac:dyDescent="0.25">
      <c r="A470" s="149">
        <v>46223</v>
      </c>
      <c r="B470" s="149" t="s">
        <v>727</v>
      </c>
      <c r="C470" s="15">
        <v>1</v>
      </c>
      <c r="D470" s="29" t="s">
        <v>8</v>
      </c>
      <c r="E470" s="49" t="s">
        <v>270</v>
      </c>
      <c r="F470" s="50" t="s">
        <v>412</v>
      </c>
      <c r="G470" s="196" t="s">
        <v>328</v>
      </c>
      <c r="H470" s="197" t="s">
        <v>413</v>
      </c>
      <c r="I470" s="67" t="s">
        <v>411</v>
      </c>
      <c r="J470" s="15">
        <v>90</v>
      </c>
      <c r="K470" s="68">
        <f t="shared" si="69"/>
        <v>199.791</v>
      </c>
      <c r="L470" s="50">
        <v>2.2199</v>
      </c>
      <c r="M470" s="29">
        <v>800</v>
      </c>
      <c r="N470" s="29">
        <f t="shared" si="67"/>
        <v>90</v>
      </c>
      <c r="O470" s="29">
        <f t="shared" si="68"/>
        <v>710</v>
      </c>
    </row>
    <row r="471" spans="1:15" ht="15.5" x14ac:dyDescent="0.25">
      <c r="A471" s="149">
        <v>46223</v>
      </c>
      <c r="B471" s="149" t="s">
        <v>727</v>
      </c>
      <c r="C471" s="15">
        <v>1</v>
      </c>
      <c r="D471" s="29" t="s">
        <v>8</v>
      </c>
      <c r="E471" s="49" t="s">
        <v>457</v>
      </c>
      <c r="F471" s="67" t="s">
        <v>458</v>
      </c>
      <c r="G471" s="196" t="s">
        <v>319</v>
      </c>
      <c r="H471" s="197" t="s">
        <v>332</v>
      </c>
      <c r="I471" s="67" t="s">
        <v>329</v>
      </c>
      <c r="J471" s="15">
        <v>420</v>
      </c>
      <c r="K471" s="68">
        <f t="shared" si="69"/>
        <v>759.78</v>
      </c>
      <c r="L471" s="50">
        <v>1.8089999999999999</v>
      </c>
      <c r="M471" s="29">
        <v>2175</v>
      </c>
      <c r="N471" s="29">
        <f t="shared" si="67"/>
        <v>420</v>
      </c>
      <c r="O471" s="29">
        <f t="shared" si="68"/>
        <v>1755</v>
      </c>
    </row>
    <row r="472" spans="1:15" ht="15.5" x14ac:dyDescent="0.25">
      <c r="A472" s="149">
        <v>46223</v>
      </c>
      <c r="B472" s="149" t="s">
        <v>727</v>
      </c>
      <c r="C472" s="15">
        <v>1</v>
      </c>
      <c r="D472" s="29" t="s">
        <v>8</v>
      </c>
      <c r="E472" s="49" t="s">
        <v>457</v>
      </c>
      <c r="F472" s="67" t="s">
        <v>509</v>
      </c>
      <c r="G472" s="196" t="s">
        <v>319</v>
      </c>
      <c r="H472" s="197" t="s">
        <v>110</v>
      </c>
      <c r="I472" s="67" t="s">
        <v>340</v>
      </c>
      <c r="J472" s="15">
        <v>325</v>
      </c>
      <c r="K472" s="68">
        <f t="shared" si="69"/>
        <v>419.57499999999999</v>
      </c>
      <c r="L472" s="50">
        <v>1.2909999999999999</v>
      </c>
      <c r="M472" s="29">
        <v>650</v>
      </c>
      <c r="N472" s="29">
        <f t="shared" si="67"/>
        <v>325</v>
      </c>
      <c r="O472" s="29">
        <f t="shared" si="68"/>
        <v>325</v>
      </c>
    </row>
    <row r="473" spans="1:15" ht="15.5" x14ac:dyDescent="0.25">
      <c r="A473" s="149">
        <v>46223</v>
      </c>
      <c r="B473" s="149" t="s">
        <v>727</v>
      </c>
      <c r="C473" s="15">
        <v>1</v>
      </c>
      <c r="D473" s="29" t="s">
        <v>8</v>
      </c>
      <c r="E473" s="28" t="s">
        <v>310</v>
      </c>
      <c r="F473" s="29" t="s">
        <v>311</v>
      </c>
      <c r="G473" s="27" t="s">
        <v>319</v>
      </c>
      <c r="H473" s="175" t="s">
        <v>212</v>
      </c>
      <c r="I473" s="48" t="s">
        <v>210</v>
      </c>
      <c r="J473" s="15">
        <f>500+700</f>
        <v>1200</v>
      </c>
      <c r="K473" s="68">
        <f t="shared" si="69"/>
        <v>804.83999999999992</v>
      </c>
      <c r="L473" s="29">
        <v>0.67069999999999996</v>
      </c>
      <c r="M473" s="29">
        <v>1360</v>
      </c>
      <c r="N473" s="29">
        <f t="shared" si="67"/>
        <v>1200</v>
      </c>
      <c r="O473" s="29">
        <f t="shared" si="68"/>
        <v>160</v>
      </c>
    </row>
    <row r="474" spans="1:15" ht="15.5" x14ac:dyDescent="0.25">
      <c r="A474" s="149">
        <v>46223</v>
      </c>
      <c r="B474" s="149" t="s">
        <v>727</v>
      </c>
      <c r="C474" s="15">
        <v>1</v>
      </c>
      <c r="D474" s="29" t="s">
        <v>8</v>
      </c>
      <c r="E474" s="29" t="s">
        <v>310</v>
      </c>
      <c r="F474" s="29" t="s">
        <v>218</v>
      </c>
      <c r="G474" s="114" t="s">
        <v>319</v>
      </c>
      <c r="H474" s="175" t="s">
        <v>212</v>
      </c>
      <c r="I474" s="29" t="s">
        <v>217</v>
      </c>
      <c r="J474" s="15">
        <v>200</v>
      </c>
      <c r="K474" s="68">
        <f t="shared" si="69"/>
        <v>134.13999999999999</v>
      </c>
      <c r="L474" s="29">
        <v>0.67069999999999996</v>
      </c>
      <c r="M474" s="29">
        <v>265</v>
      </c>
      <c r="N474" s="29">
        <f t="shared" si="67"/>
        <v>200</v>
      </c>
      <c r="O474" s="29">
        <f t="shared" si="68"/>
        <v>65</v>
      </c>
    </row>
    <row r="475" spans="1:15" ht="15.5" x14ac:dyDescent="0.25">
      <c r="A475" s="149">
        <v>46224</v>
      </c>
      <c r="B475" s="149" t="s">
        <v>727</v>
      </c>
      <c r="C475" s="15">
        <v>1</v>
      </c>
      <c r="D475" s="29" t="s">
        <v>8</v>
      </c>
      <c r="E475" s="79" t="s">
        <v>502</v>
      </c>
      <c r="F475" s="80" t="s">
        <v>284</v>
      </c>
      <c r="G475" s="210" t="s">
        <v>408</v>
      </c>
      <c r="H475" s="211" t="s">
        <v>169</v>
      </c>
      <c r="I475" s="83" t="s">
        <v>283</v>
      </c>
      <c r="J475" s="212">
        <f>950+100</f>
        <v>1050</v>
      </c>
      <c r="K475" s="68">
        <f t="shared" si="69"/>
        <v>1409.1000000000001</v>
      </c>
      <c r="L475" s="80">
        <v>1.3420000000000001</v>
      </c>
      <c r="M475" s="29">
        <v>3045</v>
      </c>
      <c r="N475" s="29">
        <f t="shared" si="67"/>
        <v>1050</v>
      </c>
      <c r="O475" s="29">
        <f t="shared" si="68"/>
        <v>1995</v>
      </c>
    </row>
    <row r="476" spans="1:15" ht="15.5" x14ac:dyDescent="0.25">
      <c r="A476" s="149">
        <v>46224</v>
      </c>
      <c r="B476" s="149" t="s">
        <v>727</v>
      </c>
      <c r="C476" s="15">
        <v>1</v>
      </c>
      <c r="D476" s="29" t="s">
        <v>8</v>
      </c>
      <c r="E476" s="79" t="s">
        <v>504</v>
      </c>
      <c r="F476" s="80" t="s">
        <v>378</v>
      </c>
      <c r="G476" s="210" t="s">
        <v>319</v>
      </c>
      <c r="H476" s="211" t="s">
        <v>344</v>
      </c>
      <c r="I476" s="83" t="s">
        <v>377</v>
      </c>
      <c r="J476" s="212">
        <f>400+150</f>
        <v>550</v>
      </c>
      <c r="K476" s="68">
        <f t="shared" si="69"/>
        <v>442.75</v>
      </c>
      <c r="L476" s="80">
        <v>0.80500000000000005</v>
      </c>
      <c r="M476" s="29">
        <v>2450</v>
      </c>
      <c r="N476" s="29">
        <f t="shared" ref="N476:N506" si="70">J476</f>
        <v>550</v>
      </c>
      <c r="O476" s="29">
        <f t="shared" ref="O476:O506" si="71">M476-N476</f>
        <v>1900</v>
      </c>
    </row>
    <row r="477" spans="1:15" ht="15.5" x14ac:dyDescent="0.25">
      <c r="A477" s="149">
        <v>46224</v>
      </c>
      <c r="B477" s="149" t="s">
        <v>727</v>
      </c>
      <c r="C477" s="15">
        <v>1</v>
      </c>
      <c r="D477" s="29" t="s">
        <v>8</v>
      </c>
      <c r="E477" s="79" t="s">
        <v>457</v>
      </c>
      <c r="F477" s="83" t="s">
        <v>509</v>
      </c>
      <c r="G477" s="210" t="s">
        <v>319</v>
      </c>
      <c r="H477" s="211" t="s">
        <v>110</v>
      </c>
      <c r="I477" s="83" t="s">
        <v>340</v>
      </c>
      <c r="J477" s="212">
        <v>325</v>
      </c>
      <c r="K477" s="68">
        <f t="shared" si="69"/>
        <v>419.57499999999999</v>
      </c>
      <c r="L477" s="80">
        <v>1.2909999999999999</v>
      </c>
      <c r="M477" s="29">
        <v>325</v>
      </c>
      <c r="N477" s="29">
        <f t="shared" si="70"/>
        <v>325</v>
      </c>
      <c r="O477" s="29">
        <f t="shared" si="71"/>
        <v>0</v>
      </c>
    </row>
    <row r="478" spans="1:15" ht="15.5" x14ac:dyDescent="0.25">
      <c r="A478" s="149">
        <v>46224</v>
      </c>
      <c r="B478" s="149" t="s">
        <v>727</v>
      </c>
      <c r="C478" s="15">
        <v>1</v>
      </c>
      <c r="D478" s="29" t="s">
        <v>8</v>
      </c>
      <c r="E478" s="82" t="s">
        <v>310</v>
      </c>
      <c r="F478" s="81" t="s">
        <v>311</v>
      </c>
      <c r="G478" s="213" t="s">
        <v>319</v>
      </c>
      <c r="H478" s="214" t="s">
        <v>212</v>
      </c>
      <c r="I478" s="84" t="s">
        <v>210</v>
      </c>
      <c r="J478" s="215">
        <f>60+100</f>
        <v>160</v>
      </c>
      <c r="K478" s="68">
        <f t="shared" si="69"/>
        <v>107.312</v>
      </c>
      <c r="L478" s="81">
        <v>0.67069999999999996</v>
      </c>
      <c r="M478" s="29">
        <v>160</v>
      </c>
      <c r="N478" s="29">
        <f t="shared" si="70"/>
        <v>160</v>
      </c>
      <c r="O478" s="29">
        <f t="shared" si="71"/>
        <v>0</v>
      </c>
    </row>
    <row r="479" spans="1:15" ht="15.5" x14ac:dyDescent="0.25">
      <c r="A479" s="149">
        <v>46224</v>
      </c>
      <c r="B479" s="149" t="s">
        <v>727</v>
      </c>
      <c r="C479" s="15">
        <v>1</v>
      </c>
      <c r="D479" s="29" t="s">
        <v>8</v>
      </c>
      <c r="E479" s="79" t="s">
        <v>270</v>
      </c>
      <c r="F479" s="80" t="s">
        <v>314</v>
      </c>
      <c r="G479" s="216" t="s">
        <v>328</v>
      </c>
      <c r="H479" s="217" t="s">
        <v>272</v>
      </c>
      <c r="I479" s="80" t="s">
        <v>313</v>
      </c>
      <c r="J479" s="212">
        <v>190</v>
      </c>
      <c r="K479" s="68">
        <f t="shared" si="69"/>
        <v>399.34199999999998</v>
      </c>
      <c r="L479" s="80">
        <v>2.1017999999999999</v>
      </c>
      <c r="M479" s="29">
        <v>1120</v>
      </c>
      <c r="N479" s="29">
        <f t="shared" si="70"/>
        <v>190</v>
      </c>
      <c r="O479" s="29">
        <f t="shared" si="71"/>
        <v>930</v>
      </c>
    </row>
    <row r="480" spans="1:15" ht="15.5" x14ac:dyDescent="0.25">
      <c r="A480" s="149">
        <v>46224</v>
      </c>
      <c r="B480" s="149" t="s">
        <v>727</v>
      </c>
      <c r="C480" s="15">
        <v>1</v>
      </c>
      <c r="D480" s="29" t="s">
        <v>8</v>
      </c>
      <c r="E480" s="81" t="s">
        <v>310</v>
      </c>
      <c r="F480" s="81" t="s">
        <v>218</v>
      </c>
      <c r="G480" s="218" t="s">
        <v>319</v>
      </c>
      <c r="H480" s="214" t="s">
        <v>212</v>
      </c>
      <c r="I480" s="81" t="s">
        <v>217</v>
      </c>
      <c r="J480" s="215">
        <v>65</v>
      </c>
      <c r="K480" s="68">
        <f t="shared" si="69"/>
        <v>43.595499999999994</v>
      </c>
      <c r="L480" s="81">
        <v>0.67069999999999996</v>
      </c>
      <c r="M480" s="29">
        <v>65</v>
      </c>
      <c r="N480" s="29">
        <f t="shared" si="70"/>
        <v>65</v>
      </c>
      <c r="O480" s="29">
        <f t="shared" si="71"/>
        <v>0</v>
      </c>
    </row>
    <row r="481" spans="1:15" s="219" customFormat="1" ht="15.5" x14ac:dyDescent="0.25">
      <c r="A481" s="149">
        <v>46224</v>
      </c>
      <c r="B481" s="149" t="s">
        <v>727</v>
      </c>
      <c r="C481" s="15">
        <v>1</v>
      </c>
      <c r="D481" s="29" t="s">
        <v>8</v>
      </c>
      <c r="E481" s="82" t="s">
        <v>457</v>
      </c>
      <c r="F481" s="84" t="s">
        <v>458</v>
      </c>
      <c r="G481" s="213" t="s">
        <v>319</v>
      </c>
      <c r="H481" s="214" t="s">
        <v>332</v>
      </c>
      <c r="I481" s="84" t="s">
        <v>329</v>
      </c>
      <c r="J481" s="215">
        <v>450</v>
      </c>
      <c r="K481" s="68">
        <f t="shared" si="69"/>
        <v>814.05</v>
      </c>
      <c r="L481" s="81">
        <v>1.8089999999999999</v>
      </c>
      <c r="M481" s="29">
        <v>1755</v>
      </c>
      <c r="N481" s="29">
        <f t="shared" si="70"/>
        <v>450</v>
      </c>
      <c r="O481" s="29">
        <f t="shared" si="71"/>
        <v>1305</v>
      </c>
    </row>
    <row r="482" spans="1:15" ht="15.5" x14ac:dyDescent="0.25">
      <c r="A482" s="149">
        <v>46225</v>
      </c>
      <c r="B482" s="149" t="s">
        <v>727</v>
      </c>
      <c r="C482" s="15">
        <v>1</v>
      </c>
      <c r="D482" s="29" t="s">
        <v>8</v>
      </c>
      <c r="E482" s="49" t="s">
        <v>502</v>
      </c>
      <c r="F482" s="50" t="s">
        <v>284</v>
      </c>
      <c r="G482" s="196" t="s">
        <v>408</v>
      </c>
      <c r="H482" s="197" t="s">
        <v>169</v>
      </c>
      <c r="I482" s="67" t="s">
        <v>283</v>
      </c>
      <c r="J482" s="185">
        <v>950</v>
      </c>
      <c r="K482" s="68">
        <f t="shared" si="69"/>
        <v>1274.9000000000001</v>
      </c>
      <c r="L482" s="50">
        <v>1.3420000000000001</v>
      </c>
      <c r="M482" s="29">
        <v>1995</v>
      </c>
      <c r="N482" s="29">
        <f t="shared" si="70"/>
        <v>950</v>
      </c>
      <c r="O482" s="29">
        <f t="shared" si="71"/>
        <v>1045</v>
      </c>
    </row>
    <row r="483" spans="1:15" ht="15.5" x14ac:dyDescent="0.25">
      <c r="A483" s="149">
        <v>46225</v>
      </c>
      <c r="B483" s="149" t="s">
        <v>727</v>
      </c>
      <c r="C483" s="15">
        <v>1</v>
      </c>
      <c r="D483" s="29" t="s">
        <v>8</v>
      </c>
      <c r="E483" s="49" t="s">
        <v>504</v>
      </c>
      <c r="F483" s="50" t="s">
        <v>378</v>
      </c>
      <c r="G483" s="196" t="s">
        <v>319</v>
      </c>
      <c r="H483" s="197" t="s">
        <v>344</v>
      </c>
      <c r="I483" s="67" t="s">
        <v>377</v>
      </c>
      <c r="J483" s="185">
        <v>450</v>
      </c>
      <c r="K483" s="68">
        <f t="shared" si="69"/>
        <v>362.25</v>
      </c>
      <c r="L483" s="50">
        <v>0.80500000000000005</v>
      </c>
      <c r="M483" s="29">
        <v>1900</v>
      </c>
      <c r="N483" s="29">
        <f t="shared" si="70"/>
        <v>450</v>
      </c>
      <c r="O483" s="29">
        <f t="shared" si="71"/>
        <v>1450</v>
      </c>
    </row>
    <row r="484" spans="1:15" ht="15.5" x14ac:dyDescent="0.25">
      <c r="A484" s="149">
        <v>46225</v>
      </c>
      <c r="B484" s="149" t="s">
        <v>727</v>
      </c>
      <c r="C484" s="15">
        <v>1</v>
      </c>
      <c r="D484" s="29" t="s">
        <v>8</v>
      </c>
      <c r="E484" s="49" t="s">
        <v>457</v>
      </c>
      <c r="F484" s="29" t="s">
        <v>510</v>
      </c>
      <c r="G484" s="48" t="s">
        <v>319</v>
      </c>
      <c r="H484" s="174" t="s">
        <v>114</v>
      </c>
      <c r="I484" s="29" t="s">
        <v>486</v>
      </c>
      <c r="J484" s="183">
        <v>100</v>
      </c>
      <c r="K484" s="68">
        <f t="shared" si="69"/>
        <v>221.03000000000003</v>
      </c>
      <c r="L484" s="29">
        <v>2.2103000000000002</v>
      </c>
      <c r="M484" s="29">
        <v>1560</v>
      </c>
      <c r="N484" s="29">
        <f t="shared" si="70"/>
        <v>100</v>
      </c>
      <c r="O484" s="29">
        <f t="shared" si="71"/>
        <v>1460</v>
      </c>
    </row>
    <row r="485" spans="1:15" ht="15.5" x14ac:dyDescent="0.25">
      <c r="A485" s="149">
        <v>46225</v>
      </c>
      <c r="B485" s="149" t="s">
        <v>727</v>
      </c>
      <c r="C485" s="15">
        <v>1</v>
      </c>
      <c r="D485" s="29" t="s">
        <v>8</v>
      </c>
      <c r="E485" s="49" t="s">
        <v>504</v>
      </c>
      <c r="F485" s="50" t="s">
        <v>370</v>
      </c>
      <c r="G485" s="67" t="s">
        <v>319</v>
      </c>
      <c r="H485" s="52" t="s">
        <v>371</v>
      </c>
      <c r="I485" s="52" t="s">
        <v>369</v>
      </c>
      <c r="J485" s="185">
        <v>450</v>
      </c>
      <c r="K485" s="68">
        <f t="shared" si="69"/>
        <v>273.24</v>
      </c>
      <c r="L485" s="50">
        <v>0.60719999999999996</v>
      </c>
      <c r="M485" s="29">
        <v>1200</v>
      </c>
      <c r="N485" s="29">
        <f t="shared" si="70"/>
        <v>450</v>
      </c>
      <c r="O485" s="29">
        <f t="shared" si="71"/>
        <v>750</v>
      </c>
    </row>
    <row r="486" spans="1:15" ht="15.5" x14ac:dyDescent="0.25">
      <c r="A486" s="149">
        <v>46225</v>
      </c>
      <c r="B486" s="149" t="s">
        <v>727</v>
      </c>
      <c r="C486" s="15">
        <v>1</v>
      </c>
      <c r="D486" s="29" t="s">
        <v>8</v>
      </c>
      <c r="E486" s="49" t="s">
        <v>457</v>
      </c>
      <c r="F486" s="50" t="s">
        <v>511</v>
      </c>
      <c r="G486" s="67" t="s">
        <v>319</v>
      </c>
      <c r="H486" s="52" t="s">
        <v>358</v>
      </c>
      <c r="I486" s="50" t="s">
        <v>356</v>
      </c>
      <c r="J486" s="185">
        <v>500</v>
      </c>
      <c r="K486" s="68">
        <f t="shared" si="69"/>
        <v>583</v>
      </c>
      <c r="L486" s="50">
        <v>1.1659999999999999</v>
      </c>
      <c r="M486" s="29">
        <v>500</v>
      </c>
      <c r="N486" s="29">
        <f t="shared" si="70"/>
        <v>500</v>
      </c>
      <c r="O486" s="29">
        <f t="shared" si="71"/>
        <v>0</v>
      </c>
    </row>
    <row r="487" spans="1:15" ht="15.5" x14ac:dyDescent="0.25">
      <c r="A487" s="149">
        <v>46225</v>
      </c>
      <c r="B487" s="149" t="s">
        <v>727</v>
      </c>
      <c r="C487" s="15">
        <v>1</v>
      </c>
      <c r="D487" s="29" t="s">
        <v>8</v>
      </c>
      <c r="E487" s="49" t="s">
        <v>457</v>
      </c>
      <c r="F487" s="50" t="s">
        <v>362</v>
      </c>
      <c r="G487" s="67" t="s">
        <v>319</v>
      </c>
      <c r="H487" s="52" t="s">
        <v>332</v>
      </c>
      <c r="I487" s="50" t="s">
        <v>361</v>
      </c>
      <c r="J487" s="185">
        <v>450</v>
      </c>
      <c r="K487" s="68">
        <f t="shared" si="69"/>
        <v>814.94999999999993</v>
      </c>
      <c r="L487" s="50">
        <v>1.8109999999999999</v>
      </c>
      <c r="M487" s="29">
        <v>600</v>
      </c>
      <c r="N487" s="29">
        <f t="shared" si="70"/>
        <v>450</v>
      </c>
      <c r="O487" s="29">
        <f t="shared" si="71"/>
        <v>150</v>
      </c>
    </row>
    <row r="488" spans="1:15" ht="15.5" x14ac:dyDescent="0.25">
      <c r="A488" s="149">
        <v>46225</v>
      </c>
      <c r="B488" s="149" t="s">
        <v>727</v>
      </c>
      <c r="C488" s="15">
        <v>1</v>
      </c>
      <c r="D488" s="29" t="s">
        <v>8</v>
      </c>
      <c r="E488" s="49" t="s">
        <v>270</v>
      </c>
      <c r="F488" s="50" t="s">
        <v>314</v>
      </c>
      <c r="G488" s="184" t="s">
        <v>328</v>
      </c>
      <c r="H488" s="52" t="s">
        <v>272</v>
      </c>
      <c r="I488" s="50" t="s">
        <v>313</v>
      </c>
      <c r="J488" s="185">
        <v>240</v>
      </c>
      <c r="K488" s="68">
        <f t="shared" si="69"/>
        <v>504.43199999999996</v>
      </c>
      <c r="L488" s="50">
        <v>2.1017999999999999</v>
      </c>
      <c r="M488" s="29">
        <v>930</v>
      </c>
      <c r="N488" s="29">
        <f t="shared" si="70"/>
        <v>240</v>
      </c>
      <c r="O488" s="29">
        <f t="shared" si="71"/>
        <v>690</v>
      </c>
    </row>
    <row r="489" spans="1:15" ht="15.5" x14ac:dyDescent="0.25">
      <c r="A489" s="149">
        <v>46225</v>
      </c>
      <c r="B489" s="149" t="s">
        <v>727</v>
      </c>
      <c r="C489" s="15">
        <v>1</v>
      </c>
      <c r="D489" s="29" t="s">
        <v>8</v>
      </c>
      <c r="E489" s="28" t="s">
        <v>457</v>
      </c>
      <c r="F489" s="48" t="s">
        <v>458</v>
      </c>
      <c r="G489" s="27" t="s">
        <v>319</v>
      </c>
      <c r="H489" s="175" t="s">
        <v>332</v>
      </c>
      <c r="I489" s="48" t="s">
        <v>329</v>
      </c>
      <c r="J489" s="183">
        <v>585</v>
      </c>
      <c r="K489" s="68">
        <f t="shared" si="69"/>
        <v>1058.2649999999999</v>
      </c>
      <c r="L489" s="29">
        <v>1.8089999999999999</v>
      </c>
      <c r="M489" s="29">
        <v>1305</v>
      </c>
      <c r="N489" s="29">
        <f t="shared" si="70"/>
        <v>585</v>
      </c>
      <c r="O489" s="29">
        <f t="shared" si="71"/>
        <v>720</v>
      </c>
    </row>
    <row r="490" spans="1:15" ht="15.5" x14ac:dyDescent="0.25">
      <c r="A490" s="149">
        <v>46226</v>
      </c>
      <c r="B490" s="149" t="s">
        <v>727</v>
      </c>
      <c r="C490" s="15">
        <v>1</v>
      </c>
      <c r="D490" s="29" t="s">
        <v>8</v>
      </c>
      <c r="E490" s="86" t="s">
        <v>502</v>
      </c>
      <c r="F490" s="87" t="s">
        <v>284</v>
      </c>
      <c r="G490" s="220" t="s">
        <v>408</v>
      </c>
      <c r="H490" s="221" t="s">
        <v>169</v>
      </c>
      <c r="I490" s="88" t="s">
        <v>283</v>
      </c>
      <c r="J490" s="85">
        <v>250</v>
      </c>
      <c r="K490" s="68">
        <f t="shared" si="69"/>
        <v>335.5</v>
      </c>
      <c r="L490" s="87">
        <v>1.3420000000000001</v>
      </c>
      <c r="M490" s="68">
        <v>1045</v>
      </c>
      <c r="N490" s="68">
        <f t="shared" si="70"/>
        <v>250</v>
      </c>
      <c r="O490" s="29">
        <f t="shared" si="71"/>
        <v>795</v>
      </c>
    </row>
    <row r="491" spans="1:15" ht="15.5" x14ac:dyDescent="0.25">
      <c r="A491" s="149">
        <v>46226</v>
      </c>
      <c r="B491" s="149" t="s">
        <v>727</v>
      </c>
      <c r="C491" s="15">
        <v>1</v>
      </c>
      <c r="D491" s="29" t="s">
        <v>8</v>
      </c>
      <c r="E491" s="86" t="s">
        <v>457</v>
      </c>
      <c r="F491" s="85" t="s">
        <v>510</v>
      </c>
      <c r="G491" s="222" t="s">
        <v>319</v>
      </c>
      <c r="H491" s="223" t="s">
        <v>114</v>
      </c>
      <c r="I491" s="85" t="s">
        <v>486</v>
      </c>
      <c r="J491" s="85">
        <v>100</v>
      </c>
      <c r="K491" s="68">
        <f t="shared" si="69"/>
        <v>221.03000000000003</v>
      </c>
      <c r="L491" s="85">
        <v>2.2103000000000002</v>
      </c>
      <c r="M491" s="68">
        <v>1460</v>
      </c>
      <c r="N491" s="68">
        <f t="shared" si="70"/>
        <v>100</v>
      </c>
      <c r="O491" s="29">
        <f t="shared" si="71"/>
        <v>1360</v>
      </c>
    </row>
    <row r="492" spans="1:15" ht="15.5" x14ac:dyDescent="0.25">
      <c r="A492" s="149">
        <v>46226</v>
      </c>
      <c r="B492" s="149" t="s">
        <v>727</v>
      </c>
      <c r="C492" s="15">
        <v>1</v>
      </c>
      <c r="D492" s="29" t="s">
        <v>8</v>
      </c>
      <c r="E492" s="86" t="s">
        <v>504</v>
      </c>
      <c r="F492" s="87" t="s">
        <v>370</v>
      </c>
      <c r="G492" s="88" t="s">
        <v>319</v>
      </c>
      <c r="H492" s="120" t="s">
        <v>371</v>
      </c>
      <c r="I492" s="120" t="s">
        <v>369</v>
      </c>
      <c r="J492" s="85">
        <v>100</v>
      </c>
      <c r="K492" s="68">
        <f t="shared" si="69"/>
        <v>60.72</v>
      </c>
      <c r="L492" s="87">
        <v>0.60719999999999996</v>
      </c>
      <c r="M492" s="68">
        <v>750</v>
      </c>
      <c r="N492" s="68">
        <f t="shared" si="70"/>
        <v>100</v>
      </c>
      <c r="O492" s="29">
        <f t="shared" si="71"/>
        <v>650</v>
      </c>
    </row>
    <row r="493" spans="1:15" ht="15.5" x14ac:dyDescent="0.25">
      <c r="A493" s="149">
        <v>46226</v>
      </c>
      <c r="B493" s="149" t="s">
        <v>727</v>
      </c>
      <c r="C493" s="15">
        <v>1</v>
      </c>
      <c r="D493" s="29" t="s">
        <v>8</v>
      </c>
      <c r="E493" s="86" t="s">
        <v>457</v>
      </c>
      <c r="F493" s="88" t="s">
        <v>458</v>
      </c>
      <c r="G493" s="220" t="s">
        <v>319</v>
      </c>
      <c r="H493" s="221" t="s">
        <v>332</v>
      </c>
      <c r="I493" s="88" t="s">
        <v>329</v>
      </c>
      <c r="J493" s="85">
        <v>150</v>
      </c>
      <c r="K493" s="68">
        <f t="shared" si="69"/>
        <v>271.34999999999997</v>
      </c>
      <c r="L493" s="87">
        <v>1.8089999999999999</v>
      </c>
      <c r="M493" s="68">
        <v>720</v>
      </c>
      <c r="N493" s="68">
        <f t="shared" si="70"/>
        <v>150</v>
      </c>
      <c r="O493" s="29">
        <f t="shared" si="71"/>
        <v>570</v>
      </c>
    </row>
    <row r="494" spans="1:15" ht="15.5" x14ac:dyDescent="0.25">
      <c r="A494" s="149">
        <v>46227</v>
      </c>
      <c r="B494" s="149" t="s">
        <v>727</v>
      </c>
      <c r="C494" s="15">
        <v>1</v>
      </c>
      <c r="D494" s="29" t="s">
        <v>8</v>
      </c>
      <c r="E494" s="89" t="s">
        <v>502</v>
      </c>
      <c r="F494" s="90" t="s">
        <v>284</v>
      </c>
      <c r="G494" s="224" t="s">
        <v>408</v>
      </c>
      <c r="H494" s="225" t="s">
        <v>169</v>
      </c>
      <c r="I494" s="121" t="s">
        <v>283</v>
      </c>
      <c r="J494" s="226">
        <v>300</v>
      </c>
      <c r="K494" s="68">
        <f t="shared" si="69"/>
        <v>402.6</v>
      </c>
      <c r="L494" s="90">
        <v>1.3420000000000001</v>
      </c>
      <c r="M494" s="68">
        <v>795</v>
      </c>
      <c r="N494" s="68">
        <f t="shared" si="70"/>
        <v>300</v>
      </c>
      <c r="O494" s="29">
        <f t="shared" si="71"/>
        <v>495</v>
      </c>
    </row>
    <row r="495" spans="1:15" ht="15.5" x14ac:dyDescent="0.25">
      <c r="A495" s="149">
        <v>46227</v>
      </c>
      <c r="B495" s="149" t="s">
        <v>727</v>
      </c>
      <c r="C495" s="15">
        <v>1</v>
      </c>
      <c r="D495" s="29" t="s">
        <v>8</v>
      </c>
      <c r="E495" s="89" t="s">
        <v>504</v>
      </c>
      <c r="F495" s="90" t="s">
        <v>370</v>
      </c>
      <c r="G495" s="121" t="s">
        <v>319</v>
      </c>
      <c r="H495" s="122" t="s">
        <v>371</v>
      </c>
      <c r="I495" s="122" t="s">
        <v>369</v>
      </c>
      <c r="J495" s="226">
        <v>150</v>
      </c>
      <c r="K495" s="68">
        <f t="shared" si="69"/>
        <v>91.08</v>
      </c>
      <c r="L495" s="90">
        <v>0.60719999999999996</v>
      </c>
      <c r="M495" s="68">
        <v>650</v>
      </c>
      <c r="N495" s="68">
        <f t="shared" si="70"/>
        <v>150</v>
      </c>
      <c r="O495" s="29">
        <f t="shared" si="71"/>
        <v>500</v>
      </c>
    </row>
    <row r="496" spans="1:15" ht="15.5" x14ac:dyDescent="0.25">
      <c r="A496" s="149">
        <v>46227</v>
      </c>
      <c r="B496" s="149" t="s">
        <v>727</v>
      </c>
      <c r="C496" s="15">
        <v>1</v>
      </c>
      <c r="D496" s="29" t="s">
        <v>8</v>
      </c>
      <c r="E496" s="89" t="s">
        <v>270</v>
      </c>
      <c r="F496" s="90" t="s">
        <v>314</v>
      </c>
      <c r="G496" s="227" t="s">
        <v>328</v>
      </c>
      <c r="H496" s="122" t="s">
        <v>272</v>
      </c>
      <c r="I496" s="90" t="s">
        <v>313</v>
      </c>
      <c r="J496" s="226">
        <v>190</v>
      </c>
      <c r="K496" s="68">
        <f t="shared" si="69"/>
        <v>399.34199999999998</v>
      </c>
      <c r="L496" s="90">
        <v>2.1017999999999999</v>
      </c>
      <c r="M496" s="68">
        <v>690</v>
      </c>
      <c r="N496" s="68">
        <f t="shared" si="70"/>
        <v>190</v>
      </c>
      <c r="O496" s="29">
        <f t="shared" si="71"/>
        <v>500</v>
      </c>
    </row>
    <row r="497" spans="1:15" ht="15.5" x14ac:dyDescent="0.25">
      <c r="A497" s="149">
        <v>46227</v>
      </c>
      <c r="B497" s="149" t="s">
        <v>727</v>
      </c>
      <c r="C497" s="15">
        <v>1</v>
      </c>
      <c r="D497" s="29" t="s">
        <v>8</v>
      </c>
      <c r="E497" s="91" t="s">
        <v>457</v>
      </c>
      <c r="F497" s="92" t="s">
        <v>458</v>
      </c>
      <c r="G497" s="228" t="s">
        <v>319</v>
      </c>
      <c r="H497" s="229" t="s">
        <v>332</v>
      </c>
      <c r="I497" s="92" t="s">
        <v>329</v>
      </c>
      <c r="J497" s="230">
        <v>200</v>
      </c>
      <c r="K497" s="68">
        <f t="shared" si="69"/>
        <v>361.8</v>
      </c>
      <c r="L497" s="68">
        <v>1.8089999999999999</v>
      </c>
      <c r="M497" s="68">
        <v>570</v>
      </c>
      <c r="N497" s="68">
        <f t="shared" si="70"/>
        <v>200</v>
      </c>
      <c r="O497" s="29">
        <f t="shared" si="71"/>
        <v>370</v>
      </c>
    </row>
    <row r="498" spans="1:15" ht="15.5" x14ac:dyDescent="0.25">
      <c r="A498" s="149">
        <v>46228</v>
      </c>
      <c r="B498" s="149" t="s">
        <v>727</v>
      </c>
      <c r="C498" s="15">
        <v>1</v>
      </c>
      <c r="D498" s="29" t="s">
        <v>8</v>
      </c>
      <c r="E498" s="49" t="s">
        <v>502</v>
      </c>
      <c r="F498" s="50" t="s">
        <v>284</v>
      </c>
      <c r="G498" s="196" t="s">
        <v>408</v>
      </c>
      <c r="H498" s="197" t="s">
        <v>169</v>
      </c>
      <c r="I498" s="67" t="s">
        <v>283</v>
      </c>
      <c r="J498" s="185">
        <f>295+200</f>
        <v>495</v>
      </c>
      <c r="K498" s="68">
        <f t="shared" si="69"/>
        <v>664.29000000000008</v>
      </c>
      <c r="L498" s="50">
        <v>1.3420000000000001</v>
      </c>
      <c r="M498" s="29">
        <v>495</v>
      </c>
      <c r="N498" s="68">
        <f t="shared" si="70"/>
        <v>495</v>
      </c>
      <c r="O498" s="29">
        <f t="shared" si="71"/>
        <v>0</v>
      </c>
    </row>
    <row r="499" spans="1:15" ht="15.5" x14ac:dyDescent="0.25">
      <c r="A499" s="149">
        <v>46228</v>
      </c>
      <c r="B499" s="149" t="s">
        <v>727</v>
      </c>
      <c r="C499" s="15">
        <v>1</v>
      </c>
      <c r="D499" s="29" t="s">
        <v>8</v>
      </c>
      <c r="E499" s="49" t="s">
        <v>502</v>
      </c>
      <c r="F499" s="50" t="s">
        <v>561</v>
      </c>
      <c r="G499" s="196" t="s">
        <v>408</v>
      </c>
      <c r="H499" s="197" t="s">
        <v>292</v>
      </c>
      <c r="I499" s="67" t="s">
        <v>290</v>
      </c>
      <c r="J499" s="185">
        <v>700</v>
      </c>
      <c r="K499" s="68">
        <f t="shared" si="69"/>
        <v>758.1</v>
      </c>
      <c r="L499" s="50">
        <v>1.083</v>
      </c>
      <c r="M499" s="29">
        <v>3200</v>
      </c>
      <c r="N499" s="68">
        <f t="shared" si="70"/>
        <v>700</v>
      </c>
      <c r="O499" s="29">
        <f t="shared" si="71"/>
        <v>2500</v>
      </c>
    </row>
    <row r="500" spans="1:15" ht="15.5" x14ac:dyDescent="0.25">
      <c r="A500" s="149">
        <v>46228</v>
      </c>
      <c r="B500" s="149" t="s">
        <v>727</v>
      </c>
      <c r="C500" s="15">
        <v>1</v>
      </c>
      <c r="D500" s="29" t="s">
        <v>8</v>
      </c>
      <c r="E500" s="49" t="s">
        <v>270</v>
      </c>
      <c r="F500" s="50" t="s">
        <v>412</v>
      </c>
      <c r="G500" s="196" t="s">
        <v>328</v>
      </c>
      <c r="H500" s="197" t="s">
        <v>413</v>
      </c>
      <c r="I500" s="67" t="s">
        <v>411</v>
      </c>
      <c r="J500" s="185">
        <v>50</v>
      </c>
      <c r="K500" s="68">
        <f t="shared" si="69"/>
        <v>110.995</v>
      </c>
      <c r="L500" s="50">
        <v>2.2199</v>
      </c>
      <c r="M500" s="29">
        <v>710</v>
      </c>
      <c r="N500" s="68">
        <f t="shared" si="70"/>
        <v>50</v>
      </c>
      <c r="O500" s="29">
        <f t="shared" si="71"/>
        <v>660</v>
      </c>
    </row>
    <row r="501" spans="1:15" ht="15.5" x14ac:dyDescent="0.25">
      <c r="A501" s="149">
        <v>46228</v>
      </c>
      <c r="B501" s="149" t="s">
        <v>727</v>
      </c>
      <c r="C501" s="15">
        <v>1</v>
      </c>
      <c r="D501" s="29" t="s">
        <v>8</v>
      </c>
      <c r="E501" s="49" t="s">
        <v>457</v>
      </c>
      <c r="F501" s="29" t="s">
        <v>510</v>
      </c>
      <c r="G501" s="48" t="s">
        <v>319</v>
      </c>
      <c r="H501" s="174" t="s">
        <v>114</v>
      </c>
      <c r="I501" s="29" t="s">
        <v>486</v>
      </c>
      <c r="J501" s="183">
        <f>175+135</f>
        <v>310</v>
      </c>
      <c r="K501" s="68">
        <f t="shared" si="69"/>
        <v>685.1930000000001</v>
      </c>
      <c r="L501" s="29">
        <v>2.2103000000000002</v>
      </c>
      <c r="M501" s="29">
        <v>1360</v>
      </c>
      <c r="N501" s="68">
        <f t="shared" si="70"/>
        <v>310</v>
      </c>
      <c r="O501" s="29">
        <f t="shared" si="71"/>
        <v>1050</v>
      </c>
    </row>
    <row r="502" spans="1:15" ht="15.5" x14ac:dyDescent="0.25">
      <c r="A502" s="149">
        <v>46228</v>
      </c>
      <c r="B502" s="149" t="s">
        <v>727</v>
      </c>
      <c r="C502" s="15">
        <v>1</v>
      </c>
      <c r="D502" s="29" t="s">
        <v>8</v>
      </c>
      <c r="E502" s="49" t="s">
        <v>504</v>
      </c>
      <c r="F502" s="50" t="s">
        <v>370</v>
      </c>
      <c r="G502" s="67" t="s">
        <v>319</v>
      </c>
      <c r="H502" s="52" t="s">
        <v>371</v>
      </c>
      <c r="I502" s="52" t="s">
        <v>369</v>
      </c>
      <c r="J502" s="185">
        <v>400</v>
      </c>
      <c r="K502" s="68">
        <f t="shared" si="69"/>
        <v>242.88</v>
      </c>
      <c r="L502" s="50">
        <v>0.60719999999999996</v>
      </c>
      <c r="M502" s="29">
        <v>500</v>
      </c>
      <c r="N502" s="68">
        <f t="shared" si="70"/>
        <v>400</v>
      </c>
      <c r="O502" s="29">
        <f t="shared" si="71"/>
        <v>100</v>
      </c>
    </row>
    <row r="503" spans="1:15" ht="15.5" x14ac:dyDescent="0.25">
      <c r="A503" s="149">
        <v>46228</v>
      </c>
      <c r="B503" s="149" t="s">
        <v>727</v>
      </c>
      <c r="C503" s="15">
        <v>1</v>
      </c>
      <c r="D503" s="29" t="s">
        <v>8</v>
      </c>
      <c r="E503" s="49" t="s">
        <v>457</v>
      </c>
      <c r="F503" s="50" t="s">
        <v>362</v>
      </c>
      <c r="G503" s="67" t="s">
        <v>319</v>
      </c>
      <c r="H503" s="52" t="s">
        <v>332</v>
      </c>
      <c r="I503" s="50" t="s">
        <v>361</v>
      </c>
      <c r="J503" s="185">
        <v>150</v>
      </c>
      <c r="K503" s="68">
        <f t="shared" si="69"/>
        <v>271.64999999999998</v>
      </c>
      <c r="L503" s="50">
        <v>1.8109999999999999</v>
      </c>
      <c r="M503" s="29">
        <v>150</v>
      </c>
      <c r="N503" s="68">
        <f t="shared" si="70"/>
        <v>150</v>
      </c>
      <c r="O503" s="29">
        <f t="shared" si="71"/>
        <v>0</v>
      </c>
    </row>
    <row r="504" spans="1:15" ht="15.5" x14ac:dyDescent="0.25">
      <c r="A504" s="149">
        <v>46228</v>
      </c>
      <c r="B504" s="149" t="s">
        <v>727</v>
      </c>
      <c r="C504" s="15">
        <v>1</v>
      </c>
      <c r="D504" s="29" t="s">
        <v>8</v>
      </c>
      <c r="E504" s="49" t="s">
        <v>457</v>
      </c>
      <c r="F504" s="50" t="s">
        <v>338</v>
      </c>
      <c r="G504" s="67" t="s">
        <v>319</v>
      </c>
      <c r="H504" s="52" t="s">
        <v>118</v>
      </c>
      <c r="I504" s="52" t="s">
        <v>337</v>
      </c>
      <c r="J504" s="185">
        <v>800</v>
      </c>
      <c r="K504" s="68">
        <f t="shared" si="69"/>
        <v>926.4</v>
      </c>
      <c r="L504" s="50">
        <v>1.1579999999999999</v>
      </c>
      <c r="M504" s="29">
        <v>1050</v>
      </c>
      <c r="N504" s="68">
        <f t="shared" si="70"/>
        <v>800</v>
      </c>
      <c r="O504" s="29">
        <f t="shared" si="71"/>
        <v>250</v>
      </c>
    </row>
    <row r="505" spans="1:15" ht="15.5" x14ac:dyDescent="0.25">
      <c r="A505" s="149">
        <v>46228</v>
      </c>
      <c r="B505" s="149" t="s">
        <v>727</v>
      </c>
      <c r="C505" s="15">
        <v>1</v>
      </c>
      <c r="D505" s="29" t="s">
        <v>8</v>
      </c>
      <c r="E505" s="49" t="s">
        <v>504</v>
      </c>
      <c r="F505" s="50" t="s">
        <v>378</v>
      </c>
      <c r="G505" s="196" t="s">
        <v>319</v>
      </c>
      <c r="H505" s="197" t="s">
        <v>344</v>
      </c>
      <c r="I505" s="67" t="s">
        <v>377</v>
      </c>
      <c r="J505" s="185">
        <v>150</v>
      </c>
      <c r="K505" s="68">
        <f t="shared" si="69"/>
        <v>120.75000000000001</v>
      </c>
      <c r="L505" s="50">
        <v>0.80500000000000005</v>
      </c>
      <c r="M505" s="29">
        <v>1450</v>
      </c>
      <c r="N505" s="68">
        <f t="shared" si="70"/>
        <v>150</v>
      </c>
      <c r="O505" s="29">
        <f t="shared" si="71"/>
        <v>1300</v>
      </c>
    </row>
    <row r="506" spans="1:15" ht="15.5" x14ac:dyDescent="0.25">
      <c r="A506" s="149">
        <v>46228</v>
      </c>
      <c r="B506" s="149" t="s">
        <v>727</v>
      </c>
      <c r="C506" s="15">
        <v>1</v>
      </c>
      <c r="D506" s="29" t="s">
        <v>8</v>
      </c>
      <c r="E506" s="49" t="s">
        <v>457</v>
      </c>
      <c r="F506" s="67" t="s">
        <v>458</v>
      </c>
      <c r="G506" s="196" t="s">
        <v>319</v>
      </c>
      <c r="H506" s="197" t="s">
        <v>332</v>
      </c>
      <c r="I506" s="67" t="s">
        <v>329</v>
      </c>
      <c r="J506" s="185">
        <v>370</v>
      </c>
      <c r="K506" s="68">
        <f t="shared" si="69"/>
        <v>669.32999999999993</v>
      </c>
      <c r="L506" s="50">
        <v>1.8089999999999999</v>
      </c>
      <c r="M506" s="29">
        <v>370</v>
      </c>
      <c r="N506" s="68">
        <f t="shared" si="70"/>
        <v>370</v>
      </c>
      <c r="O506" s="29">
        <f t="shared" si="71"/>
        <v>0</v>
      </c>
    </row>
    <row r="507" spans="1:15" ht="15.5" x14ac:dyDescent="0.25">
      <c r="A507" s="149">
        <v>46228</v>
      </c>
      <c r="B507" s="149" t="s">
        <v>727</v>
      </c>
      <c r="C507" s="15">
        <v>1</v>
      </c>
      <c r="D507" s="29" t="s">
        <v>8</v>
      </c>
      <c r="E507" s="28" t="s">
        <v>270</v>
      </c>
      <c r="F507" s="29" t="s">
        <v>314</v>
      </c>
      <c r="G507" s="114" t="s">
        <v>328</v>
      </c>
      <c r="H507" s="174" t="s">
        <v>272</v>
      </c>
      <c r="I507" s="29" t="s">
        <v>313</v>
      </c>
      <c r="J507" s="183">
        <v>145</v>
      </c>
      <c r="K507" s="68">
        <f t="shared" si="69"/>
        <v>304.76099999999997</v>
      </c>
      <c r="L507" s="29">
        <v>2.1017999999999999</v>
      </c>
      <c r="M507" s="29">
        <v>500</v>
      </c>
      <c r="N507" s="68">
        <f t="shared" ref="N507:N570" si="72">J507</f>
        <v>145</v>
      </c>
      <c r="O507" s="29">
        <f t="shared" ref="O507:O556" si="73">M507-N507</f>
        <v>355</v>
      </c>
    </row>
    <row r="508" spans="1:15" ht="15.5" x14ac:dyDescent="0.25">
      <c r="A508" s="149">
        <v>46230</v>
      </c>
      <c r="B508" s="149" t="s">
        <v>727</v>
      </c>
      <c r="C508" s="15">
        <v>1</v>
      </c>
      <c r="D508" s="29" t="s">
        <v>8</v>
      </c>
      <c r="E508" s="93" t="s">
        <v>502</v>
      </c>
      <c r="F508" s="94" t="s">
        <v>561</v>
      </c>
      <c r="G508" s="231" t="s">
        <v>408</v>
      </c>
      <c r="H508" s="232" t="s">
        <v>292</v>
      </c>
      <c r="I508" s="123" t="s">
        <v>290</v>
      </c>
      <c r="J508" s="94">
        <v>1800</v>
      </c>
      <c r="K508" s="68">
        <f t="shared" si="69"/>
        <v>1949.3999999999999</v>
      </c>
      <c r="L508" s="94">
        <v>1.083</v>
      </c>
      <c r="M508" s="29">
        <v>2500</v>
      </c>
      <c r="N508" s="68">
        <f t="shared" si="72"/>
        <v>1800</v>
      </c>
      <c r="O508" s="29">
        <f t="shared" si="73"/>
        <v>700</v>
      </c>
    </row>
    <row r="509" spans="1:15" ht="15.5" x14ac:dyDescent="0.25">
      <c r="A509" s="149">
        <v>46230</v>
      </c>
      <c r="B509" s="149" t="s">
        <v>727</v>
      </c>
      <c r="C509" s="15">
        <v>1</v>
      </c>
      <c r="D509" s="29" t="s">
        <v>8</v>
      </c>
      <c r="E509" s="93" t="s">
        <v>457</v>
      </c>
      <c r="F509" s="94" t="s">
        <v>351</v>
      </c>
      <c r="G509" s="123" t="s">
        <v>319</v>
      </c>
      <c r="H509" s="124" t="s">
        <v>400</v>
      </c>
      <c r="I509" s="124" t="s">
        <v>350</v>
      </c>
      <c r="J509" s="94">
        <v>1800</v>
      </c>
      <c r="K509" s="68">
        <f t="shared" si="69"/>
        <v>1312.2</v>
      </c>
      <c r="L509" s="94">
        <v>0.72899999999999998</v>
      </c>
      <c r="M509" s="29">
        <v>2400</v>
      </c>
      <c r="N509" s="68">
        <f t="shared" si="72"/>
        <v>1800</v>
      </c>
      <c r="O509" s="29">
        <f t="shared" si="73"/>
        <v>600</v>
      </c>
    </row>
    <row r="510" spans="1:15" ht="15.5" x14ac:dyDescent="0.25">
      <c r="A510" s="149">
        <v>46230</v>
      </c>
      <c r="B510" s="149" t="s">
        <v>727</v>
      </c>
      <c r="C510" s="15">
        <v>1</v>
      </c>
      <c r="D510" s="29" t="s">
        <v>8</v>
      </c>
      <c r="E510" s="93" t="s">
        <v>270</v>
      </c>
      <c r="F510" s="94" t="s">
        <v>314</v>
      </c>
      <c r="G510" s="233" t="s">
        <v>328</v>
      </c>
      <c r="H510" s="124" t="s">
        <v>272</v>
      </c>
      <c r="I510" s="94" t="s">
        <v>313</v>
      </c>
      <c r="J510" s="94">
        <v>225</v>
      </c>
      <c r="K510" s="68">
        <f t="shared" si="69"/>
        <v>472.90499999999997</v>
      </c>
      <c r="L510" s="94">
        <v>2.1017999999999999</v>
      </c>
      <c r="M510" s="29">
        <v>355</v>
      </c>
      <c r="N510" s="68">
        <f t="shared" si="72"/>
        <v>225</v>
      </c>
      <c r="O510" s="29">
        <f t="shared" si="73"/>
        <v>130</v>
      </c>
    </row>
    <row r="511" spans="1:15" ht="15.5" x14ac:dyDescent="0.25">
      <c r="A511" s="149">
        <v>46230</v>
      </c>
      <c r="B511" s="149" t="s">
        <v>727</v>
      </c>
      <c r="C511" s="15">
        <v>1</v>
      </c>
      <c r="D511" s="29" t="s">
        <v>8</v>
      </c>
      <c r="E511" s="93" t="s">
        <v>504</v>
      </c>
      <c r="F511" s="94" t="s">
        <v>378</v>
      </c>
      <c r="G511" s="231" t="s">
        <v>319</v>
      </c>
      <c r="H511" s="232" t="s">
        <v>344</v>
      </c>
      <c r="I511" s="123" t="s">
        <v>377</v>
      </c>
      <c r="J511" s="94">
        <v>1000</v>
      </c>
      <c r="K511" s="68">
        <f t="shared" si="69"/>
        <v>805</v>
      </c>
      <c r="L511" s="50">
        <v>0.80500000000000005</v>
      </c>
      <c r="M511" s="29">
        <v>1300</v>
      </c>
      <c r="N511" s="68">
        <f t="shared" si="72"/>
        <v>1000</v>
      </c>
      <c r="O511" s="29">
        <f t="shared" si="73"/>
        <v>300</v>
      </c>
    </row>
    <row r="512" spans="1:15" ht="15.5" x14ac:dyDescent="0.25">
      <c r="A512" s="149">
        <v>46231</v>
      </c>
      <c r="B512" s="149" t="s">
        <v>727</v>
      </c>
      <c r="C512" s="15">
        <v>1</v>
      </c>
      <c r="D512" s="29" t="s">
        <v>8</v>
      </c>
      <c r="E512" s="95" t="s">
        <v>502</v>
      </c>
      <c r="F512" s="96" t="s">
        <v>561</v>
      </c>
      <c r="G512" s="234" t="s">
        <v>408</v>
      </c>
      <c r="H512" s="235" t="s">
        <v>292</v>
      </c>
      <c r="I512" s="97" t="s">
        <v>290</v>
      </c>
      <c r="J512" s="94">
        <v>650</v>
      </c>
      <c r="K512" s="68">
        <f t="shared" si="69"/>
        <v>703.94999999999993</v>
      </c>
      <c r="L512" s="96">
        <v>1.083</v>
      </c>
      <c r="M512" s="94">
        <v>700</v>
      </c>
      <c r="N512" s="94">
        <f t="shared" si="72"/>
        <v>650</v>
      </c>
      <c r="O512" s="94">
        <f t="shared" si="73"/>
        <v>50</v>
      </c>
    </row>
    <row r="513" spans="1:15" ht="15.5" x14ac:dyDescent="0.25">
      <c r="A513" s="149">
        <v>46231</v>
      </c>
      <c r="B513" s="149" t="s">
        <v>727</v>
      </c>
      <c r="C513" s="15">
        <v>1</v>
      </c>
      <c r="D513" s="29" t="s">
        <v>8</v>
      </c>
      <c r="E513" s="95" t="s">
        <v>502</v>
      </c>
      <c r="F513" s="96" t="s">
        <v>289</v>
      </c>
      <c r="G513" s="234" t="s">
        <v>408</v>
      </c>
      <c r="H513" s="235" t="s">
        <v>193</v>
      </c>
      <c r="I513" s="97" t="s">
        <v>288</v>
      </c>
      <c r="J513" s="94">
        <v>450</v>
      </c>
      <c r="K513" s="68">
        <f t="shared" si="69"/>
        <v>699.75</v>
      </c>
      <c r="L513" s="96">
        <v>1.5549999999999999</v>
      </c>
      <c r="M513" s="94">
        <v>2160</v>
      </c>
      <c r="N513" s="94">
        <f t="shared" si="72"/>
        <v>450</v>
      </c>
      <c r="O513" s="94">
        <f t="shared" si="73"/>
        <v>1710</v>
      </c>
    </row>
    <row r="514" spans="1:15" ht="15.5" x14ac:dyDescent="0.25">
      <c r="A514" s="149">
        <v>46231</v>
      </c>
      <c r="B514" s="149" t="s">
        <v>727</v>
      </c>
      <c r="C514" s="15">
        <v>1</v>
      </c>
      <c r="D514" s="29" t="s">
        <v>8</v>
      </c>
      <c r="E514" s="95" t="s">
        <v>457</v>
      </c>
      <c r="F514" s="96" t="s">
        <v>360</v>
      </c>
      <c r="G514" s="234" t="s">
        <v>319</v>
      </c>
      <c r="H514" s="235" t="s">
        <v>116</v>
      </c>
      <c r="I514" s="97" t="s">
        <v>359</v>
      </c>
      <c r="J514" s="94">
        <v>200</v>
      </c>
      <c r="K514" s="68">
        <f t="shared" si="69"/>
        <v>254.4</v>
      </c>
      <c r="L514" s="96">
        <v>1.272</v>
      </c>
      <c r="M514" s="94">
        <v>400</v>
      </c>
      <c r="N514" s="94">
        <f t="shared" si="72"/>
        <v>200</v>
      </c>
      <c r="O514" s="94">
        <f t="shared" si="73"/>
        <v>200</v>
      </c>
    </row>
    <row r="515" spans="1:15" ht="15.5" x14ac:dyDescent="0.25">
      <c r="A515" s="149">
        <v>46231</v>
      </c>
      <c r="B515" s="149" t="s">
        <v>727</v>
      </c>
      <c r="C515" s="15">
        <v>1</v>
      </c>
      <c r="D515" s="29" t="s">
        <v>8</v>
      </c>
      <c r="E515" s="95" t="s">
        <v>270</v>
      </c>
      <c r="F515" s="96" t="s">
        <v>412</v>
      </c>
      <c r="G515" s="234" t="s">
        <v>328</v>
      </c>
      <c r="H515" s="235" t="s">
        <v>413</v>
      </c>
      <c r="I515" s="97" t="s">
        <v>411</v>
      </c>
      <c r="J515" s="94">
        <v>30</v>
      </c>
      <c r="K515" s="68">
        <f t="shared" si="69"/>
        <v>66.596999999999994</v>
      </c>
      <c r="L515" s="96">
        <v>2.2199</v>
      </c>
      <c r="M515" s="94">
        <v>660</v>
      </c>
      <c r="N515" s="94">
        <f t="shared" si="72"/>
        <v>30</v>
      </c>
      <c r="O515" s="94">
        <f t="shared" si="73"/>
        <v>630</v>
      </c>
    </row>
    <row r="516" spans="1:15" ht="15.5" x14ac:dyDescent="0.25">
      <c r="A516" s="149">
        <v>46231</v>
      </c>
      <c r="B516" s="149" t="s">
        <v>727</v>
      </c>
      <c r="C516" s="15">
        <v>1</v>
      </c>
      <c r="D516" s="29" t="s">
        <v>8</v>
      </c>
      <c r="E516" s="95" t="s">
        <v>457</v>
      </c>
      <c r="F516" s="96" t="s">
        <v>351</v>
      </c>
      <c r="G516" s="97" t="s">
        <v>319</v>
      </c>
      <c r="H516" s="125" t="s">
        <v>400</v>
      </c>
      <c r="I516" s="125" t="s">
        <v>350</v>
      </c>
      <c r="J516" s="94">
        <v>300</v>
      </c>
      <c r="K516" s="68">
        <f t="shared" si="69"/>
        <v>218.7</v>
      </c>
      <c r="L516" s="96">
        <v>0.72899999999999998</v>
      </c>
      <c r="M516" s="94">
        <v>600</v>
      </c>
      <c r="N516" s="94">
        <f t="shared" si="72"/>
        <v>300</v>
      </c>
      <c r="O516" s="94">
        <f t="shared" si="73"/>
        <v>300</v>
      </c>
    </row>
    <row r="517" spans="1:15" ht="15.5" x14ac:dyDescent="0.25">
      <c r="A517" s="149">
        <v>46231</v>
      </c>
      <c r="B517" s="149" t="s">
        <v>727</v>
      </c>
      <c r="C517" s="15">
        <v>1</v>
      </c>
      <c r="D517" s="29" t="s">
        <v>8</v>
      </c>
      <c r="E517" s="95" t="s">
        <v>504</v>
      </c>
      <c r="F517" s="96" t="s">
        <v>370</v>
      </c>
      <c r="G517" s="97" t="s">
        <v>319</v>
      </c>
      <c r="H517" s="125" t="s">
        <v>371</v>
      </c>
      <c r="I517" s="125" t="s">
        <v>369</v>
      </c>
      <c r="J517" s="94">
        <v>100</v>
      </c>
      <c r="K517" s="68">
        <f t="shared" si="69"/>
        <v>60.72</v>
      </c>
      <c r="L517" s="96">
        <v>0.60719999999999996</v>
      </c>
      <c r="M517" s="94">
        <v>100</v>
      </c>
      <c r="N517" s="94">
        <f t="shared" si="72"/>
        <v>100</v>
      </c>
      <c r="O517" s="94">
        <f t="shared" si="73"/>
        <v>0</v>
      </c>
    </row>
    <row r="518" spans="1:15" ht="15.5" x14ac:dyDescent="0.25">
      <c r="A518" s="149">
        <v>46231</v>
      </c>
      <c r="B518" s="149" t="s">
        <v>727</v>
      </c>
      <c r="C518" s="15">
        <v>1</v>
      </c>
      <c r="D518" s="29" t="s">
        <v>8</v>
      </c>
      <c r="E518" s="95" t="s">
        <v>457</v>
      </c>
      <c r="F518" s="96" t="s">
        <v>338</v>
      </c>
      <c r="G518" s="97" t="s">
        <v>319</v>
      </c>
      <c r="H518" s="125" t="s">
        <v>118</v>
      </c>
      <c r="I518" s="125" t="s">
        <v>337</v>
      </c>
      <c r="J518" s="94">
        <v>250</v>
      </c>
      <c r="K518" s="68">
        <f t="shared" si="69"/>
        <v>289.5</v>
      </c>
      <c r="L518" s="96">
        <v>1.1579999999999999</v>
      </c>
      <c r="M518" s="94">
        <v>250</v>
      </c>
      <c r="N518" s="94">
        <f t="shared" si="72"/>
        <v>250</v>
      </c>
      <c r="O518" s="94">
        <f t="shared" si="73"/>
        <v>0</v>
      </c>
    </row>
    <row r="519" spans="1:15" ht="15.5" x14ac:dyDescent="0.25">
      <c r="A519" s="149">
        <v>46231</v>
      </c>
      <c r="B519" s="149" t="s">
        <v>727</v>
      </c>
      <c r="C519" s="15">
        <v>1</v>
      </c>
      <c r="D519" s="29" t="s">
        <v>8</v>
      </c>
      <c r="E519" s="95" t="s">
        <v>504</v>
      </c>
      <c r="F519" s="96" t="s">
        <v>373</v>
      </c>
      <c r="G519" s="97" t="s">
        <v>319</v>
      </c>
      <c r="H519" s="125" t="s">
        <v>347</v>
      </c>
      <c r="I519" s="125" t="s">
        <v>372</v>
      </c>
      <c r="J519" s="94">
        <v>1050</v>
      </c>
      <c r="K519" s="68">
        <f t="shared" si="69"/>
        <v>770.38499999999999</v>
      </c>
      <c r="L519" s="96">
        <v>0.73370000000000002</v>
      </c>
      <c r="M519" s="94">
        <v>1200</v>
      </c>
      <c r="N519" s="94">
        <f t="shared" si="72"/>
        <v>1050</v>
      </c>
      <c r="O519" s="94">
        <f t="shared" si="73"/>
        <v>150</v>
      </c>
    </row>
    <row r="520" spans="1:15" ht="15.5" x14ac:dyDescent="0.25">
      <c r="A520" s="149">
        <v>46231</v>
      </c>
      <c r="B520" s="149" t="s">
        <v>727</v>
      </c>
      <c r="C520" s="15">
        <v>1</v>
      </c>
      <c r="D520" s="29" t="s">
        <v>8</v>
      </c>
      <c r="E520" s="95" t="s">
        <v>270</v>
      </c>
      <c r="F520" s="96" t="s">
        <v>314</v>
      </c>
      <c r="G520" s="236" t="s">
        <v>328</v>
      </c>
      <c r="H520" s="125" t="s">
        <v>272</v>
      </c>
      <c r="I520" s="96" t="s">
        <v>313</v>
      </c>
      <c r="J520" s="94">
        <v>130</v>
      </c>
      <c r="K520" s="68">
        <f t="shared" si="69"/>
        <v>273.23399999999998</v>
      </c>
      <c r="L520" s="96">
        <v>2.1017999999999999</v>
      </c>
      <c r="M520" s="94">
        <v>130</v>
      </c>
      <c r="N520" s="94">
        <f t="shared" si="72"/>
        <v>130</v>
      </c>
      <c r="O520" s="94">
        <f t="shared" si="73"/>
        <v>0</v>
      </c>
    </row>
    <row r="521" spans="1:15" ht="15.5" x14ac:dyDescent="0.25">
      <c r="A521" s="149">
        <v>46231</v>
      </c>
      <c r="B521" s="149" t="s">
        <v>727</v>
      </c>
      <c r="C521" s="15">
        <v>1</v>
      </c>
      <c r="D521" s="29" t="s">
        <v>8</v>
      </c>
      <c r="E521" s="95" t="s">
        <v>457</v>
      </c>
      <c r="F521" s="97" t="s">
        <v>346</v>
      </c>
      <c r="G521" s="234" t="s">
        <v>319</v>
      </c>
      <c r="H521" s="235" t="s">
        <v>347</v>
      </c>
      <c r="I521" s="97" t="s">
        <v>345</v>
      </c>
      <c r="J521" s="94">
        <v>500</v>
      </c>
      <c r="K521" s="68">
        <f t="shared" si="69"/>
        <v>371.5</v>
      </c>
      <c r="L521" s="96">
        <v>0.74299999999999999</v>
      </c>
      <c r="M521" s="94">
        <v>500</v>
      </c>
      <c r="N521" s="94">
        <f t="shared" si="72"/>
        <v>500</v>
      </c>
      <c r="O521" s="94">
        <f t="shared" si="73"/>
        <v>0</v>
      </c>
    </row>
    <row r="522" spans="1:15" ht="15.5" x14ac:dyDescent="0.25">
      <c r="A522" s="149">
        <v>46231</v>
      </c>
      <c r="B522" s="149" t="s">
        <v>727</v>
      </c>
      <c r="C522" s="15">
        <v>1</v>
      </c>
      <c r="D522" s="29" t="s">
        <v>8</v>
      </c>
      <c r="E522" s="95" t="s">
        <v>457</v>
      </c>
      <c r="F522" s="97" t="s">
        <v>562</v>
      </c>
      <c r="G522" s="234" t="s">
        <v>319</v>
      </c>
      <c r="H522" s="235" t="s">
        <v>110</v>
      </c>
      <c r="I522" s="97" t="s">
        <v>468</v>
      </c>
      <c r="J522" s="94">
        <v>75</v>
      </c>
      <c r="K522" s="68">
        <f t="shared" si="69"/>
        <v>83.43</v>
      </c>
      <c r="L522" s="96">
        <v>1.1124000000000001</v>
      </c>
      <c r="M522" s="94">
        <v>675</v>
      </c>
      <c r="N522" s="94">
        <f t="shared" si="72"/>
        <v>75</v>
      </c>
      <c r="O522" s="94">
        <f t="shared" si="73"/>
        <v>600</v>
      </c>
    </row>
    <row r="523" spans="1:15" ht="15.5" x14ac:dyDescent="0.25">
      <c r="A523" s="149">
        <v>46231</v>
      </c>
      <c r="B523" s="149" t="s">
        <v>727</v>
      </c>
      <c r="C523" s="15">
        <v>1</v>
      </c>
      <c r="D523" s="29" t="s">
        <v>8</v>
      </c>
      <c r="E523" s="95" t="s">
        <v>504</v>
      </c>
      <c r="F523" s="96" t="s">
        <v>378</v>
      </c>
      <c r="G523" s="234" t="s">
        <v>319</v>
      </c>
      <c r="H523" s="235" t="s">
        <v>344</v>
      </c>
      <c r="I523" s="97" t="s">
        <v>377</v>
      </c>
      <c r="J523" s="94">
        <v>250</v>
      </c>
      <c r="K523" s="68">
        <f t="shared" si="69"/>
        <v>201.25</v>
      </c>
      <c r="L523" s="96">
        <v>0.80500000000000005</v>
      </c>
      <c r="M523" s="94">
        <v>300</v>
      </c>
      <c r="N523" s="94">
        <f t="shared" si="72"/>
        <v>250</v>
      </c>
      <c r="O523" s="94">
        <f t="shared" si="73"/>
        <v>50</v>
      </c>
    </row>
    <row r="524" spans="1:15" ht="15.5" x14ac:dyDescent="0.25">
      <c r="A524" s="149">
        <v>46232</v>
      </c>
      <c r="B524" s="149" t="s">
        <v>727</v>
      </c>
      <c r="C524" s="15">
        <v>1</v>
      </c>
      <c r="D524" s="29" t="s">
        <v>8</v>
      </c>
      <c r="E524" s="98" t="s">
        <v>502</v>
      </c>
      <c r="F524" s="99" t="s">
        <v>289</v>
      </c>
      <c r="G524" s="237" t="s">
        <v>408</v>
      </c>
      <c r="H524" s="238" t="s">
        <v>193</v>
      </c>
      <c r="I524" s="126" t="s">
        <v>288</v>
      </c>
      <c r="J524" s="239">
        <v>850</v>
      </c>
      <c r="K524" s="68">
        <f t="shared" si="69"/>
        <v>1321.75</v>
      </c>
      <c r="L524" s="99">
        <v>1.5549999999999999</v>
      </c>
      <c r="M524" s="94">
        <v>1710</v>
      </c>
      <c r="N524" s="94">
        <f t="shared" si="72"/>
        <v>850</v>
      </c>
      <c r="O524" s="94">
        <f t="shared" si="73"/>
        <v>860</v>
      </c>
    </row>
    <row r="525" spans="1:15" ht="15.5" x14ac:dyDescent="0.25">
      <c r="A525" s="149">
        <v>46232</v>
      </c>
      <c r="B525" s="149" t="s">
        <v>727</v>
      </c>
      <c r="C525" s="15">
        <v>1</v>
      </c>
      <c r="D525" s="29" t="s">
        <v>8</v>
      </c>
      <c r="E525" s="98" t="s">
        <v>457</v>
      </c>
      <c r="F525" s="99" t="s">
        <v>360</v>
      </c>
      <c r="G525" s="237" t="s">
        <v>319</v>
      </c>
      <c r="H525" s="238" t="s">
        <v>116</v>
      </c>
      <c r="I525" s="126" t="s">
        <v>359</v>
      </c>
      <c r="J525" s="239">
        <v>200</v>
      </c>
      <c r="K525" s="68">
        <f t="shared" si="69"/>
        <v>254.4</v>
      </c>
      <c r="L525" s="99">
        <v>1.272</v>
      </c>
      <c r="M525" s="94">
        <v>200</v>
      </c>
      <c r="N525" s="94">
        <f t="shared" si="72"/>
        <v>200</v>
      </c>
      <c r="O525" s="94">
        <f t="shared" si="73"/>
        <v>0</v>
      </c>
    </row>
    <row r="526" spans="1:15" ht="15.5" x14ac:dyDescent="0.25">
      <c r="A526" s="149">
        <v>46232</v>
      </c>
      <c r="B526" s="149" t="s">
        <v>727</v>
      </c>
      <c r="C526" s="15">
        <v>1</v>
      </c>
      <c r="D526" s="29" t="s">
        <v>8</v>
      </c>
      <c r="E526" s="98" t="s">
        <v>504</v>
      </c>
      <c r="F526" s="99" t="s">
        <v>375</v>
      </c>
      <c r="G526" s="237" t="s">
        <v>319</v>
      </c>
      <c r="H526" s="238" t="s">
        <v>347</v>
      </c>
      <c r="I526" s="98" t="s">
        <v>374</v>
      </c>
      <c r="J526" s="239">
        <f>575+150</f>
        <v>725</v>
      </c>
      <c r="K526" s="68">
        <f t="shared" si="69"/>
        <v>531.9325</v>
      </c>
      <c r="L526" s="99">
        <v>0.73370000000000002</v>
      </c>
      <c r="M526" s="94">
        <v>2400</v>
      </c>
      <c r="N526" s="94">
        <f t="shared" si="72"/>
        <v>725</v>
      </c>
      <c r="O526" s="94">
        <f t="shared" si="73"/>
        <v>1675</v>
      </c>
    </row>
    <row r="527" spans="1:15" ht="15.5" x14ac:dyDescent="0.25">
      <c r="A527" s="149">
        <v>46232</v>
      </c>
      <c r="B527" s="149" t="s">
        <v>727</v>
      </c>
      <c r="C527" s="15">
        <v>1</v>
      </c>
      <c r="D527" s="29" t="s">
        <v>8</v>
      </c>
      <c r="E527" s="98" t="s">
        <v>504</v>
      </c>
      <c r="F527" s="99" t="s">
        <v>373</v>
      </c>
      <c r="G527" s="126" t="s">
        <v>319</v>
      </c>
      <c r="H527" s="127" t="s">
        <v>347</v>
      </c>
      <c r="I527" s="127" t="s">
        <v>372</v>
      </c>
      <c r="J527" s="239">
        <v>150</v>
      </c>
      <c r="K527" s="68">
        <f t="shared" si="69"/>
        <v>110.05500000000001</v>
      </c>
      <c r="L527" s="99">
        <v>0.73370000000000002</v>
      </c>
      <c r="M527" s="94">
        <v>150</v>
      </c>
      <c r="N527" s="94">
        <f t="shared" si="72"/>
        <v>150</v>
      </c>
      <c r="O527" s="94">
        <f t="shared" si="73"/>
        <v>0</v>
      </c>
    </row>
    <row r="528" spans="1:15" ht="15.5" x14ac:dyDescent="0.25">
      <c r="A528" s="149">
        <v>46232</v>
      </c>
      <c r="B528" s="149" t="s">
        <v>727</v>
      </c>
      <c r="C528" s="15">
        <v>1</v>
      </c>
      <c r="D528" s="29" t="s">
        <v>8</v>
      </c>
      <c r="E528" s="98" t="s">
        <v>270</v>
      </c>
      <c r="F528" s="99" t="s">
        <v>412</v>
      </c>
      <c r="G528" s="237" t="s">
        <v>328</v>
      </c>
      <c r="H528" s="238" t="s">
        <v>413</v>
      </c>
      <c r="I528" s="126" t="s">
        <v>411</v>
      </c>
      <c r="J528" s="239">
        <v>120</v>
      </c>
      <c r="K528" s="68">
        <f t="shared" si="69"/>
        <v>266.38799999999998</v>
      </c>
      <c r="L528" s="99">
        <v>2.2199</v>
      </c>
      <c r="M528" s="94">
        <v>630</v>
      </c>
      <c r="N528" s="94">
        <f t="shared" si="72"/>
        <v>120</v>
      </c>
      <c r="O528" s="94">
        <f t="shared" si="73"/>
        <v>510</v>
      </c>
    </row>
    <row r="529" spans="1:15" ht="15.5" x14ac:dyDescent="0.25">
      <c r="A529" s="149">
        <v>46232</v>
      </c>
      <c r="B529" s="149" t="s">
        <v>727</v>
      </c>
      <c r="C529" s="15">
        <v>1</v>
      </c>
      <c r="D529" s="29" t="s">
        <v>8</v>
      </c>
      <c r="E529" s="98" t="s">
        <v>504</v>
      </c>
      <c r="F529" s="99" t="s">
        <v>378</v>
      </c>
      <c r="G529" s="237" t="s">
        <v>319</v>
      </c>
      <c r="H529" s="238" t="s">
        <v>344</v>
      </c>
      <c r="I529" s="126" t="s">
        <v>377</v>
      </c>
      <c r="J529" s="239">
        <v>50</v>
      </c>
      <c r="K529" s="68">
        <f t="shared" si="69"/>
        <v>40.25</v>
      </c>
      <c r="L529" s="99">
        <v>0.80500000000000005</v>
      </c>
      <c r="M529" s="94">
        <v>50</v>
      </c>
      <c r="N529" s="94">
        <f t="shared" si="72"/>
        <v>50</v>
      </c>
      <c r="O529" s="94">
        <f t="shared" si="73"/>
        <v>0</v>
      </c>
    </row>
    <row r="530" spans="1:15" ht="15.5" x14ac:dyDescent="0.25">
      <c r="A530" s="149">
        <v>46232</v>
      </c>
      <c r="B530" s="149" t="s">
        <v>727</v>
      </c>
      <c r="C530" s="15">
        <v>1</v>
      </c>
      <c r="D530" s="29" t="s">
        <v>8</v>
      </c>
      <c r="E530" s="100" t="s">
        <v>457</v>
      </c>
      <c r="F530" s="101" t="s">
        <v>562</v>
      </c>
      <c r="G530" s="240" t="s">
        <v>319</v>
      </c>
      <c r="H530" s="241" t="s">
        <v>110</v>
      </c>
      <c r="I530" s="101" t="s">
        <v>468</v>
      </c>
      <c r="J530" s="242">
        <v>600</v>
      </c>
      <c r="K530" s="68">
        <f t="shared" ref="K530:K593" si="74">L530*J530</f>
        <v>667.44</v>
      </c>
      <c r="L530" s="243">
        <v>1.1124000000000001</v>
      </c>
      <c r="M530" s="244">
        <v>600</v>
      </c>
      <c r="N530" s="244">
        <f t="shared" si="72"/>
        <v>600</v>
      </c>
      <c r="O530" s="244">
        <f t="shared" si="73"/>
        <v>0</v>
      </c>
    </row>
    <row r="531" spans="1:15" ht="15.5" x14ac:dyDescent="0.25">
      <c r="A531" s="149">
        <v>46233</v>
      </c>
      <c r="B531" s="149" t="s">
        <v>727</v>
      </c>
      <c r="C531" s="15">
        <v>1</v>
      </c>
      <c r="D531" s="29" t="s">
        <v>8</v>
      </c>
      <c r="E531" s="49" t="s">
        <v>502</v>
      </c>
      <c r="F531" s="50" t="s">
        <v>289</v>
      </c>
      <c r="G531" s="196" t="s">
        <v>408</v>
      </c>
      <c r="H531" s="197" t="s">
        <v>193</v>
      </c>
      <c r="I531" s="67" t="s">
        <v>288</v>
      </c>
      <c r="J531" s="185">
        <f>710+150</f>
        <v>860</v>
      </c>
      <c r="K531" s="68">
        <f t="shared" si="74"/>
        <v>1337.3</v>
      </c>
      <c r="L531" s="50">
        <v>1.5549999999999999</v>
      </c>
      <c r="M531" s="244">
        <v>860</v>
      </c>
      <c r="N531" s="244">
        <f t="shared" si="72"/>
        <v>860</v>
      </c>
      <c r="O531" s="244">
        <f t="shared" si="73"/>
        <v>0</v>
      </c>
    </row>
    <row r="532" spans="1:15" ht="15.5" x14ac:dyDescent="0.25">
      <c r="A532" s="149">
        <v>46233</v>
      </c>
      <c r="B532" s="149" t="s">
        <v>727</v>
      </c>
      <c r="C532" s="15">
        <v>1</v>
      </c>
      <c r="D532" s="29" t="s">
        <v>8</v>
      </c>
      <c r="E532" s="49" t="s">
        <v>502</v>
      </c>
      <c r="F532" s="50" t="s">
        <v>561</v>
      </c>
      <c r="G532" s="196" t="s">
        <v>408</v>
      </c>
      <c r="H532" s="197" t="s">
        <v>292</v>
      </c>
      <c r="I532" s="67" t="s">
        <v>290</v>
      </c>
      <c r="J532" s="185">
        <v>75</v>
      </c>
      <c r="K532" s="68">
        <f t="shared" si="74"/>
        <v>81.224999999999994</v>
      </c>
      <c r="L532" s="50">
        <v>1.083</v>
      </c>
      <c r="M532" s="244">
        <v>75</v>
      </c>
      <c r="N532" s="244">
        <f t="shared" si="72"/>
        <v>75</v>
      </c>
      <c r="O532" s="244">
        <f t="shared" si="73"/>
        <v>0</v>
      </c>
    </row>
    <row r="533" spans="1:15" ht="15.5" x14ac:dyDescent="0.25">
      <c r="A533" s="149">
        <v>46233</v>
      </c>
      <c r="B533" s="149" t="s">
        <v>727</v>
      </c>
      <c r="C533" s="15">
        <v>1</v>
      </c>
      <c r="D533" s="29" t="s">
        <v>8</v>
      </c>
      <c r="E533" s="49" t="s">
        <v>502</v>
      </c>
      <c r="F533" s="50" t="s">
        <v>286</v>
      </c>
      <c r="G533" s="196" t="s">
        <v>408</v>
      </c>
      <c r="H533" s="197" t="s">
        <v>287</v>
      </c>
      <c r="I533" s="67" t="s">
        <v>285</v>
      </c>
      <c r="J533" s="185">
        <v>25</v>
      </c>
      <c r="K533" s="68">
        <f t="shared" si="74"/>
        <v>48.55</v>
      </c>
      <c r="L533" s="50">
        <v>1.9419999999999999</v>
      </c>
      <c r="M533" s="244">
        <v>1050</v>
      </c>
      <c r="N533" s="244">
        <f t="shared" si="72"/>
        <v>25</v>
      </c>
      <c r="O533" s="244">
        <f t="shared" si="73"/>
        <v>1025</v>
      </c>
    </row>
    <row r="534" spans="1:15" ht="15.5" x14ac:dyDescent="0.25">
      <c r="A534" s="149">
        <v>46233</v>
      </c>
      <c r="B534" s="149" t="s">
        <v>727</v>
      </c>
      <c r="C534" s="15">
        <v>1</v>
      </c>
      <c r="D534" s="29" t="s">
        <v>8</v>
      </c>
      <c r="E534" s="49" t="s">
        <v>419</v>
      </c>
      <c r="F534" s="50" t="s">
        <v>423</v>
      </c>
      <c r="G534" s="196" t="s">
        <v>319</v>
      </c>
      <c r="H534" s="197" t="s">
        <v>413</v>
      </c>
      <c r="I534" s="67" t="s">
        <v>422</v>
      </c>
      <c r="J534" s="185">
        <v>200</v>
      </c>
      <c r="K534" s="68">
        <f t="shared" si="74"/>
        <v>479</v>
      </c>
      <c r="L534" s="50">
        <v>2.395</v>
      </c>
      <c r="M534" s="244">
        <v>300</v>
      </c>
      <c r="N534" s="244">
        <f t="shared" si="72"/>
        <v>200</v>
      </c>
      <c r="O534" s="244">
        <f t="shared" si="73"/>
        <v>100</v>
      </c>
    </row>
    <row r="535" spans="1:15" ht="15.5" x14ac:dyDescent="0.25">
      <c r="A535" s="149">
        <v>46233</v>
      </c>
      <c r="B535" s="149" t="s">
        <v>727</v>
      </c>
      <c r="C535" s="15">
        <v>1</v>
      </c>
      <c r="D535" s="29" t="s">
        <v>8</v>
      </c>
      <c r="E535" s="49" t="s">
        <v>504</v>
      </c>
      <c r="F535" s="50" t="s">
        <v>375</v>
      </c>
      <c r="G535" s="196" t="s">
        <v>319</v>
      </c>
      <c r="H535" s="197" t="s">
        <v>347</v>
      </c>
      <c r="I535" s="49" t="s">
        <v>374</v>
      </c>
      <c r="J535" s="185">
        <f>675+1000</f>
        <v>1675</v>
      </c>
      <c r="K535" s="68">
        <f t="shared" si="74"/>
        <v>1228.9475</v>
      </c>
      <c r="L535" s="50">
        <v>0.73370000000000002</v>
      </c>
      <c r="M535" s="244">
        <v>1675</v>
      </c>
      <c r="N535" s="244">
        <f t="shared" si="72"/>
        <v>1675</v>
      </c>
      <c r="O535" s="244">
        <f t="shared" si="73"/>
        <v>0</v>
      </c>
    </row>
    <row r="536" spans="1:15" ht="15.5" x14ac:dyDescent="0.25">
      <c r="A536" s="149">
        <v>46233</v>
      </c>
      <c r="B536" s="149" t="s">
        <v>727</v>
      </c>
      <c r="C536" s="15">
        <v>1</v>
      </c>
      <c r="D536" s="29" t="s">
        <v>8</v>
      </c>
      <c r="E536" s="49" t="s">
        <v>457</v>
      </c>
      <c r="F536" s="50" t="s">
        <v>351</v>
      </c>
      <c r="G536" s="67" t="s">
        <v>319</v>
      </c>
      <c r="H536" s="52" t="s">
        <v>400</v>
      </c>
      <c r="I536" s="52" t="s">
        <v>350</v>
      </c>
      <c r="J536" s="185">
        <v>300</v>
      </c>
      <c r="K536" s="68">
        <f t="shared" si="74"/>
        <v>218.7</v>
      </c>
      <c r="L536" s="50">
        <v>0.72899999999999998</v>
      </c>
      <c r="M536" s="244">
        <v>300</v>
      </c>
      <c r="N536" s="244">
        <f t="shared" si="72"/>
        <v>300</v>
      </c>
      <c r="O536" s="244">
        <f t="shared" si="73"/>
        <v>0</v>
      </c>
    </row>
    <row r="537" spans="1:15" ht="15.5" x14ac:dyDescent="0.25">
      <c r="A537" s="149">
        <v>46233</v>
      </c>
      <c r="B537" s="149" t="s">
        <v>727</v>
      </c>
      <c r="C537" s="15">
        <v>1</v>
      </c>
      <c r="D537" s="29" t="s">
        <v>8</v>
      </c>
      <c r="E537" s="28" t="s">
        <v>270</v>
      </c>
      <c r="F537" s="29" t="s">
        <v>412</v>
      </c>
      <c r="G537" s="27" t="s">
        <v>328</v>
      </c>
      <c r="H537" s="175" t="s">
        <v>413</v>
      </c>
      <c r="I537" s="48" t="s">
        <v>411</v>
      </c>
      <c r="J537" s="183">
        <v>145</v>
      </c>
      <c r="K537" s="68">
        <f t="shared" si="74"/>
        <v>321.88549999999998</v>
      </c>
      <c r="L537" s="29">
        <v>2.2199</v>
      </c>
      <c r="M537" s="244">
        <v>510</v>
      </c>
      <c r="N537" s="244">
        <f t="shared" si="72"/>
        <v>145</v>
      </c>
      <c r="O537" s="244">
        <f t="shared" si="73"/>
        <v>365</v>
      </c>
    </row>
    <row r="538" spans="1:15" ht="15.5" x14ac:dyDescent="0.25">
      <c r="A538" s="149">
        <v>46234</v>
      </c>
      <c r="B538" s="149" t="s">
        <v>727</v>
      </c>
      <c r="C538" s="15">
        <v>1</v>
      </c>
      <c r="D538" s="29" t="s">
        <v>8</v>
      </c>
      <c r="E538" s="49" t="s">
        <v>502</v>
      </c>
      <c r="F538" s="50" t="s">
        <v>286</v>
      </c>
      <c r="G538" s="196" t="s">
        <v>408</v>
      </c>
      <c r="H538" s="197" t="s">
        <v>287</v>
      </c>
      <c r="I538" s="67" t="s">
        <v>285</v>
      </c>
      <c r="J538" s="185">
        <v>550</v>
      </c>
      <c r="K538" s="68">
        <f t="shared" si="74"/>
        <v>1068.0999999999999</v>
      </c>
      <c r="L538" s="50">
        <v>1.9419999999999999</v>
      </c>
      <c r="M538" s="244">
        <v>1025</v>
      </c>
      <c r="N538" s="244">
        <f t="shared" si="72"/>
        <v>550</v>
      </c>
      <c r="O538" s="244">
        <f t="shared" si="73"/>
        <v>475</v>
      </c>
    </row>
    <row r="539" spans="1:15" ht="15.5" x14ac:dyDescent="0.25">
      <c r="A539" s="149">
        <v>46234</v>
      </c>
      <c r="B539" s="149" t="s">
        <v>727</v>
      </c>
      <c r="C539" s="15">
        <v>1</v>
      </c>
      <c r="D539" s="29" t="s">
        <v>8</v>
      </c>
      <c r="E539" s="49" t="s">
        <v>419</v>
      </c>
      <c r="F539" s="50" t="s">
        <v>423</v>
      </c>
      <c r="G539" s="196" t="s">
        <v>319</v>
      </c>
      <c r="H539" s="197" t="s">
        <v>413</v>
      </c>
      <c r="I539" s="67" t="s">
        <v>422</v>
      </c>
      <c r="J539" s="185">
        <v>100</v>
      </c>
      <c r="K539" s="68">
        <f t="shared" si="74"/>
        <v>239.5</v>
      </c>
      <c r="L539" s="50">
        <v>2.395</v>
      </c>
      <c r="M539" s="244">
        <v>100</v>
      </c>
      <c r="N539" s="244">
        <f t="shared" si="72"/>
        <v>100</v>
      </c>
      <c r="O539" s="244">
        <f t="shared" si="73"/>
        <v>0</v>
      </c>
    </row>
    <row r="540" spans="1:15" ht="15.5" x14ac:dyDescent="0.25">
      <c r="A540" s="149">
        <v>46234</v>
      </c>
      <c r="B540" s="149" t="s">
        <v>727</v>
      </c>
      <c r="C540" s="15">
        <v>1</v>
      </c>
      <c r="D540" s="29" t="s">
        <v>8</v>
      </c>
      <c r="E540" s="49" t="s">
        <v>504</v>
      </c>
      <c r="F540" s="50" t="s">
        <v>384</v>
      </c>
      <c r="G540" s="196" t="s">
        <v>319</v>
      </c>
      <c r="H540" s="197" t="s">
        <v>344</v>
      </c>
      <c r="I540" s="49" t="s">
        <v>383</v>
      </c>
      <c r="J540" s="185">
        <v>475</v>
      </c>
      <c r="K540" s="68">
        <f t="shared" si="74"/>
        <v>382.375</v>
      </c>
      <c r="L540" s="50">
        <v>0.80500000000000005</v>
      </c>
      <c r="M540" s="244">
        <v>1000</v>
      </c>
      <c r="N540" s="244">
        <f t="shared" si="72"/>
        <v>475</v>
      </c>
      <c r="O540" s="244">
        <f t="shared" si="73"/>
        <v>525</v>
      </c>
    </row>
    <row r="541" spans="1:15" ht="15.5" x14ac:dyDescent="0.25">
      <c r="A541" s="149">
        <v>46234</v>
      </c>
      <c r="B541" s="149" t="s">
        <v>727</v>
      </c>
      <c r="C541" s="15">
        <v>1</v>
      </c>
      <c r="D541" s="29" t="s">
        <v>8</v>
      </c>
      <c r="E541" s="49" t="s">
        <v>573</v>
      </c>
      <c r="F541" s="50" t="s">
        <v>574</v>
      </c>
      <c r="G541" s="196" t="s">
        <v>319</v>
      </c>
      <c r="H541" s="197" t="s">
        <v>193</v>
      </c>
      <c r="I541" s="67" t="s">
        <v>453</v>
      </c>
      <c r="J541" s="185">
        <v>500</v>
      </c>
      <c r="K541" s="68">
        <f t="shared" si="74"/>
        <v>583.55000000000007</v>
      </c>
      <c r="L541" s="50">
        <v>1.1671</v>
      </c>
      <c r="M541" s="244">
        <v>1520</v>
      </c>
      <c r="N541" s="244">
        <f t="shared" si="72"/>
        <v>500</v>
      </c>
      <c r="O541" s="244">
        <f t="shared" si="73"/>
        <v>1020</v>
      </c>
    </row>
    <row r="542" spans="1:15" ht="15.5" x14ac:dyDescent="0.25">
      <c r="A542" s="149">
        <v>46234</v>
      </c>
      <c r="B542" s="149" t="s">
        <v>727</v>
      </c>
      <c r="C542" s="15">
        <v>1</v>
      </c>
      <c r="D542" s="29" t="s">
        <v>8</v>
      </c>
      <c r="E542" s="28" t="s">
        <v>457</v>
      </c>
      <c r="F542" s="29" t="s">
        <v>501</v>
      </c>
      <c r="G542" s="27" t="s">
        <v>319</v>
      </c>
      <c r="H542" s="175" t="s">
        <v>344</v>
      </c>
      <c r="I542" s="48" t="s">
        <v>342</v>
      </c>
      <c r="J542" s="183">
        <v>200</v>
      </c>
      <c r="K542" s="68">
        <f t="shared" si="74"/>
        <v>151.80000000000001</v>
      </c>
      <c r="L542" s="29">
        <v>0.75900000000000001</v>
      </c>
      <c r="M542" s="244">
        <v>200</v>
      </c>
      <c r="N542" s="244">
        <f t="shared" si="72"/>
        <v>200</v>
      </c>
      <c r="O542" s="244">
        <f t="shared" si="73"/>
        <v>0</v>
      </c>
    </row>
    <row r="543" spans="1:15" ht="15.5" x14ac:dyDescent="0.25">
      <c r="A543" s="149">
        <v>46234</v>
      </c>
      <c r="B543" s="149" t="s">
        <v>727</v>
      </c>
      <c r="C543" s="68">
        <v>1</v>
      </c>
      <c r="D543" s="68" t="s">
        <v>8</v>
      </c>
      <c r="E543" s="68" t="s">
        <v>457</v>
      </c>
      <c r="F543" s="68" t="s">
        <v>354</v>
      </c>
      <c r="G543" s="68" t="s">
        <v>319</v>
      </c>
      <c r="H543" s="68" t="s">
        <v>344</v>
      </c>
      <c r="I543" s="68" t="s">
        <v>353</v>
      </c>
      <c r="J543" s="68">
        <v>50</v>
      </c>
      <c r="K543" s="68">
        <f t="shared" si="74"/>
        <v>48.199999999999996</v>
      </c>
      <c r="L543" s="68">
        <v>0.96399999999999997</v>
      </c>
      <c r="M543" s="68">
        <v>50</v>
      </c>
      <c r="N543" s="68">
        <f t="shared" si="72"/>
        <v>50</v>
      </c>
      <c r="O543" s="68">
        <f t="shared" si="73"/>
        <v>0</v>
      </c>
    </row>
    <row r="544" spans="1:15" ht="15.5" x14ac:dyDescent="0.25">
      <c r="A544" s="149">
        <v>46235</v>
      </c>
      <c r="B544" s="149" t="s">
        <v>728</v>
      </c>
      <c r="C544" s="68">
        <v>1</v>
      </c>
      <c r="D544" s="68" t="s">
        <v>8</v>
      </c>
      <c r="E544" s="68" t="s">
        <v>502</v>
      </c>
      <c r="F544" s="68" t="s">
        <v>286</v>
      </c>
      <c r="G544" s="68" t="s">
        <v>408</v>
      </c>
      <c r="H544" s="68" t="s">
        <v>287</v>
      </c>
      <c r="I544" s="68" t="s">
        <v>285</v>
      </c>
      <c r="J544" s="68">
        <f>375+100</f>
        <v>475</v>
      </c>
      <c r="K544" s="68">
        <f t="shared" si="74"/>
        <v>922.44999999999993</v>
      </c>
      <c r="L544" s="68">
        <v>1.9419999999999999</v>
      </c>
      <c r="M544" s="68">
        <v>475</v>
      </c>
      <c r="N544" s="68">
        <f t="shared" si="72"/>
        <v>475</v>
      </c>
      <c r="O544" s="68">
        <f t="shared" si="73"/>
        <v>0</v>
      </c>
    </row>
    <row r="545" spans="1:15" ht="15.5" x14ac:dyDescent="0.25">
      <c r="A545" s="149">
        <v>46235</v>
      </c>
      <c r="B545" s="149" t="s">
        <v>728</v>
      </c>
      <c r="C545" s="68">
        <v>1</v>
      </c>
      <c r="D545" s="68" t="s">
        <v>8</v>
      </c>
      <c r="E545" s="68" t="s">
        <v>502</v>
      </c>
      <c r="F545" s="68" t="s">
        <v>278</v>
      </c>
      <c r="G545" s="68" t="s">
        <v>575</v>
      </c>
      <c r="H545" s="68" t="s">
        <v>279</v>
      </c>
      <c r="I545" s="68" t="s">
        <v>276</v>
      </c>
      <c r="J545" s="68">
        <v>850</v>
      </c>
      <c r="K545" s="68">
        <f t="shared" si="74"/>
        <v>618.79999999999995</v>
      </c>
      <c r="L545" s="68">
        <v>0.72799999999999998</v>
      </c>
      <c r="M545" s="68">
        <v>2400</v>
      </c>
      <c r="N545" s="68">
        <f t="shared" si="72"/>
        <v>850</v>
      </c>
      <c r="O545" s="68">
        <f t="shared" si="73"/>
        <v>1550</v>
      </c>
    </row>
    <row r="546" spans="1:15" ht="15.5" x14ac:dyDescent="0.25">
      <c r="A546" s="149">
        <v>46235</v>
      </c>
      <c r="B546" s="149" t="s">
        <v>728</v>
      </c>
      <c r="C546" s="68">
        <v>1</v>
      </c>
      <c r="D546" s="68" t="s">
        <v>8</v>
      </c>
      <c r="E546" s="68" t="s">
        <v>457</v>
      </c>
      <c r="F546" s="68" t="s">
        <v>576</v>
      </c>
      <c r="G546" s="68" t="s">
        <v>319</v>
      </c>
      <c r="H546" s="68" t="s">
        <v>118</v>
      </c>
      <c r="I546" s="68" t="s">
        <v>464</v>
      </c>
      <c r="J546" s="68">
        <v>925</v>
      </c>
      <c r="K546" s="68">
        <f t="shared" si="74"/>
        <v>804.93499999999995</v>
      </c>
      <c r="L546" s="68">
        <v>0.87019999999999997</v>
      </c>
      <c r="M546" s="68">
        <v>1500</v>
      </c>
      <c r="N546" s="68">
        <f t="shared" si="72"/>
        <v>925</v>
      </c>
      <c r="O546" s="68">
        <f t="shared" si="73"/>
        <v>575</v>
      </c>
    </row>
    <row r="547" spans="1:15" ht="15.5" x14ac:dyDescent="0.25">
      <c r="A547" s="149">
        <v>46235</v>
      </c>
      <c r="B547" s="149" t="s">
        <v>728</v>
      </c>
      <c r="C547" s="68">
        <v>1</v>
      </c>
      <c r="D547" s="68" t="s">
        <v>8</v>
      </c>
      <c r="E547" s="68" t="s">
        <v>270</v>
      </c>
      <c r="F547" s="68" t="s">
        <v>412</v>
      </c>
      <c r="G547" s="68" t="s">
        <v>328</v>
      </c>
      <c r="H547" s="68" t="s">
        <v>413</v>
      </c>
      <c r="I547" s="68" t="s">
        <v>411</v>
      </c>
      <c r="J547" s="68">
        <v>110</v>
      </c>
      <c r="K547" s="68">
        <f t="shared" si="74"/>
        <v>244.18899999999999</v>
      </c>
      <c r="L547" s="68">
        <v>2.2199</v>
      </c>
      <c r="M547" s="68">
        <v>365</v>
      </c>
      <c r="N547" s="68">
        <f t="shared" si="72"/>
        <v>110</v>
      </c>
      <c r="O547" s="68">
        <f t="shared" si="73"/>
        <v>255</v>
      </c>
    </row>
    <row r="548" spans="1:15" ht="15.5" x14ac:dyDescent="0.25">
      <c r="A548" s="149">
        <v>46235</v>
      </c>
      <c r="B548" s="149" t="s">
        <v>728</v>
      </c>
      <c r="C548" s="68">
        <v>1</v>
      </c>
      <c r="D548" s="68" t="s">
        <v>8</v>
      </c>
      <c r="E548" s="68" t="s">
        <v>504</v>
      </c>
      <c r="F548" s="68" t="s">
        <v>380</v>
      </c>
      <c r="G548" s="68" t="s">
        <v>319</v>
      </c>
      <c r="H548" s="68" t="s">
        <v>344</v>
      </c>
      <c r="I548" s="68" t="s">
        <v>379</v>
      </c>
      <c r="J548" s="68">
        <v>500</v>
      </c>
      <c r="K548" s="68">
        <f t="shared" si="74"/>
        <v>402.5</v>
      </c>
      <c r="L548" s="68">
        <v>0.80500000000000005</v>
      </c>
      <c r="M548" s="68">
        <v>1000</v>
      </c>
      <c r="N548" s="68">
        <f t="shared" si="72"/>
        <v>500</v>
      </c>
      <c r="O548" s="68">
        <f t="shared" si="73"/>
        <v>500</v>
      </c>
    </row>
    <row r="549" spans="1:15" ht="15.5" x14ac:dyDescent="0.25">
      <c r="A549" s="149">
        <v>46235</v>
      </c>
      <c r="B549" s="149" t="s">
        <v>728</v>
      </c>
      <c r="C549" s="68">
        <v>1</v>
      </c>
      <c r="D549" s="68" t="s">
        <v>8</v>
      </c>
      <c r="E549" s="68" t="s">
        <v>504</v>
      </c>
      <c r="F549" s="68" t="s">
        <v>384</v>
      </c>
      <c r="G549" s="68" t="s">
        <v>319</v>
      </c>
      <c r="H549" s="68" t="s">
        <v>344</v>
      </c>
      <c r="I549" s="68" t="s">
        <v>383</v>
      </c>
      <c r="J549" s="68">
        <v>525</v>
      </c>
      <c r="K549" s="68">
        <f t="shared" si="74"/>
        <v>422.625</v>
      </c>
      <c r="L549" s="68">
        <v>0.80500000000000005</v>
      </c>
      <c r="M549" s="68">
        <v>525</v>
      </c>
      <c r="N549" s="68">
        <f t="shared" si="72"/>
        <v>525</v>
      </c>
      <c r="O549" s="68">
        <f t="shared" si="73"/>
        <v>0</v>
      </c>
    </row>
    <row r="550" spans="1:15" ht="15.5" x14ac:dyDescent="0.25">
      <c r="A550" s="149">
        <v>46237</v>
      </c>
      <c r="B550" s="149" t="s">
        <v>728</v>
      </c>
      <c r="C550" s="68">
        <v>1</v>
      </c>
      <c r="D550" s="68" t="s">
        <v>8</v>
      </c>
      <c r="E550" s="49" t="s">
        <v>140</v>
      </c>
      <c r="F550" s="50" t="s">
        <v>612</v>
      </c>
      <c r="G550" s="196" t="s">
        <v>408</v>
      </c>
      <c r="H550" s="197" t="s">
        <v>613</v>
      </c>
      <c r="I550" s="67" t="s">
        <v>614</v>
      </c>
      <c r="J550" s="185">
        <v>600</v>
      </c>
      <c r="K550" s="68">
        <f t="shared" si="74"/>
        <v>1102.2</v>
      </c>
      <c r="L550" s="50">
        <v>1.837</v>
      </c>
      <c r="M550" s="68">
        <v>13550</v>
      </c>
      <c r="N550" s="68">
        <f t="shared" si="72"/>
        <v>600</v>
      </c>
      <c r="O550" s="68">
        <f t="shared" si="73"/>
        <v>12950</v>
      </c>
    </row>
    <row r="551" spans="1:15" ht="15.5" x14ac:dyDescent="0.25">
      <c r="A551" s="149">
        <v>46237</v>
      </c>
      <c r="B551" s="149" t="s">
        <v>728</v>
      </c>
      <c r="C551" s="68">
        <v>1</v>
      </c>
      <c r="D551" s="68" t="s">
        <v>8</v>
      </c>
      <c r="E551" s="49" t="s">
        <v>502</v>
      </c>
      <c r="F551" s="50" t="s">
        <v>278</v>
      </c>
      <c r="G551" s="196" t="s">
        <v>575</v>
      </c>
      <c r="H551" s="197" t="s">
        <v>279</v>
      </c>
      <c r="I551" s="67" t="s">
        <v>276</v>
      </c>
      <c r="J551" s="185">
        <v>450</v>
      </c>
      <c r="K551" s="68">
        <f t="shared" si="74"/>
        <v>327.59999999999997</v>
      </c>
      <c r="L551" s="50">
        <v>0.72799999999999998</v>
      </c>
      <c r="M551" s="68">
        <v>1550</v>
      </c>
      <c r="N551" s="68">
        <f t="shared" si="72"/>
        <v>450</v>
      </c>
      <c r="O551" s="68">
        <f t="shared" si="73"/>
        <v>1100</v>
      </c>
    </row>
    <row r="552" spans="1:15" ht="15.5" x14ac:dyDescent="0.25">
      <c r="A552" s="149">
        <v>46237</v>
      </c>
      <c r="B552" s="149" t="s">
        <v>728</v>
      </c>
      <c r="C552" s="68">
        <v>1</v>
      </c>
      <c r="D552" s="68" t="s">
        <v>8</v>
      </c>
      <c r="E552" s="49" t="s">
        <v>457</v>
      </c>
      <c r="F552" s="50" t="s">
        <v>576</v>
      </c>
      <c r="G552" s="196" t="s">
        <v>319</v>
      </c>
      <c r="H552" s="197" t="s">
        <v>118</v>
      </c>
      <c r="I552" s="49" t="s">
        <v>464</v>
      </c>
      <c r="J552" s="185">
        <v>575</v>
      </c>
      <c r="K552" s="68">
        <f t="shared" si="74"/>
        <v>500.36500000000001</v>
      </c>
      <c r="L552" s="50">
        <v>0.87019999999999997</v>
      </c>
      <c r="M552" s="68">
        <v>575</v>
      </c>
      <c r="N552" s="68">
        <f t="shared" si="72"/>
        <v>575</v>
      </c>
      <c r="O552" s="68">
        <f t="shared" si="73"/>
        <v>0</v>
      </c>
    </row>
    <row r="553" spans="1:15" ht="15.5" x14ac:dyDescent="0.25">
      <c r="A553" s="149">
        <v>46237</v>
      </c>
      <c r="B553" s="149" t="s">
        <v>728</v>
      </c>
      <c r="C553" s="68">
        <v>1</v>
      </c>
      <c r="D553" s="68" t="s">
        <v>8</v>
      </c>
      <c r="E553" s="49" t="s">
        <v>573</v>
      </c>
      <c r="F553" s="50" t="s">
        <v>574</v>
      </c>
      <c r="G553" s="196" t="s">
        <v>319</v>
      </c>
      <c r="H553" s="197" t="s">
        <v>193</v>
      </c>
      <c r="I553" s="67" t="s">
        <v>453</v>
      </c>
      <c r="J553" s="185">
        <v>200</v>
      </c>
      <c r="K553" s="68">
        <f t="shared" si="74"/>
        <v>233.42000000000002</v>
      </c>
      <c r="L553" s="50">
        <v>1.1671</v>
      </c>
      <c r="M553" s="68">
        <v>1020</v>
      </c>
      <c r="N553" s="68">
        <f t="shared" si="72"/>
        <v>200</v>
      </c>
      <c r="O553" s="68">
        <f t="shared" si="73"/>
        <v>820</v>
      </c>
    </row>
    <row r="554" spans="1:15" ht="15.5" x14ac:dyDescent="0.25">
      <c r="A554" s="149">
        <v>46237</v>
      </c>
      <c r="B554" s="149" t="s">
        <v>728</v>
      </c>
      <c r="C554" s="68">
        <v>1</v>
      </c>
      <c r="D554" s="68" t="s">
        <v>8</v>
      </c>
      <c r="E554" s="28" t="s">
        <v>615</v>
      </c>
      <c r="F554" s="29" t="s">
        <v>616</v>
      </c>
      <c r="G554" s="27" t="s">
        <v>319</v>
      </c>
      <c r="H554" s="175" t="s">
        <v>169</v>
      </c>
      <c r="I554" s="48" t="s">
        <v>390</v>
      </c>
      <c r="J554" s="183">
        <f>340+160</f>
        <v>500</v>
      </c>
      <c r="K554" s="68">
        <f t="shared" si="74"/>
        <v>489.59999999999997</v>
      </c>
      <c r="L554" s="29">
        <v>0.97919999999999996</v>
      </c>
      <c r="M554" s="68">
        <v>500</v>
      </c>
      <c r="N554" s="68">
        <f t="shared" si="72"/>
        <v>500</v>
      </c>
      <c r="O554" s="68">
        <f t="shared" si="73"/>
        <v>0</v>
      </c>
    </row>
    <row r="555" spans="1:15" ht="15.5" x14ac:dyDescent="0.25">
      <c r="A555" s="149">
        <v>46237</v>
      </c>
      <c r="B555" s="149" t="s">
        <v>728</v>
      </c>
      <c r="C555" s="68">
        <v>1</v>
      </c>
      <c r="D555" s="68" t="s">
        <v>8</v>
      </c>
      <c r="E555" s="49" t="s">
        <v>457</v>
      </c>
      <c r="F555" s="50" t="s">
        <v>617</v>
      </c>
      <c r="G555" s="196" t="s">
        <v>319</v>
      </c>
      <c r="H555" s="197" t="s">
        <v>347</v>
      </c>
      <c r="I555" s="67" t="s">
        <v>462</v>
      </c>
      <c r="J555" s="185">
        <v>900</v>
      </c>
      <c r="K555" s="68">
        <f t="shared" si="74"/>
        <v>675.09</v>
      </c>
      <c r="L555" s="50">
        <v>0.75009999999999999</v>
      </c>
      <c r="M555" s="68">
        <v>6000</v>
      </c>
      <c r="N555" s="68">
        <f t="shared" si="72"/>
        <v>900</v>
      </c>
      <c r="O555" s="68">
        <f t="shared" si="73"/>
        <v>5100</v>
      </c>
    </row>
    <row r="556" spans="1:15" ht="15.5" x14ac:dyDescent="0.25">
      <c r="A556" s="149">
        <v>46237</v>
      </c>
      <c r="B556" s="149" t="s">
        <v>728</v>
      </c>
      <c r="C556" s="68">
        <v>1</v>
      </c>
      <c r="D556" s="68" t="s">
        <v>8</v>
      </c>
      <c r="E556" s="49" t="s">
        <v>270</v>
      </c>
      <c r="F556" s="50" t="s">
        <v>412</v>
      </c>
      <c r="G556" s="196" t="s">
        <v>328</v>
      </c>
      <c r="H556" s="197" t="s">
        <v>413</v>
      </c>
      <c r="I556" s="67" t="s">
        <v>411</v>
      </c>
      <c r="J556" s="185">
        <v>200</v>
      </c>
      <c r="K556" s="68">
        <f t="shared" si="74"/>
        <v>443.98</v>
      </c>
      <c r="L556" s="50">
        <v>2.2199</v>
      </c>
      <c r="M556" s="68">
        <v>255</v>
      </c>
      <c r="N556" s="68">
        <f t="shared" si="72"/>
        <v>200</v>
      </c>
      <c r="O556" s="68">
        <f t="shared" si="73"/>
        <v>55</v>
      </c>
    </row>
    <row r="557" spans="1:15" ht="15.5" x14ac:dyDescent="0.25">
      <c r="A557" s="149">
        <v>46237</v>
      </c>
      <c r="B557" s="149" t="s">
        <v>728</v>
      </c>
      <c r="C557" s="68">
        <v>1</v>
      </c>
      <c r="D557" s="68" t="s">
        <v>8</v>
      </c>
      <c r="E557" s="28" t="s">
        <v>457</v>
      </c>
      <c r="F557" s="29" t="s">
        <v>618</v>
      </c>
      <c r="G557" s="27" t="s">
        <v>319</v>
      </c>
      <c r="H557" s="175" t="s">
        <v>118</v>
      </c>
      <c r="I557" s="28" t="s">
        <v>459</v>
      </c>
      <c r="J557" s="183">
        <v>800</v>
      </c>
      <c r="K557" s="68">
        <f t="shared" si="74"/>
        <v>823.44</v>
      </c>
      <c r="L557" s="29">
        <v>1.0293000000000001</v>
      </c>
      <c r="M557" s="68">
        <v>800</v>
      </c>
      <c r="N557" s="68">
        <f t="shared" si="72"/>
        <v>800</v>
      </c>
      <c r="O557" s="68">
        <f>M557-N557</f>
        <v>0</v>
      </c>
    </row>
    <row r="558" spans="1:15" ht="15.5" x14ac:dyDescent="0.25">
      <c r="A558" s="149">
        <v>46238</v>
      </c>
      <c r="B558" s="149" t="s">
        <v>728</v>
      </c>
      <c r="C558" s="68">
        <v>1</v>
      </c>
      <c r="D558" s="68" t="s">
        <v>8</v>
      </c>
      <c r="E558" s="49" t="s">
        <v>140</v>
      </c>
      <c r="F558" s="50" t="s">
        <v>612</v>
      </c>
      <c r="G558" s="196" t="s">
        <v>408</v>
      </c>
      <c r="H558" s="197" t="s">
        <v>613</v>
      </c>
      <c r="I558" s="67" t="s">
        <v>614</v>
      </c>
      <c r="J558" s="185">
        <v>575</v>
      </c>
      <c r="K558" s="68">
        <f t="shared" si="74"/>
        <v>1056.2750000000001</v>
      </c>
      <c r="L558" s="50">
        <v>1.837</v>
      </c>
      <c r="M558" s="68">
        <v>12950</v>
      </c>
      <c r="N558" s="68">
        <f t="shared" si="72"/>
        <v>575</v>
      </c>
      <c r="O558" s="68">
        <f t="shared" ref="O558:O621" si="75">M558-N558</f>
        <v>12375</v>
      </c>
    </row>
    <row r="559" spans="1:15" ht="15.5" x14ac:dyDescent="0.25">
      <c r="A559" s="149">
        <v>46238</v>
      </c>
      <c r="B559" s="149" t="s">
        <v>728</v>
      </c>
      <c r="C559" s="68">
        <v>1</v>
      </c>
      <c r="D559" s="68" t="s">
        <v>8</v>
      </c>
      <c r="E559" s="49" t="s">
        <v>502</v>
      </c>
      <c r="F559" s="50" t="s">
        <v>278</v>
      </c>
      <c r="G559" s="196" t="s">
        <v>575</v>
      </c>
      <c r="H559" s="197" t="s">
        <v>279</v>
      </c>
      <c r="I559" s="67" t="s">
        <v>276</v>
      </c>
      <c r="J559" s="185">
        <v>375</v>
      </c>
      <c r="K559" s="68">
        <f t="shared" si="74"/>
        <v>273</v>
      </c>
      <c r="L559" s="50">
        <v>0.72799999999999998</v>
      </c>
      <c r="M559" s="68">
        <v>1100</v>
      </c>
      <c r="N559" s="68">
        <f t="shared" si="72"/>
        <v>375</v>
      </c>
      <c r="O559" s="68">
        <f t="shared" si="75"/>
        <v>725</v>
      </c>
    </row>
    <row r="560" spans="1:15" ht="15.5" x14ac:dyDescent="0.25">
      <c r="A560" s="149">
        <v>46238</v>
      </c>
      <c r="B560" s="149" t="s">
        <v>728</v>
      </c>
      <c r="C560" s="68">
        <v>1</v>
      </c>
      <c r="D560" s="68" t="s">
        <v>8</v>
      </c>
      <c r="E560" s="28" t="s">
        <v>407</v>
      </c>
      <c r="F560" s="29" t="s">
        <v>307</v>
      </c>
      <c r="G560" s="27" t="s">
        <v>408</v>
      </c>
      <c r="H560" s="175" t="s">
        <v>224</v>
      </c>
      <c r="I560" s="48" t="s">
        <v>306</v>
      </c>
      <c r="J560" s="183">
        <v>165</v>
      </c>
      <c r="K560" s="68">
        <f t="shared" si="74"/>
        <v>284.64150000000001</v>
      </c>
      <c r="L560" s="29">
        <v>1.7251000000000001</v>
      </c>
      <c r="M560" s="68">
        <v>165</v>
      </c>
      <c r="N560" s="68">
        <f t="shared" si="72"/>
        <v>165</v>
      </c>
      <c r="O560" s="68">
        <f t="shared" si="75"/>
        <v>0</v>
      </c>
    </row>
    <row r="561" spans="1:15" ht="15.5" x14ac:dyDescent="0.25">
      <c r="A561" s="149">
        <v>46238</v>
      </c>
      <c r="B561" s="149" t="s">
        <v>728</v>
      </c>
      <c r="C561" s="68">
        <v>1</v>
      </c>
      <c r="D561" s="68" t="s">
        <v>8</v>
      </c>
      <c r="E561" s="49" t="s">
        <v>457</v>
      </c>
      <c r="F561" s="50" t="s">
        <v>617</v>
      </c>
      <c r="G561" s="196" t="s">
        <v>319</v>
      </c>
      <c r="H561" s="197" t="s">
        <v>347</v>
      </c>
      <c r="I561" s="67" t="s">
        <v>462</v>
      </c>
      <c r="J561" s="185">
        <f>650+800</f>
        <v>1450</v>
      </c>
      <c r="K561" s="68">
        <f t="shared" si="74"/>
        <v>1087.645</v>
      </c>
      <c r="L561" s="50">
        <v>0.75009999999999999</v>
      </c>
      <c r="M561" s="68">
        <v>5100</v>
      </c>
      <c r="N561" s="68">
        <f t="shared" si="72"/>
        <v>1450</v>
      </c>
      <c r="O561" s="68">
        <f t="shared" si="75"/>
        <v>3650</v>
      </c>
    </row>
    <row r="562" spans="1:15" ht="15.5" x14ac:dyDescent="0.25">
      <c r="A562" s="149">
        <v>46238</v>
      </c>
      <c r="B562" s="149" t="s">
        <v>728</v>
      </c>
      <c r="C562" s="68">
        <v>1</v>
      </c>
      <c r="D562" s="68" t="s">
        <v>8</v>
      </c>
      <c r="E562" s="49" t="s">
        <v>270</v>
      </c>
      <c r="F562" s="50" t="s">
        <v>412</v>
      </c>
      <c r="G562" s="196" t="s">
        <v>328</v>
      </c>
      <c r="H562" s="197" t="s">
        <v>413</v>
      </c>
      <c r="I562" s="67" t="s">
        <v>411</v>
      </c>
      <c r="J562" s="185">
        <v>55</v>
      </c>
      <c r="K562" s="68">
        <f t="shared" si="74"/>
        <v>122.0945</v>
      </c>
      <c r="L562" s="50">
        <v>2.2199</v>
      </c>
      <c r="M562" s="68">
        <v>55</v>
      </c>
      <c r="N562" s="68">
        <f t="shared" si="72"/>
        <v>55</v>
      </c>
      <c r="O562" s="68">
        <f t="shared" si="75"/>
        <v>0</v>
      </c>
    </row>
    <row r="563" spans="1:15" ht="15.5" x14ac:dyDescent="0.25">
      <c r="A563" s="149">
        <v>46238</v>
      </c>
      <c r="B563" s="149" t="s">
        <v>728</v>
      </c>
      <c r="C563" s="68">
        <v>1</v>
      </c>
      <c r="D563" s="68" t="s">
        <v>8</v>
      </c>
      <c r="E563" s="49" t="s">
        <v>457</v>
      </c>
      <c r="F563" s="50" t="s">
        <v>621</v>
      </c>
      <c r="G563" s="196" t="s">
        <v>319</v>
      </c>
      <c r="H563" s="197" t="s">
        <v>116</v>
      </c>
      <c r="I563" s="67" t="s">
        <v>536</v>
      </c>
      <c r="J563" s="185">
        <v>340</v>
      </c>
      <c r="K563" s="68">
        <f t="shared" si="74"/>
        <v>437.47800000000001</v>
      </c>
      <c r="L563" s="50">
        <v>1.2867</v>
      </c>
      <c r="M563" s="68">
        <v>840</v>
      </c>
      <c r="N563" s="68">
        <f t="shared" si="72"/>
        <v>340</v>
      </c>
      <c r="O563" s="68">
        <f t="shared" si="75"/>
        <v>500</v>
      </c>
    </row>
    <row r="564" spans="1:15" ht="15.5" x14ac:dyDescent="0.25">
      <c r="A564" s="149">
        <v>46238</v>
      </c>
      <c r="B564" s="149" t="s">
        <v>728</v>
      </c>
      <c r="C564" s="68">
        <v>1</v>
      </c>
      <c r="D564" s="68" t="s">
        <v>8</v>
      </c>
      <c r="E564" s="28" t="s">
        <v>504</v>
      </c>
      <c r="F564" s="29" t="s">
        <v>380</v>
      </c>
      <c r="G564" s="27" t="s">
        <v>319</v>
      </c>
      <c r="H564" s="175" t="s">
        <v>344</v>
      </c>
      <c r="I564" s="48" t="s">
        <v>379</v>
      </c>
      <c r="J564" s="183">
        <v>100</v>
      </c>
      <c r="K564" s="68">
        <f t="shared" si="74"/>
        <v>80.5</v>
      </c>
      <c r="L564" s="29">
        <v>0.80500000000000005</v>
      </c>
      <c r="M564" s="68">
        <v>500</v>
      </c>
      <c r="N564" s="68">
        <f t="shared" si="72"/>
        <v>100</v>
      </c>
      <c r="O564" s="68">
        <f t="shared" si="75"/>
        <v>400</v>
      </c>
    </row>
    <row r="565" spans="1:15" ht="15.5" x14ac:dyDescent="0.25">
      <c r="A565" s="149">
        <v>46238</v>
      </c>
      <c r="B565" s="149" t="s">
        <v>728</v>
      </c>
      <c r="C565" s="68">
        <v>1</v>
      </c>
      <c r="D565" s="68" t="s">
        <v>8</v>
      </c>
      <c r="E565" s="28" t="s">
        <v>457</v>
      </c>
      <c r="F565" s="29" t="s">
        <v>622</v>
      </c>
      <c r="G565" s="27" t="s">
        <v>319</v>
      </c>
      <c r="H565" s="175" t="s">
        <v>550</v>
      </c>
      <c r="I565" s="28" t="s">
        <v>548</v>
      </c>
      <c r="J565" s="183">
        <v>540</v>
      </c>
      <c r="K565" s="68">
        <f t="shared" si="74"/>
        <v>1035.6120000000001</v>
      </c>
      <c r="L565" s="29">
        <v>1.9177999999999999</v>
      </c>
      <c r="M565" s="68">
        <v>1125</v>
      </c>
      <c r="N565" s="68">
        <f t="shared" si="72"/>
        <v>540</v>
      </c>
      <c r="O565" s="68">
        <f t="shared" si="75"/>
        <v>585</v>
      </c>
    </row>
    <row r="566" spans="1:15" ht="15.5" x14ac:dyDescent="0.25">
      <c r="A566" s="149">
        <v>46239</v>
      </c>
      <c r="B566" s="149" t="s">
        <v>728</v>
      </c>
      <c r="C566" s="68">
        <v>1</v>
      </c>
      <c r="D566" s="68" t="s">
        <v>8</v>
      </c>
      <c r="E566" s="49" t="s">
        <v>140</v>
      </c>
      <c r="F566" s="50" t="s">
        <v>612</v>
      </c>
      <c r="G566" s="196" t="s">
        <v>408</v>
      </c>
      <c r="H566" s="197" t="s">
        <v>613</v>
      </c>
      <c r="I566" s="67" t="s">
        <v>614</v>
      </c>
      <c r="J566" s="185">
        <f>275+200+150+50</f>
        <v>675</v>
      </c>
      <c r="K566" s="68">
        <f t="shared" si="74"/>
        <v>1239.9749999999999</v>
      </c>
      <c r="L566" s="50">
        <v>1.837</v>
      </c>
      <c r="M566" s="68">
        <v>12375</v>
      </c>
      <c r="N566" s="68">
        <f t="shared" si="72"/>
        <v>675</v>
      </c>
      <c r="O566" s="68">
        <f t="shared" si="75"/>
        <v>11700</v>
      </c>
    </row>
    <row r="567" spans="1:15" ht="15.5" x14ac:dyDescent="0.25">
      <c r="A567" s="149">
        <v>46239</v>
      </c>
      <c r="B567" s="149" t="s">
        <v>728</v>
      </c>
      <c r="C567" s="68">
        <v>1</v>
      </c>
      <c r="D567" s="68" t="s">
        <v>8</v>
      </c>
      <c r="E567" s="49" t="s">
        <v>457</v>
      </c>
      <c r="F567" s="50" t="s">
        <v>617</v>
      </c>
      <c r="G567" s="196" t="s">
        <v>319</v>
      </c>
      <c r="H567" s="197" t="s">
        <v>347</v>
      </c>
      <c r="I567" s="67" t="s">
        <v>462</v>
      </c>
      <c r="J567" s="185">
        <v>700</v>
      </c>
      <c r="K567" s="68">
        <f t="shared" si="74"/>
        <v>525.06999999999994</v>
      </c>
      <c r="L567" s="50">
        <v>0.75009999999999999</v>
      </c>
      <c r="M567" s="68">
        <v>3650</v>
      </c>
      <c r="N567" s="68">
        <f t="shared" si="72"/>
        <v>700</v>
      </c>
      <c r="O567" s="68">
        <f t="shared" si="75"/>
        <v>2950</v>
      </c>
    </row>
    <row r="568" spans="1:15" ht="15.5" x14ac:dyDescent="0.25">
      <c r="A568" s="149">
        <v>46239</v>
      </c>
      <c r="B568" s="149" t="s">
        <v>728</v>
      </c>
      <c r="C568" s="68">
        <v>1</v>
      </c>
      <c r="D568" s="68" t="s">
        <v>8</v>
      </c>
      <c r="E568" s="49" t="s">
        <v>656</v>
      </c>
      <c r="F568" s="50" t="s">
        <v>657</v>
      </c>
      <c r="G568" s="196" t="s">
        <v>319</v>
      </c>
      <c r="H568" s="197" t="s">
        <v>193</v>
      </c>
      <c r="I568" s="67" t="s">
        <v>418</v>
      </c>
      <c r="J568" s="185">
        <v>200</v>
      </c>
      <c r="K568" s="68">
        <f t="shared" si="74"/>
        <v>706.6</v>
      </c>
      <c r="L568" s="50">
        <v>3.5329999999999999</v>
      </c>
      <c r="M568" s="68">
        <v>300</v>
      </c>
      <c r="N568" s="68">
        <f t="shared" si="72"/>
        <v>200</v>
      </c>
      <c r="O568" s="68">
        <f t="shared" si="75"/>
        <v>100</v>
      </c>
    </row>
    <row r="569" spans="1:15" ht="15.5" x14ac:dyDescent="0.25">
      <c r="A569" s="149">
        <v>46239</v>
      </c>
      <c r="B569" s="149" t="s">
        <v>728</v>
      </c>
      <c r="C569" s="68">
        <v>1</v>
      </c>
      <c r="D569" s="68" t="s">
        <v>8</v>
      </c>
      <c r="E569" s="49" t="s">
        <v>504</v>
      </c>
      <c r="F569" s="50" t="s">
        <v>366</v>
      </c>
      <c r="G569" s="196" t="s">
        <v>319</v>
      </c>
      <c r="H569" s="197" t="s">
        <v>367</v>
      </c>
      <c r="I569" s="67" t="s">
        <v>364</v>
      </c>
      <c r="J569" s="185">
        <v>150</v>
      </c>
      <c r="K569" s="68">
        <f t="shared" si="74"/>
        <v>105</v>
      </c>
      <c r="L569" s="50">
        <v>0.7</v>
      </c>
      <c r="M569" s="68">
        <v>6000</v>
      </c>
      <c r="N569" s="68">
        <f t="shared" si="72"/>
        <v>150</v>
      </c>
      <c r="O569" s="68">
        <f t="shared" si="75"/>
        <v>5850</v>
      </c>
    </row>
    <row r="570" spans="1:15" ht="15.5" x14ac:dyDescent="0.25">
      <c r="A570" s="149">
        <v>46239</v>
      </c>
      <c r="B570" s="149" t="s">
        <v>728</v>
      </c>
      <c r="C570" s="68">
        <v>1</v>
      </c>
      <c r="D570" s="68" t="s">
        <v>8</v>
      </c>
      <c r="E570" s="49" t="s">
        <v>457</v>
      </c>
      <c r="F570" s="50" t="s">
        <v>621</v>
      </c>
      <c r="G570" s="196" t="s">
        <v>319</v>
      </c>
      <c r="H570" s="197" t="s">
        <v>116</v>
      </c>
      <c r="I570" s="67" t="s">
        <v>536</v>
      </c>
      <c r="J570" s="185">
        <v>500</v>
      </c>
      <c r="K570" s="68">
        <f t="shared" si="74"/>
        <v>1050</v>
      </c>
      <c r="L570" s="50">
        <v>2.1</v>
      </c>
      <c r="M570" s="68">
        <v>500</v>
      </c>
      <c r="N570" s="68">
        <f t="shared" si="72"/>
        <v>500</v>
      </c>
      <c r="O570" s="68">
        <f t="shared" si="75"/>
        <v>0</v>
      </c>
    </row>
    <row r="571" spans="1:15" ht="15.5" x14ac:dyDescent="0.25">
      <c r="A571" s="149">
        <v>46239</v>
      </c>
      <c r="B571" s="149" t="s">
        <v>728</v>
      </c>
      <c r="C571" s="68">
        <v>1</v>
      </c>
      <c r="D571" s="68" t="s">
        <v>8</v>
      </c>
      <c r="E571" s="28" t="s">
        <v>457</v>
      </c>
      <c r="F571" s="29" t="s">
        <v>658</v>
      </c>
      <c r="G571" s="27" t="s">
        <v>319</v>
      </c>
      <c r="H571" s="175" t="s">
        <v>332</v>
      </c>
      <c r="I571" s="48" t="s">
        <v>534</v>
      </c>
      <c r="J571" s="183">
        <v>130</v>
      </c>
      <c r="K571" s="68">
        <f t="shared" si="74"/>
        <v>238.92700000000002</v>
      </c>
      <c r="L571" s="29">
        <v>1.8379000000000001</v>
      </c>
      <c r="M571" s="68">
        <v>235</v>
      </c>
      <c r="N571" s="68">
        <f t="shared" ref="N571:N634" si="76">J571</f>
        <v>130</v>
      </c>
      <c r="O571" s="68">
        <f t="shared" si="75"/>
        <v>105</v>
      </c>
    </row>
    <row r="572" spans="1:15" ht="15.5" x14ac:dyDescent="0.25">
      <c r="A572" s="149">
        <v>46239</v>
      </c>
      <c r="B572" s="149" t="s">
        <v>728</v>
      </c>
      <c r="C572" s="68">
        <v>1</v>
      </c>
      <c r="D572" s="68" t="s">
        <v>8</v>
      </c>
      <c r="E572" s="28" t="s">
        <v>457</v>
      </c>
      <c r="F572" s="29" t="s">
        <v>622</v>
      </c>
      <c r="G572" s="27" t="s">
        <v>319</v>
      </c>
      <c r="H572" s="175" t="s">
        <v>550</v>
      </c>
      <c r="I572" s="28" t="s">
        <v>548</v>
      </c>
      <c r="J572" s="183">
        <v>540</v>
      </c>
      <c r="K572" s="68">
        <f t="shared" si="74"/>
        <v>1035.6120000000001</v>
      </c>
      <c r="L572" s="29">
        <v>1.9177999999999999</v>
      </c>
      <c r="M572" s="68">
        <v>585</v>
      </c>
      <c r="N572" s="68">
        <f t="shared" si="76"/>
        <v>540</v>
      </c>
      <c r="O572" s="68">
        <f t="shared" si="75"/>
        <v>45</v>
      </c>
    </row>
    <row r="573" spans="1:15" ht="15.5" x14ac:dyDescent="0.25">
      <c r="A573" s="149">
        <v>46240</v>
      </c>
      <c r="B573" s="149" t="s">
        <v>728</v>
      </c>
      <c r="C573" s="68">
        <v>1</v>
      </c>
      <c r="D573" s="68" t="s">
        <v>8</v>
      </c>
      <c r="E573" s="247" t="s">
        <v>140</v>
      </c>
      <c r="F573" s="248" t="s">
        <v>612</v>
      </c>
      <c r="G573" s="249" t="s">
        <v>408</v>
      </c>
      <c r="H573" s="252" t="s">
        <v>613</v>
      </c>
      <c r="I573" s="251" t="s">
        <v>614</v>
      </c>
      <c r="J573" s="253">
        <f>400+250+200</f>
        <v>850</v>
      </c>
      <c r="K573" s="68">
        <f t="shared" si="74"/>
        <v>1561.45</v>
      </c>
      <c r="L573" s="248">
        <v>1.837</v>
      </c>
      <c r="M573" s="68">
        <v>11700</v>
      </c>
      <c r="N573" s="68">
        <f t="shared" si="76"/>
        <v>850</v>
      </c>
      <c r="O573" s="68">
        <f t="shared" si="75"/>
        <v>10850</v>
      </c>
    </row>
    <row r="574" spans="1:15" ht="15.5" x14ac:dyDescent="0.25">
      <c r="A574" s="149">
        <v>46240</v>
      </c>
      <c r="B574" s="149" t="s">
        <v>728</v>
      </c>
      <c r="C574" s="68">
        <v>1</v>
      </c>
      <c r="D574" s="68" t="s">
        <v>8</v>
      </c>
      <c r="E574" s="247" t="s">
        <v>457</v>
      </c>
      <c r="F574" s="248" t="s">
        <v>617</v>
      </c>
      <c r="G574" s="249" t="s">
        <v>319</v>
      </c>
      <c r="H574" s="252" t="s">
        <v>347</v>
      </c>
      <c r="I574" s="251" t="s">
        <v>462</v>
      </c>
      <c r="J574" s="253">
        <v>100</v>
      </c>
      <c r="K574" s="68">
        <f t="shared" si="74"/>
        <v>75.010000000000005</v>
      </c>
      <c r="L574" s="248">
        <v>0.75009999999999999</v>
      </c>
      <c r="M574" s="68">
        <v>2950</v>
      </c>
      <c r="N574" s="68">
        <f t="shared" si="76"/>
        <v>100</v>
      </c>
      <c r="O574" s="68">
        <f t="shared" si="75"/>
        <v>2850</v>
      </c>
    </row>
    <row r="575" spans="1:15" ht="15.5" x14ac:dyDescent="0.25">
      <c r="A575" s="149">
        <v>46240</v>
      </c>
      <c r="B575" s="149" t="s">
        <v>728</v>
      </c>
      <c r="C575" s="68">
        <v>1</v>
      </c>
      <c r="D575" s="68" t="s">
        <v>8</v>
      </c>
      <c r="E575" s="247" t="s">
        <v>656</v>
      </c>
      <c r="F575" s="248" t="s">
        <v>657</v>
      </c>
      <c r="G575" s="249" t="s">
        <v>319</v>
      </c>
      <c r="H575" s="252" t="s">
        <v>193</v>
      </c>
      <c r="I575" s="251" t="s">
        <v>418</v>
      </c>
      <c r="J575" s="253">
        <v>100</v>
      </c>
      <c r="K575" s="68">
        <f t="shared" si="74"/>
        <v>353.3</v>
      </c>
      <c r="L575" s="248">
        <v>3.5329999999999999</v>
      </c>
      <c r="M575" s="68">
        <v>100</v>
      </c>
      <c r="N575" s="68">
        <f t="shared" si="76"/>
        <v>100</v>
      </c>
      <c r="O575" s="68">
        <f t="shared" si="75"/>
        <v>0</v>
      </c>
    </row>
    <row r="576" spans="1:15" ht="15.5" x14ac:dyDescent="0.25">
      <c r="A576" s="149">
        <v>46240</v>
      </c>
      <c r="B576" s="149" t="s">
        <v>728</v>
      </c>
      <c r="C576" s="68">
        <v>1</v>
      </c>
      <c r="D576" s="68" t="s">
        <v>8</v>
      </c>
      <c r="E576" s="247" t="s">
        <v>504</v>
      </c>
      <c r="F576" s="248" t="s">
        <v>366</v>
      </c>
      <c r="G576" s="249" t="s">
        <v>319</v>
      </c>
      <c r="H576" s="252" t="s">
        <v>367</v>
      </c>
      <c r="I576" s="251" t="s">
        <v>364</v>
      </c>
      <c r="J576" s="253">
        <v>1250</v>
      </c>
      <c r="K576" s="68">
        <f t="shared" si="74"/>
        <v>875</v>
      </c>
      <c r="L576" s="248">
        <v>0.7</v>
      </c>
      <c r="M576" s="68">
        <v>5850</v>
      </c>
      <c r="N576" s="68">
        <f t="shared" si="76"/>
        <v>1250</v>
      </c>
      <c r="O576" s="68">
        <f t="shared" si="75"/>
        <v>4600</v>
      </c>
    </row>
    <row r="577" spans="1:15" ht="15.5" x14ac:dyDescent="0.25">
      <c r="A577" s="149">
        <v>46240</v>
      </c>
      <c r="B577" s="149" t="s">
        <v>728</v>
      </c>
      <c r="C577" s="68">
        <v>1</v>
      </c>
      <c r="D577" s="68" t="s">
        <v>8</v>
      </c>
      <c r="E577" s="246" t="s">
        <v>457</v>
      </c>
      <c r="F577" s="245" t="s">
        <v>658</v>
      </c>
      <c r="G577" s="254" t="s">
        <v>319</v>
      </c>
      <c r="H577" s="255" t="s">
        <v>332</v>
      </c>
      <c r="I577" s="250" t="s">
        <v>534</v>
      </c>
      <c r="J577" s="256">
        <v>105</v>
      </c>
      <c r="K577" s="68">
        <f t="shared" si="74"/>
        <v>192.9795</v>
      </c>
      <c r="L577" s="245">
        <v>1.8379000000000001</v>
      </c>
      <c r="M577" s="68">
        <v>105</v>
      </c>
      <c r="N577" s="68">
        <f t="shared" si="76"/>
        <v>105</v>
      </c>
      <c r="O577" s="68">
        <f t="shared" si="75"/>
        <v>0</v>
      </c>
    </row>
    <row r="578" spans="1:15" ht="15.5" x14ac:dyDescent="0.25">
      <c r="A578" s="149">
        <v>46240</v>
      </c>
      <c r="B578" s="149" t="s">
        <v>728</v>
      </c>
      <c r="C578" s="68">
        <v>1</v>
      </c>
      <c r="D578" s="68" t="s">
        <v>8</v>
      </c>
      <c r="E578" s="247" t="s">
        <v>457</v>
      </c>
      <c r="F578" s="248" t="s">
        <v>665</v>
      </c>
      <c r="G578" s="249" t="s">
        <v>319</v>
      </c>
      <c r="H578" s="252" t="s">
        <v>127</v>
      </c>
      <c r="I578" s="247" t="s">
        <v>532</v>
      </c>
      <c r="J578" s="253">
        <v>245</v>
      </c>
      <c r="K578" s="68">
        <f t="shared" si="74"/>
        <v>427.42699999999996</v>
      </c>
      <c r="L578" s="248">
        <v>1.7445999999999999</v>
      </c>
      <c r="M578" s="68">
        <v>245</v>
      </c>
      <c r="N578" s="68">
        <f t="shared" si="76"/>
        <v>245</v>
      </c>
      <c r="O578" s="68">
        <f t="shared" si="75"/>
        <v>0</v>
      </c>
    </row>
    <row r="579" spans="1:15" ht="15.5" x14ac:dyDescent="0.25">
      <c r="A579" s="149">
        <v>46240</v>
      </c>
      <c r="B579" s="149" t="s">
        <v>728</v>
      </c>
      <c r="C579" s="68">
        <v>1</v>
      </c>
      <c r="D579" s="68" t="s">
        <v>8</v>
      </c>
      <c r="E579" s="247" t="s">
        <v>457</v>
      </c>
      <c r="F579" s="248" t="s">
        <v>666</v>
      </c>
      <c r="G579" s="249" t="s">
        <v>319</v>
      </c>
      <c r="H579" s="252" t="s">
        <v>116</v>
      </c>
      <c r="I579" s="247" t="s">
        <v>546</v>
      </c>
      <c r="J579" s="253">
        <v>200</v>
      </c>
      <c r="K579" s="68">
        <f t="shared" si="74"/>
        <v>292.64</v>
      </c>
      <c r="L579" s="248">
        <v>1.4632000000000001</v>
      </c>
      <c r="M579" s="68">
        <v>300</v>
      </c>
      <c r="N579" s="68">
        <f t="shared" si="76"/>
        <v>200</v>
      </c>
      <c r="O579" s="68">
        <f t="shared" si="75"/>
        <v>100</v>
      </c>
    </row>
    <row r="580" spans="1:15" ht="15.5" x14ac:dyDescent="0.25">
      <c r="A580" s="149">
        <v>46240</v>
      </c>
      <c r="B580" s="149" t="s">
        <v>728</v>
      </c>
      <c r="C580" s="68">
        <v>1</v>
      </c>
      <c r="D580" s="68" t="s">
        <v>8</v>
      </c>
      <c r="E580" s="246" t="s">
        <v>457</v>
      </c>
      <c r="F580" s="245" t="s">
        <v>622</v>
      </c>
      <c r="G580" s="254" t="s">
        <v>319</v>
      </c>
      <c r="H580" s="255" t="s">
        <v>550</v>
      </c>
      <c r="I580" s="246" t="s">
        <v>548</v>
      </c>
      <c r="J580" s="256">
        <v>45</v>
      </c>
      <c r="K580" s="68">
        <f t="shared" si="74"/>
        <v>86.301000000000002</v>
      </c>
      <c r="L580" s="245">
        <v>1.9177999999999999</v>
      </c>
      <c r="M580" s="68">
        <v>45</v>
      </c>
      <c r="N580" s="68">
        <f t="shared" si="76"/>
        <v>45</v>
      </c>
      <c r="O580" s="68">
        <f t="shared" si="75"/>
        <v>0</v>
      </c>
    </row>
    <row r="581" spans="1:15" ht="15.5" x14ac:dyDescent="0.25">
      <c r="A581" s="149">
        <v>46241</v>
      </c>
      <c r="B581" s="149" t="s">
        <v>728</v>
      </c>
      <c r="C581" s="68">
        <v>1</v>
      </c>
      <c r="D581" s="68" t="s">
        <v>8</v>
      </c>
      <c r="E581" s="49" t="s">
        <v>140</v>
      </c>
      <c r="F581" s="50" t="s">
        <v>612</v>
      </c>
      <c r="G581" s="196" t="s">
        <v>408</v>
      </c>
      <c r="H581" s="197" t="s">
        <v>613</v>
      </c>
      <c r="I581" s="67" t="s">
        <v>614</v>
      </c>
      <c r="J581" s="185">
        <v>1175</v>
      </c>
      <c r="K581" s="68">
        <f t="shared" si="74"/>
        <v>2158.4749999999999</v>
      </c>
      <c r="L581" s="50">
        <v>1.837</v>
      </c>
      <c r="M581" s="68">
        <v>10800</v>
      </c>
      <c r="N581" s="68">
        <f t="shared" si="76"/>
        <v>1175</v>
      </c>
      <c r="O581" s="68">
        <f t="shared" si="75"/>
        <v>9625</v>
      </c>
    </row>
    <row r="582" spans="1:15" ht="15.5" x14ac:dyDescent="0.25">
      <c r="A582" s="149">
        <v>46241</v>
      </c>
      <c r="B582" s="149" t="s">
        <v>728</v>
      </c>
      <c r="C582" s="68">
        <v>1</v>
      </c>
      <c r="D582" s="68" t="s">
        <v>8</v>
      </c>
      <c r="E582" s="49" t="s">
        <v>457</v>
      </c>
      <c r="F582" s="50" t="s">
        <v>617</v>
      </c>
      <c r="G582" s="196" t="s">
        <v>319</v>
      </c>
      <c r="H582" s="197" t="s">
        <v>347</v>
      </c>
      <c r="I582" s="67" t="s">
        <v>462</v>
      </c>
      <c r="J582" s="185">
        <v>1200</v>
      </c>
      <c r="K582" s="68">
        <f t="shared" si="74"/>
        <v>900.12</v>
      </c>
      <c r="L582" s="50">
        <v>0.75009999999999999</v>
      </c>
      <c r="M582" s="68">
        <v>2850</v>
      </c>
      <c r="N582" s="68">
        <f t="shared" si="76"/>
        <v>1200</v>
      </c>
      <c r="O582" s="68">
        <f t="shared" si="75"/>
        <v>1650</v>
      </c>
    </row>
    <row r="583" spans="1:15" ht="15.5" x14ac:dyDescent="0.25">
      <c r="A583" s="149">
        <v>46241</v>
      </c>
      <c r="B583" s="149" t="s">
        <v>728</v>
      </c>
      <c r="C583" s="68">
        <v>1</v>
      </c>
      <c r="D583" s="68" t="s">
        <v>8</v>
      </c>
      <c r="E583" s="49" t="s">
        <v>502</v>
      </c>
      <c r="F583" s="50" t="s">
        <v>278</v>
      </c>
      <c r="G583" s="196" t="s">
        <v>575</v>
      </c>
      <c r="H583" s="197" t="s">
        <v>279</v>
      </c>
      <c r="I583" s="67" t="s">
        <v>276</v>
      </c>
      <c r="J583" s="185">
        <v>500</v>
      </c>
      <c r="K583" s="68">
        <f t="shared" si="74"/>
        <v>364</v>
      </c>
      <c r="L583" s="50">
        <v>0.72799999999999998</v>
      </c>
      <c r="M583" s="68">
        <v>725</v>
      </c>
      <c r="N583" s="68">
        <f t="shared" si="76"/>
        <v>500</v>
      </c>
      <c r="O583" s="68">
        <f t="shared" si="75"/>
        <v>225</v>
      </c>
    </row>
    <row r="584" spans="1:15" ht="15.5" x14ac:dyDescent="0.25">
      <c r="A584" s="149">
        <v>46241</v>
      </c>
      <c r="B584" s="149" t="s">
        <v>728</v>
      </c>
      <c r="C584" s="68">
        <v>1</v>
      </c>
      <c r="D584" s="68" t="s">
        <v>8</v>
      </c>
      <c r="E584" s="49" t="s">
        <v>504</v>
      </c>
      <c r="F584" s="50" t="s">
        <v>366</v>
      </c>
      <c r="G584" s="196" t="s">
        <v>319</v>
      </c>
      <c r="H584" s="197" t="s">
        <v>367</v>
      </c>
      <c r="I584" s="257" t="s">
        <v>364</v>
      </c>
      <c r="J584" s="185">
        <v>700</v>
      </c>
      <c r="K584" s="68">
        <f t="shared" si="74"/>
        <v>489.99999999999994</v>
      </c>
      <c r="L584" s="50">
        <v>0.7</v>
      </c>
      <c r="M584" s="68">
        <v>4600</v>
      </c>
      <c r="N584" s="68">
        <f t="shared" si="76"/>
        <v>700</v>
      </c>
      <c r="O584" s="68">
        <f t="shared" si="75"/>
        <v>3900</v>
      </c>
    </row>
    <row r="585" spans="1:15" ht="15.5" x14ac:dyDescent="0.25">
      <c r="A585" s="149">
        <v>46241</v>
      </c>
      <c r="B585" s="149" t="s">
        <v>728</v>
      </c>
      <c r="C585" s="68">
        <v>1</v>
      </c>
      <c r="D585" s="68" t="s">
        <v>8</v>
      </c>
      <c r="E585" s="28" t="s">
        <v>457</v>
      </c>
      <c r="F585" s="29" t="s">
        <v>667</v>
      </c>
      <c r="G585" s="27" t="s">
        <v>319</v>
      </c>
      <c r="H585" s="175" t="s">
        <v>344</v>
      </c>
      <c r="I585" s="48" t="s">
        <v>476</v>
      </c>
      <c r="J585" s="183">
        <v>500</v>
      </c>
      <c r="K585" s="68">
        <f t="shared" si="74"/>
        <v>397.9</v>
      </c>
      <c r="L585" s="29">
        <v>0.79579999999999995</v>
      </c>
      <c r="M585" s="68">
        <v>500</v>
      </c>
      <c r="N585" s="68">
        <f t="shared" si="76"/>
        <v>500</v>
      </c>
      <c r="O585" s="68">
        <f t="shared" si="75"/>
        <v>0</v>
      </c>
    </row>
    <row r="586" spans="1:15" ht="15.5" x14ac:dyDescent="0.25">
      <c r="A586" s="149">
        <v>46241</v>
      </c>
      <c r="B586" s="149" t="s">
        <v>728</v>
      </c>
      <c r="C586" s="68">
        <v>1</v>
      </c>
      <c r="D586" s="68" t="s">
        <v>8</v>
      </c>
      <c r="E586" s="49" t="s">
        <v>457</v>
      </c>
      <c r="F586" s="50" t="s">
        <v>668</v>
      </c>
      <c r="G586" s="196" t="s">
        <v>319</v>
      </c>
      <c r="H586" s="197" t="s">
        <v>344</v>
      </c>
      <c r="I586" s="49" t="s">
        <v>474</v>
      </c>
      <c r="J586" s="185">
        <v>400</v>
      </c>
      <c r="K586" s="68">
        <f t="shared" si="74"/>
        <v>318.32</v>
      </c>
      <c r="L586" s="50">
        <v>0.79579999999999995</v>
      </c>
      <c r="M586" s="68">
        <v>1000</v>
      </c>
      <c r="N586" s="68">
        <f t="shared" si="76"/>
        <v>400</v>
      </c>
      <c r="O586" s="68">
        <f t="shared" si="75"/>
        <v>600</v>
      </c>
    </row>
    <row r="587" spans="1:15" ht="15.5" x14ac:dyDescent="0.25">
      <c r="A587" s="149">
        <v>46241</v>
      </c>
      <c r="B587" s="149" t="s">
        <v>728</v>
      </c>
      <c r="C587" s="68">
        <v>1</v>
      </c>
      <c r="D587" s="68" t="s">
        <v>8</v>
      </c>
      <c r="E587" s="49" t="s">
        <v>457</v>
      </c>
      <c r="F587" s="50" t="s">
        <v>666</v>
      </c>
      <c r="G587" s="196" t="s">
        <v>319</v>
      </c>
      <c r="H587" s="197" t="s">
        <v>116</v>
      </c>
      <c r="I587" s="49" t="s">
        <v>546</v>
      </c>
      <c r="J587" s="185">
        <v>100</v>
      </c>
      <c r="K587" s="68">
        <f t="shared" si="74"/>
        <v>146.32</v>
      </c>
      <c r="L587" s="50">
        <v>1.4632000000000001</v>
      </c>
      <c r="M587" s="68">
        <v>100</v>
      </c>
      <c r="N587" s="68">
        <f t="shared" si="76"/>
        <v>100</v>
      </c>
      <c r="O587" s="68">
        <f t="shared" si="75"/>
        <v>0</v>
      </c>
    </row>
    <row r="588" spans="1:15" ht="15.5" x14ac:dyDescent="0.25">
      <c r="A588" s="149">
        <v>46242</v>
      </c>
      <c r="B588" s="149" t="s">
        <v>728</v>
      </c>
      <c r="C588" s="68">
        <v>1</v>
      </c>
      <c r="D588" s="68" t="s">
        <v>8</v>
      </c>
      <c r="E588" s="49" t="s">
        <v>140</v>
      </c>
      <c r="F588" s="50" t="s">
        <v>612</v>
      </c>
      <c r="G588" s="196" t="s">
        <v>408</v>
      </c>
      <c r="H588" s="197" t="s">
        <v>613</v>
      </c>
      <c r="I588" s="67" t="s">
        <v>614</v>
      </c>
      <c r="J588" s="185">
        <v>930</v>
      </c>
      <c r="K588" s="68">
        <f t="shared" si="74"/>
        <v>1708.41</v>
      </c>
      <c r="L588" s="50">
        <v>1.837</v>
      </c>
      <c r="M588" s="68">
        <v>9625</v>
      </c>
      <c r="N588" s="68">
        <f t="shared" si="76"/>
        <v>930</v>
      </c>
      <c r="O588" s="68">
        <f t="shared" si="75"/>
        <v>8695</v>
      </c>
    </row>
    <row r="589" spans="1:15" ht="15.5" x14ac:dyDescent="0.25">
      <c r="A589" s="149">
        <v>46242</v>
      </c>
      <c r="B589" s="149" t="s">
        <v>728</v>
      </c>
      <c r="C589" s="68">
        <v>1</v>
      </c>
      <c r="D589" s="68" t="s">
        <v>8</v>
      </c>
      <c r="E589" s="49" t="s">
        <v>457</v>
      </c>
      <c r="F589" s="50" t="s">
        <v>617</v>
      </c>
      <c r="G589" s="196" t="s">
        <v>319</v>
      </c>
      <c r="H589" s="197" t="s">
        <v>347</v>
      </c>
      <c r="I589" s="67" t="s">
        <v>462</v>
      </c>
      <c r="J589" s="185">
        <v>1350</v>
      </c>
      <c r="K589" s="68">
        <f t="shared" si="74"/>
        <v>1012.635</v>
      </c>
      <c r="L589" s="50">
        <v>0.75009999999999999</v>
      </c>
      <c r="M589" s="68">
        <v>1650</v>
      </c>
      <c r="N589" s="68">
        <f t="shared" si="76"/>
        <v>1350</v>
      </c>
      <c r="O589" s="68">
        <f t="shared" si="75"/>
        <v>300</v>
      </c>
    </row>
    <row r="590" spans="1:15" ht="15.5" x14ac:dyDescent="0.25">
      <c r="A590" s="149">
        <v>46242</v>
      </c>
      <c r="B590" s="149" t="s">
        <v>728</v>
      </c>
      <c r="C590" s="68">
        <v>1</v>
      </c>
      <c r="D590" s="68" t="s">
        <v>8</v>
      </c>
      <c r="E590" s="49" t="s">
        <v>502</v>
      </c>
      <c r="F590" s="50" t="s">
        <v>278</v>
      </c>
      <c r="G590" s="196" t="s">
        <v>575</v>
      </c>
      <c r="H590" s="197" t="s">
        <v>279</v>
      </c>
      <c r="I590" s="67" t="s">
        <v>276</v>
      </c>
      <c r="J590" s="185">
        <v>100</v>
      </c>
      <c r="K590" s="68">
        <f t="shared" si="74"/>
        <v>72.8</v>
      </c>
      <c r="L590" s="50">
        <v>0.72799999999999998</v>
      </c>
      <c r="M590" s="68">
        <v>225</v>
      </c>
      <c r="N590" s="68">
        <f t="shared" si="76"/>
        <v>100</v>
      </c>
      <c r="O590" s="68">
        <f t="shared" si="75"/>
        <v>125</v>
      </c>
    </row>
    <row r="591" spans="1:15" ht="15.5" x14ac:dyDescent="0.25">
      <c r="A591" s="149">
        <v>46242</v>
      </c>
      <c r="B591" s="149" t="s">
        <v>728</v>
      </c>
      <c r="C591" s="68">
        <v>1</v>
      </c>
      <c r="D591" s="68" t="s">
        <v>8</v>
      </c>
      <c r="E591" s="49" t="s">
        <v>504</v>
      </c>
      <c r="F591" s="50" t="s">
        <v>366</v>
      </c>
      <c r="G591" s="196" t="s">
        <v>319</v>
      </c>
      <c r="H591" s="197" t="s">
        <v>367</v>
      </c>
      <c r="I591" s="257" t="s">
        <v>364</v>
      </c>
      <c r="J591" s="185">
        <v>900</v>
      </c>
      <c r="K591" s="68">
        <f t="shared" si="74"/>
        <v>630</v>
      </c>
      <c r="L591" s="50">
        <v>0.7</v>
      </c>
      <c r="M591" s="68">
        <v>3900</v>
      </c>
      <c r="N591" s="68">
        <f t="shared" si="76"/>
        <v>900</v>
      </c>
      <c r="O591" s="68">
        <f t="shared" si="75"/>
        <v>3000</v>
      </c>
    </row>
    <row r="592" spans="1:15" ht="15.5" x14ac:dyDescent="0.25">
      <c r="A592" s="149">
        <v>46242</v>
      </c>
      <c r="B592" s="149" t="s">
        <v>728</v>
      </c>
      <c r="C592" s="68">
        <v>1</v>
      </c>
      <c r="D592" s="68" t="s">
        <v>8</v>
      </c>
      <c r="E592" s="28" t="s">
        <v>457</v>
      </c>
      <c r="F592" s="29" t="s">
        <v>669</v>
      </c>
      <c r="G592" s="27" t="s">
        <v>319</v>
      </c>
      <c r="H592" s="175" t="s">
        <v>123</v>
      </c>
      <c r="I592" s="48" t="s">
        <v>484</v>
      </c>
      <c r="J592" s="183">
        <v>500</v>
      </c>
      <c r="K592" s="68">
        <f t="shared" si="74"/>
        <v>414.75</v>
      </c>
      <c r="L592" s="29">
        <v>0.82950000000000002</v>
      </c>
      <c r="M592" s="68">
        <v>500</v>
      </c>
      <c r="N592" s="68">
        <f t="shared" si="76"/>
        <v>500</v>
      </c>
      <c r="O592" s="68">
        <f t="shared" si="75"/>
        <v>0</v>
      </c>
    </row>
    <row r="593" spans="1:15" ht="15.5" x14ac:dyDescent="0.25">
      <c r="A593" s="149">
        <v>46242</v>
      </c>
      <c r="B593" s="149" t="s">
        <v>728</v>
      </c>
      <c r="C593" s="68">
        <v>1</v>
      </c>
      <c r="D593" s="68" t="s">
        <v>8</v>
      </c>
      <c r="E593" s="49" t="s">
        <v>457</v>
      </c>
      <c r="F593" s="50" t="s">
        <v>668</v>
      </c>
      <c r="G593" s="196" t="s">
        <v>319</v>
      </c>
      <c r="H593" s="197" t="s">
        <v>344</v>
      </c>
      <c r="I593" s="49" t="s">
        <v>474</v>
      </c>
      <c r="J593" s="185">
        <v>550</v>
      </c>
      <c r="K593" s="68">
        <f t="shared" si="74"/>
        <v>437.69</v>
      </c>
      <c r="L593" s="50">
        <v>0.79579999999999995</v>
      </c>
      <c r="M593" s="68">
        <v>600</v>
      </c>
      <c r="N593" s="68">
        <f t="shared" si="76"/>
        <v>550</v>
      </c>
      <c r="O593" s="68">
        <f t="shared" si="75"/>
        <v>50</v>
      </c>
    </row>
    <row r="594" spans="1:15" ht="15.5" x14ac:dyDescent="0.25">
      <c r="A594" s="149">
        <v>46242</v>
      </c>
      <c r="B594" s="149" t="s">
        <v>728</v>
      </c>
      <c r="C594" s="68">
        <v>1</v>
      </c>
      <c r="D594" s="68" t="s">
        <v>8</v>
      </c>
      <c r="E594" s="28" t="s">
        <v>504</v>
      </c>
      <c r="F594" s="29" t="s">
        <v>380</v>
      </c>
      <c r="G594" s="27" t="s">
        <v>319</v>
      </c>
      <c r="H594" s="175" t="s">
        <v>344</v>
      </c>
      <c r="I594" s="48" t="s">
        <v>379</v>
      </c>
      <c r="J594" s="183">
        <v>150</v>
      </c>
      <c r="K594" s="68">
        <f t="shared" ref="K594:K602" si="77">L594*J594</f>
        <v>120.75000000000001</v>
      </c>
      <c r="L594" s="29">
        <v>0.80500000000000005</v>
      </c>
      <c r="M594" s="68">
        <v>400</v>
      </c>
      <c r="N594" s="68">
        <f t="shared" si="76"/>
        <v>150</v>
      </c>
      <c r="O594" s="68">
        <f t="shared" si="75"/>
        <v>250</v>
      </c>
    </row>
    <row r="595" spans="1:15" ht="15.5" x14ac:dyDescent="0.25">
      <c r="A595" s="149">
        <v>46244</v>
      </c>
      <c r="B595" s="149" t="s">
        <v>728</v>
      </c>
      <c r="C595" s="261">
        <v>1</v>
      </c>
      <c r="D595" s="258" t="s">
        <v>8</v>
      </c>
      <c r="E595" s="49" t="s">
        <v>140</v>
      </c>
      <c r="F595" s="50" t="s">
        <v>612</v>
      </c>
      <c r="G595" s="196" t="s">
        <v>408</v>
      </c>
      <c r="H595" s="114" t="s">
        <v>613</v>
      </c>
      <c r="I595" s="48" t="s">
        <v>614</v>
      </c>
      <c r="J595" s="183">
        <v>725</v>
      </c>
      <c r="K595" s="68">
        <f t="shared" si="77"/>
        <v>1331.825</v>
      </c>
      <c r="L595" s="29">
        <v>1.837</v>
      </c>
      <c r="M595" s="260">
        <v>8695</v>
      </c>
      <c r="N595" s="68">
        <f t="shared" si="76"/>
        <v>725</v>
      </c>
      <c r="O595" s="260">
        <f t="shared" si="75"/>
        <v>7970</v>
      </c>
    </row>
    <row r="596" spans="1:15" ht="15.5" x14ac:dyDescent="0.25">
      <c r="A596" s="149">
        <v>46244</v>
      </c>
      <c r="B596" s="149" t="s">
        <v>728</v>
      </c>
      <c r="C596" s="261">
        <v>1</v>
      </c>
      <c r="D596" s="258" t="s">
        <v>8</v>
      </c>
      <c r="E596" s="49" t="s">
        <v>140</v>
      </c>
      <c r="F596" s="50" t="s">
        <v>612</v>
      </c>
      <c r="G596" s="196" t="s">
        <v>408</v>
      </c>
      <c r="H596" s="114" t="s">
        <v>613</v>
      </c>
      <c r="I596" s="48" t="s">
        <v>614</v>
      </c>
      <c r="J596" s="183">
        <f>230+150</f>
        <v>380</v>
      </c>
      <c r="K596" s="68">
        <f t="shared" si="77"/>
        <v>698.06</v>
      </c>
      <c r="L596" s="29">
        <v>1.837</v>
      </c>
      <c r="M596" s="260">
        <v>7970</v>
      </c>
      <c r="N596" s="68">
        <f t="shared" si="76"/>
        <v>380</v>
      </c>
      <c r="O596" s="260">
        <f t="shared" si="75"/>
        <v>7590</v>
      </c>
    </row>
    <row r="597" spans="1:15" ht="15.5" x14ac:dyDescent="0.25">
      <c r="A597" s="149">
        <v>46244</v>
      </c>
      <c r="B597" s="149" t="s">
        <v>728</v>
      </c>
      <c r="C597" s="261">
        <v>1</v>
      </c>
      <c r="D597" s="258" t="s">
        <v>8</v>
      </c>
      <c r="E597" s="49" t="s">
        <v>504</v>
      </c>
      <c r="F597" s="50" t="s">
        <v>366</v>
      </c>
      <c r="G597" s="196" t="s">
        <v>319</v>
      </c>
      <c r="H597" s="114" t="s">
        <v>367</v>
      </c>
      <c r="I597" s="259" t="s">
        <v>364</v>
      </c>
      <c r="J597" s="183">
        <f>500+1925</f>
        <v>2425</v>
      </c>
      <c r="K597" s="68">
        <f t="shared" si="77"/>
        <v>1697.5</v>
      </c>
      <c r="L597" s="29">
        <v>0.7</v>
      </c>
      <c r="M597" s="260">
        <v>3000</v>
      </c>
      <c r="N597" s="68">
        <f t="shared" si="76"/>
        <v>2425</v>
      </c>
      <c r="O597" s="260">
        <f t="shared" si="75"/>
        <v>575</v>
      </c>
    </row>
    <row r="598" spans="1:15" ht="15.5" x14ac:dyDescent="0.25">
      <c r="A598" s="149">
        <v>46244</v>
      </c>
      <c r="B598" s="149" t="s">
        <v>728</v>
      </c>
      <c r="C598" s="261">
        <v>1</v>
      </c>
      <c r="D598" s="258" t="s">
        <v>8</v>
      </c>
      <c r="E598" s="49" t="s">
        <v>615</v>
      </c>
      <c r="F598" s="50" t="s">
        <v>670</v>
      </c>
      <c r="G598" s="27" t="s">
        <v>319</v>
      </c>
      <c r="H598" s="114" t="s">
        <v>262</v>
      </c>
      <c r="I598" s="48" t="s">
        <v>401</v>
      </c>
      <c r="J598" s="183">
        <v>50</v>
      </c>
      <c r="K598" s="68">
        <f t="shared" si="77"/>
        <v>42.494999999999997</v>
      </c>
      <c r="L598" s="29">
        <v>0.84989999999999999</v>
      </c>
      <c r="M598" s="260">
        <v>550</v>
      </c>
      <c r="N598" s="68">
        <f t="shared" si="76"/>
        <v>50</v>
      </c>
      <c r="O598" s="260">
        <f t="shared" si="75"/>
        <v>500</v>
      </c>
    </row>
    <row r="599" spans="1:15" ht="15.5" x14ac:dyDescent="0.25">
      <c r="A599" s="149">
        <v>46244</v>
      </c>
      <c r="B599" s="149" t="s">
        <v>728</v>
      </c>
      <c r="C599" s="261">
        <v>1</v>
      </c>
      <c r="D599" s="258" t="s">
        <v>8</v>
      </c>
      <c r="E599" s="49" t="s">
        <v>615</v>
      </c>
      <c r="F599" s="50" t="s">
        <v>671</v>
      </c>
      <c r="G599" s="196" t="s">
        <v>319</v>
      </c>
      <c r="H599" s="114" t="s">
        <v>400</v>
      </c>
      <c r="I599" s="48" t="s">
        <v>402</v>
      </c>
      <c r="J599" s="183">
        <v>300</v>
      </c>
      <c r="K599" s="68">
        <f t="shared" si="77"/>
        <v>260.61</v>
      </c>
      <c r="L599" s="29">
        <v>0.86870000000000003</v>
      </c>
      <c r="M599" s="260">
        <v>300</v>
      </c>
      <c r="N599" s="68">
        <f t="shared" si="76"/>
        <v>300</v>
      </c>
      <c r="O599" s="260">
        <f t="shared" si="75"/>
        <v>0</v>
      </c>
    </row>
    <row r="600" spans="1:15" ht="15.5" x14ac:dyDescent="0.25">
      <c r="A600" s="149">
        <v>46244</v>
      </c>
      <c r="B600" s="149" t="s">
        <v>728</v>
      </c>
      <c r="C600" s="261">
        <v>1</v>
      </c>
      <c r="D600" s="258" t="s">
        <v>8</v>
      </c>
      <c r="E600" s="28" t="s">
        <v>504</v>
      </c>
      <c r="F600" s="29" t="s">
        <v>380</v>
      </c>
      <c r="G600" s="27" t="s">
        <v>319</v>
      </c>
      <c r="H600" s="114" t="s">
        <v>344</v>
      </c>
      <c r="I600" s="48" t="s">
        <v>379</v>
      </c>
      <c r="J600" s="183">
        <v>100</v>
      </c>
      <c r="K600" s="68">
        <f t="shared" si="77"/>
        <v>80.5</v>
      </c>
      <c r="L600" s="29">
        <v>0.80500000000000005</v>
      </c>
      <c r="M600" s="260">
        <v>250</v>
      </c>
      <c r="N600" s="68">
        <f t="shared" si="76"/>
        <v>100</v>
      </c>
      <c r="O600" s="260">
        <f t="shared" si="75"/>
        <v>150</v>
      </c>
    </row>
    <row r="601" spans="1:15" ht="15.5" x14ac:dyDescent="0.25">
      <c r="A601" s="149">
        <v>46245</v>
      </c>
      <c r="B601" s="149" t="s">
        <v>728</v>
      </c>
      <c r="C601" s="261">
        <v>1</v>
      </c>
      <c r="D601" s="262" t="s">
        <v>8</v>
      </c>
      <c r="E601" s="263" t="s">
        <v>140</v>
      </c>
      <c r="F601" s="262" t="s">
        <v>612</v>
      </c>
      <c r="G601" s="264" t="s">
        <v>408</v>
      </c>
      <c r="H601" s="265" t="s">
        <v>613</v>
      </c>
      <c r="I601" s="263" t="s">
        <v>614</v>
      </c>
      <c r="J601" s="183">
        <v>400</v>
      </c>
      <c r="K601" s="68">
        <f t="shared" si="77"/>
        <v>734.8</v>
      </c>
      <c r="L601" s="29">
        <v>1.837</v>
      </c>
      <c r="M601" s="260">
        <v>7590</v>
      </c>
      <c r="N601" s="68">
        <f t="shared" si="76"/>
        <v>400</v>
      </c>
      <c r="O601" s="260">
        <f t="shared" si="75"/>
        <v>7190</v>
      </c>
    </row>
    <row r="602" spans="1:15" ht="15.5" x14ac:dyDescent="0.25">
      <c r="A602" s="149">
        <v>46245</v>
      </c>
      <c r="B602" s="149" t="s">
        <v>728</v>
      </c>
      <c r="C602" s="261">
        <v>1</v>
      </c>
      <c r="D602" s="262" t="s">
        <v>8</v>
      </c>
      <c r="E602" s="263" t="s">
        <v>140</v>
      </c>
      <c r="F602" s="262" t="s">
        <v>612</v>
      </c>
      <c r="G602" s="264" t="s">
        <v>408</v>
      </c>
      <c r="H602" s="265" t="s">
        <v>613</v>
      </c>
      <c r="I602" s="263" t="s">
        <v>614</v>
      </c>
      <c r="J602" s="183">
        <v>300</v>
      </c>
      <c r="K602" s="68">
        <f t="shared" si="77"/>
        <v>551.1</v>
      </c>
      <c r="L602" s="29">
        <v>1.837</v>
      </c>
      <c r="M602" s="260">
        <v>7190</v>
      </c>
      <c r="N602" s="68">
        <f t="shared" si="76"/>
        <v>300</v>
      </c>
      <c r="O602" s="260">
        <f t="shared" si="75"/>
        <v>6890</v>
      </c>
    </row>
    <row r="603" spans="1:15" ht="15.5" x14ac:dyDescent="0.25">
      <c r="A603" s="149">
        <v>46245</v>
      </c>
      <c r="B603" s="149" t="s">
        <v>728</v>
      </c>
      <c r="C603" s="261">
        <v>1</v>
      </c>
      <c r="D603" s="262" t="s">
        <v>8</v>
      </c>
      <c r="E603" s="263" t="s">
        <v>140</v>
      </c>
      <c r="F603" s="262" t="s">
        <v>612</v>
      </c>
      <c r="G603" s="264" t="s">
        <v>408</v>
      </c>
      <c r="H603" s="265" t="s">
        <v>613</v>
      </c>
      <c r="I603" s="263" t="s">
        <v>614</v>
      </c>
      <c r="J603" s="183">
        <f>250+275</f>
        <v>525</v>
      </c>
      <c r="K603" s="68">
        <f>L603*J603</f>
        <v>964.42499999999995</v>
      </c>
      <c r="L603" s="29">
        <v>1.837</v>
      </c>
      <c r="M603" s="260">
        <v>6890</v>
      </c>
      <c r="N603" s="68">
        <f t="shared" si="76"/>
        <v>525</v>
      </c>
      <c r="O603" s="260">
        <f t="shared" si="75"/>
        <v>6365</v>
      </c>
    </row>
    <row r="604" spans="1:15" ht="15.5" x14ac:dyDescent="0.25">
      <c r="A604" s="149">
        <v>46245</v>
      </c>
      <c r="B604" s="149" t="s">
        <v>728</v>
      </c>
      <c r="C604" s="261">
        <v>1</v>
      </c>
      <c r="D604" s="262" t="s">
        <v>8</v>
      </c>
      <c r="E604" s="263" t="s">
        <v>502</v>
      </c>
      <c r="F604" s="262" t="s">
        <v>278</v>
      </c>
      <c r="G604" s="264" t="s">
        <v>575</v>
      </c>
      <c r="H604" s="265" t="s">
        <v>279</v>
      </c>
      <c r="I604" s="263" t="s">
        <v>276</v>
      </c>
      <c r="J604" s="183">
        <v>125</v>
      </c>
      <c r="K604" s="68">
        <f>L604*J604</f>
        <v>91</v>
      </c>
      <c r="L604" s="29">
        <v>0.72799999999999998</v>
      </c>
      <c r="M604" s="260">
        <v>125</v>
      </c>
      <c r="N604" s="68">
        <f t="shared" si="76"/>
        <v>125</v>
      </c>
      <c r="O604" s="260">
        <f t="shared" si="75"/>
        <v>0</v>
      </c>
    </row>
    <row r="605" spans="1:15" ht="15.5" x14ac:dyDescent="0.25">
      <c r="A605" s="149">
        <v>46245</v>
      </c>
      <c r="B605" s="149" t="s">
        <v>728</v>
      </c>
      <c r="C605" s="261">
        <v>1</v>
      </c>
      <c r="D605" s="262" t="s">
        <v>8</v>
      </c>
      <c r="E605" s="263" t="s">
        <v>504</v>
      </c>
      <c r="F605" s="262" t="s">
        <v>366</v>
      </c>
      <c r="G605" s="264" t="s">
        <v>319</v>
      </c>
      <c r="H605" s="265" t="s">
        <v>367</v>
      </c>
      <c r="I605" s="266" t="s">
        <v>364</v>
      </c>
      <c r="J605" s="183">
        <v>300</v>
      </c>
      <c r="K605" s="68">
        <f>L605*J605</f>
        <v>210</v>
      </c>
      <c r="L605" s="29">
        <v>0.7</v>
      </c>
      <c r="M605" s="260">
        <v>575</v>
      </c>
      <c r="N605" s="68">
        <f t="shared" si="76"/>
        <v>300</v>
      </c>
      <c r="O605" s="260">
        <f t="shared" si="75"/>
        <v>275</v>
      </c>
    </row>
    <row r="606" spans="1:15" ht="15.5" x14ac:dyDescent="0.25">
      <c r="A606" s="149">
        <v>46245</v>
      </c>
      <c r="B606" s="149" t="s">
        <v>728</v>
      </c>
      <c r="C606" s="261">
        <v>1</v>
      </c>
      <c r="D606" s="262" t="s">
        <v>8</v>
      </c>
      <c r="E606" s="263" t="s">
        <v>615</v>
      </c>
      <c r="F606" s="262" t="s">
        <v>670</v>
      </c>
      <c r="G606" s="264" t="s">
        <v>319</v>
      </c>
      <c r="H606" s="265" t="s">
        <v>262</v>
      </c>
      <c r="I606" s="263" t="s">
        <v>401</v>
      </c>
      <c r="J606" s="183">
        <v>425</v>
      </c>
      <c r="K606" s="68">
        <f t="shared" ref="K606:K669" si="78">L606*J606</f>
        <v>361.20749999999998</v>
      </c>
      <c r="L606" s="29">
        <v>0.84989999999999999</v>
      </c>
      <c r="M606" s="260">
        <v>500</v>
      </c>
      <c r="N606" s="68">
        <f t="shared" si="76"/>
        <v>425</v>
      </c>
      <c r="O606" s="260">
        <f t="shared" si="75"/>
        <v>75</v>
      </c>
    </row>
    <row r="607" spans="1:15" ht="15.5" x14ac:dyDescent="0.25">
      <c r="A607" s="149">
        <v>46245</v>
      </c>
      <c r="B607" s="149" t="s">
        <v>728</v>
      </c>
      <c r="C607" s="261">
        <v>1</v>
      </c>
      <c r="D607" s="29" t="s">
        <v>8</v>
      </c>
      <c r="E607" s="263" t="s">
        <v>615</v>
      </c>
      <c r="F607" s="262" t="s">
        <v>672</v>
      </c>
      <c r="G607" s="264" t="s">
        <v>319</v>
      </c>
      <c r="H607" s="265" t="s">
        <v>169</v>
      </c>
      <c r="I607" s="263" t="s">
        <v>398</v>
      </c>
      <c r="J607" s="183">
        <v>400</v>
      </c>
      <c r="K607" s="68">
        <f t="shared" si="78"/>
        <v>396.4</v>
      </c>
      <c r="L607" s="29">
        <v>0.99099999999999999</v>
      </c>
      <c r="M607" s="260">
        <v>500</v>
      </c>
      <c r="N607" s="68">
        <f t="shared" si="76"/>
        <v>400</v>
      </c>
      <c r="O607" s="260">
        <f t="shared" si="75"/>
        <v>100</v>
      </c>
    </row>
    <row r="608" spans="1:15" ht="15.5" x14ac:dyDescent="0.25">
      <c r="A608" s="149">
        <v>46245</v>
      </c>
      <c r="B608" s="149" t="s">
        <v>728</v>
      </c>
      <c r="C608" s="261">
        <v>1</v>
      </c>
      <c r="D608" s="29" t="s">
        <v>8</v>
      </c>
      <c r="E608" s="263" t="s">
        <v>673</v>
      </c>
      <c r="F608" s="262" t="s">
        <v>294</v>
      </c>
      <c r="G608" s="264" t="s">
        <v>408</v>
      </c>
      <c r="H608" s="265" t="s">
        <v>193</v>
      </c>
      <c r="I608" s="266" t="s">
        <v>293</v>
      </c>
      <c r="J608" s="183">
        <v>125</v>
      </c>
      <c r="K608" s="68">
        <f t="shared" si="78"/>
        <v>420.75</v>
      </c>
      <c r="L608" s="29">
        <v>3.3660000000000001</v>
      </c>
      <c r="M608" s="260">
        <v>125</v>
      </c>
      <c r="N608" s="68">
        <f t="shared" si="76"/>
        <v>125</v>
      </c>
      <c r="O608" s="260">
        <f t="shared" si="75"/>
        <v>0</v>
      </c>
    </row>
    <row r="609" spans="1:15" ht="15.5" x14ac:dyDescent="0.25">
      <c r="A609" s="149">
        <v>46246</v>
      </c>
      <c r="B609" s="149" t="s">
        <v>728</v>
      </c>
      <c r="C609" s="261">
        <v>1</v>
      </c>
      <c r="D609" s="29" t="s">
        <v>8</v>
      </c>
      <c r="E609" s="49" t="s">
        <v>140</v>
      </c>
      <c r="F609" s="50" t="s">
        <v>612</v>
      </c>
      <c r="G609" s="196" t="s">
        <v>408</v>
      </c>
      <c r="H609" s="197" t="s">
        <v>613</v>
      </c>
      <c r="I609" s="67" t="s">
        <v>614</v>
      </c>
      <c r="J609" s="185">
        <v>500</v>
      </c>
      <c r="K609" s="68">
        <f t="shared" si="78"/>
        <v>918.5</v>
      </c>
      <c r="L609" s="50">
        <v>1.837</v>
      </c>
      <c r="M609" s="1">
        <v>6365</v>
      </c>
      <c r="N609" s="68">
        <f t="shared" si="76"/>
        <v>500</v>
      </c>
      <c r="O609" s="260">
        <f t="shared" si="75"/>
        <v>5865</v>
      </c>
    </row>
    <row r="610" spans="1:15" ht="15.5" x14ac:dyDescent="0.25">
      <c r="A610" s="162">
        <v>46246</v>
      </c>
      <c r="B610" s="149" t="s">
        <v>728</v>
      </c>
      <c r="C610" s="267">
        <v>1</v>
      </c>
      <c r="D610" s="50" t="s">
        <v>8</v>
      </c>
      <c r="E610" s="49" t="s">
        <v>140</v>
      </c>
      <c r="F610" s="50" t="s">
        <v>612</v>
      </c>
      <c r="G610" s="196" t="s">
        <v>408</v>
      </c>
      <c r="H610" s="197" t="s">
        <v>613</v>
      </c>
      <c r="I610" s="67" t="s">
        <v>614</v>
      </c>
      <c r="J610" s="185">
        <v>350</v>
      </c>
      <c r="K610" s="268">
        <f t="shared" si="78"/>
        <v>642.94999999999993</v>
      </c>
      <c r="L610" s="50">
        <v>1.837</v>
      </c>
      <c r="M610" s="1">
        <v>5865</v>
      </c>
      <c r="N610" s="268">
        <f t="shared" si="76"/>
        <v>350</v>
      </c>
      <c r="O610" s="269">
        <f t="shared" si="75"/>
        <v>5515</v>
      </c>
    </row>
    <row r="611" spans="1:15" ht="15.5" x14ac:dyDescent="0.25">
      <c r="A611" s="149">
        <v>46246</v>
      </c>
      <c r="B611" s="149" t="s">
        <v>728</v>
      </c>
      <c r="C611" s="261">
        <v>1</v>
      </c>
      <c r="D611" s="29" t="s">
        <v>8</v>
      </c>
      <c r="E611" s="48" t="s">
        <v>140</v>
      </c>
      <c r="F611" s="29" t="s">
        <v>612</v>
      </c>
      <c r="G611" s="27" t="s">
        <v>408</v>
      </c>
      <c r="H611" s="114" t="s">
        <v>613</v>
      </c>
      <c r="I611" s="48" t="s">
        <v>614</v>
      </c>
      <c r="J611" s="183">
        <f>450+450</f>
        <v>900</v>
      </c>
      <c r="K611" s="68">
        <f t="shared" si="78"/>
        <v>1653.3</v>
      </c>
      <c r="L611" s="29">
        <v>1.837</v>
      </c>
      <c r="M611" s="15">
        <v>5515</v>
      </c>
      <c r="N611" s="68">
        <f t="shared" si="76"/>
        <v>900</v>
      </c>
      <c r="O611" s="260">
        <f t="shared" si="75"/>
        <v>4615</v>
      </c>
    </row>
    <row r="612" spans="1:15" ht="15.5" x14ac:dyDescent="0.25">
      <c r="A612" s="149">
        <v>46246</v>
      </c>
      <c r="B612" s="149" t="s">
        <v>728</v>
      </c>
      <c r="C612" s="261">
        <v>1</v>
      </c>
      <c r="D612" s="29" t="s">
        <v>8</v>
      </c>
      <c r="E612" s="48" t="s">
        <v>674</v>
      </c>
      <c r="F612" s="29" t="s">
        <v>675</v>
      </c>
      <c r="G612" s="27" t="s">
        <v>319</v>
      </c>
      <c r="H612" s="114" t="s">
        <v>439</v>
      </c>
      <c r="I612" s="259" t="s">
        <v>437</v>
      </c>
      <c r="J612" s="183">
        <v>250</v>
      </c>
      <c r="K612" s="68">
        <f t="shared" si="78"/>
        <v>552.25</v>
      </c>
      <c r="L612" s="29">
        <v>2.2090000000000001</v>
      </c>
      <c r="M612" s="15">
        <v>1600</v>
      </c>
      <c r="N612" s="68">
        <f t="shared" si="76"/>
        <v>250</v>
      </c>
      <c r="O612" s="260">
        <f t="shared" si="75"/>
        <v>1350</v>
      </c>
    </row>
    <row r="613" spans="1:15" ht="15.5" x14ac:dyDescent="0.25">
      <c r="A613" s="149">
        <v>46247</v>
      </c>
      <c r="B613" s="149" t="s">
        <v>728</v>
      </c>
      <c r="C613" s="261">
        <v>1</v>
      </c>
      <c r="D613" s="29" t="s">
        <v>8</v>
      </c>
      <c r="E613" s="48" t="s">
        <v>140</v>
      </c>
      <c r="F613" s="29" t="s">
        <v>612</v>
      </c>
      <c r="G613" s="27" t="s">
        <v>408</v>
      </c>
      <c r="H613" s="114" t="s">
        <v>613</v>
      </c>
      <c r="I613" s="48" t="s">
        <v>614</v>
      </c>
      <c r="J613" s="183">
        <v>500</v>
      </c>
      <c r="K613" s="68">
        <f t="shared" si="78"/>
        <v>918.5</v>
      </c>
      <c r="L613" s="29">
        <v>1.837</v>
      </c>
      <c r="M613" s="15">
        <v>4615</v>
      </c>
      <c r="N613" s="68">
        <f t="shared" si="76"/>
        <v>500</v>
      </c>
      <c r="O613" s="15">
        <f t="shared" si="75"/>
        <v>4115</v>
      </c>
    </row>
    <row r="614" spans="1:15" ht="15.5" x14ac:dyDescent="0.25">
      <c r="A614" s="149">
        <v>46247</v>
      </c>
      <c r="B614" s="149" t="s">
        <v>728</v>
      </c>
      <c r="C614" s="261">
        <v>1</v>
      </c>
      <c r="D614" s="29" t="s">
        <v>8</v>
      </c>
      <c r="E614" s="48" t="s">
        <v>140</v>
      </c>
      <c r="F614" s="29" t="s">
        <v>612</v>
      </c>
      <c r="G614" s="27" t="s">
        <v>408</v>
      </c>
      <c r="H614" s="114" t="s">
        <v>613</v>
      </c>
      <c r="I614" s="48" t="s">
        <v>614</v>
      </c>
      <c r="J614" s="183">
        <v>250</v>
      </c>
      <c r="K614" s="68">
        <f t="shared" si="78"/>
        <v>459.25</v>
      </c>
      <c r="L614" s="29">
        <v>1.837</v>
      </c>
      <c r="M614" s="15">
        <v>4115</v>
      </c>
      <c r="N614" s="68">
        <f t="shared" si="76"/>
        <v>250</v>
      </c>
      <c r="O614" s="15">
        <f t="shared" si="75"/>
        <v>3865</v>
      </c>
    </row>
    <row r="615" spans="1:15" ht="15.5" x14ac:dyDescent="0.25">
      <c r="A615" s="149">
        <v>46247</v>
      </c>
      <c r="B615" s="149" t="s">
        <v>728</v>
      </c>
      <c r="C615" s="261">
        <v>1</v>
      </c>
      <c r="D615" s="29" t="s">
        <v>8</v>
      </c>
      <c r="E615" s="48" t="s">
        <v>140</v>
      </c>
      <c r="F615" s="29" t="s">
        <v>612</v>
      </c>
      <c r="G615" s="27" t="s">
        <v>408</v>
      </c>
      <c r="H615" s="114" t="s">
        <v>613</v>
      </c>
      <c r="I615" s="48" t="s">
        <v>614</v>
      </c>
      <c r="J615" s="183">
        <v>550</v>
      </c>
      <c r="K615" s="68">
        <f t="shared" si="78"/>
        <v>1010.35</v>
      </c>
      <c r="L615" s="29">
        <v>1.837</v>
      </c>
      <c r="M615" s="15">
        <v>3865</v>
      </c>
      <c r="N615" s="68">
        <f t="shared" si="76"/>
        <v>550</v>
      </c>
      <c r="O615" s="15">
        <f t="shared" si="75"/>
        <v>3315</v>
      </c>
    </row>
    <row r="616" spans="1:15" ht="15.5" x14ac:dyDescent="0.25">
      <c r="A616" s="149">
        <v>46247</v>
      </c>
      <c r="B616" s="149" t="s">
        <v>728</v>
      </c>
      <c r="C616" s="261">
        <v>1</v>
      </c>
      <c r="D616" s="29" t="s">
        <v>8</v>
      </c>
      <c r="E616" s="48" t="s">
        <v>676</v>
      </c>
      <c r="F616" s="29" t="s">
        <v>386</v>
      </c>
      <c r="G616" s="27" t="s">
        <v>319</v>
      </c>
      <c r="H616" s="114" t="s">
        <v>344</v>
      </c>
      <c r="I616" s="48" t="s">
        <v>385</v>
      </c>
      <c r="J616" s="183">
        <v>500</v>
      </c>
      <c r="K616" s="68">
        <f t="shared" si="78"/>
        <v>399.5</v>
      </c>
      <c r="L616" s="29">
        <v>0.79900000000000004</v>
      </c>
      <c r="M616" s="15">
        <v>500</v>
      </c>
      <c r="N616" s="68">
        <f t="shared" si="76"/>
        <v>500</v>
      </c>
      <c r="O616" s="15">
        <f t="shared" si="75"/>
        <v>0</v>
      </c>
    </row>
    <row r="617" spans="1:15" ht="15.5" x14ac:dyDescent="0.25">
      <c r="A617" s="149">
        <v>46247</v>
      </c>
      <c r="B617" s="149" t="s">
        <v>728</v>
      </c>
      <c r="C617" s="261">
        <v>1</v>
      </c>
      <c r="D617" s="29" t="s">
        <v>8</v>
      </c>
      <c r="E617" s="48" t="s">
        <v>162</v>
      </c>
      <c r="F617" s="48" t="s">
        <v>508</v>
      </c>
      <c r="G617" s="27" t="s">
        <v>319</v>
      </c>
      <c r="H617" s="114" t="s">
        <v>677</v>
      </c>
      <c r="I617" s="48" t="s">
        <v>507</v>
      </c>
      <c r="J617" s="183">
        <v>100</v>
      </c>
      <c r="K617" s="68">
        <f t="shared" si="78"/>
        <v>228.39000000000001</v>
      </c>
      <c r="L617" s="29">
        <v>2.2839</v>
      </c>
      <c r="M617" s="15">
        <v>250</v>
      </c>
      <c r="N617" s="68">
        <f t="shared" si="76"/>
        <v>100</v>
      </c>
      <c r="O617" s="15">
        <f t="shared" si="75"/>
        <v>150</v>
      </c>
    </row>
    <row r="618" spans="1:15" ht="15.5" x14ac:dyDescent="0.25">
      <c r="A618" s="149">
        <v>46247</v>
      </c>
      <c r="B618" s="149" t="s">
        <v>728</v>
      </c>
      <c r="C618" s="261">
        <v>1</v>
      </c>
      <c r="D618" s="29" t="s">
        <v>8</v>
      </c>
      <c r="E618" s="48" t="s">
        <v>615</v>
      </c>
      <c r="F618" s="29" t="s">
        <v>672</v>
      </c>
      <c r="G618" s="27" t="s">
        <v>319</v>
      </c>
      <c r="H618" s="114" t="s">
        <v>169</v>
      </c>
      <c r="I618" s="48" t="s">
        <v>398</v>
      </c>
      <c r="J618" s="183">
        <v>100</v>
      </c>
      <c r="K618" s="68">
        <f t="shared" si="78"/>
        <v>99.1</v>
      </c>
      <c r="L618" s="29">
        <v>0.99099999999999999</v>
      </c>
      <c r="M618" s="15">
        <v>100</v>
      </c>
      <c r="N618" s="68">
        <f t="shared" si="76"/>
        <v>100</v>
      </c>
      <c r="O618" s="15">
        <f t="shared" si="75"/>
        <v>0</v>
      </c>
    </row>
    <row r="619" spans="1:15" ht="15.5" x14ac:dyDescent="0.25">
      <c r="A619" s="149">
        <v>46247</v>
      </c>
      <c r="B619" s="149" t="s">
        <v>728</v>
      </c>
      <c r="C619" s="261">
        <v>1</v>
      </c>
      <c r="D619" s="29" t="s">
        <v>8</v>
      </c>
      <c r="E619" s="48" t="s">
        <v>504</v>
      </c>
      <c r="F619" s="29" t="s">
        <v>366</v>
      </c>
      <c r="G619" s="27" t="s">
        <v>319</v>
      </c>
      <c r="H619" s="114" t="s">
        <v>367</v>
      </c>
      <c r="I619" s="259" t="s">
        <v>364</v>
      </c>
      <c r="J619" s="183">
        <v>275</v>
      </c>
      <c r="K619" s="68">
        <f t="shared" si="78"/>
        <v>192.5</v>
      </c>
      <c r="L619" s="29">
        <v>0.7</v>
      </c>
      <c r="M619" s="15">
        <v>275</v>
      </c>
      <c r="N619" s="68">
        <f t="shared" si="76"/>
        <v>275</v>
      </c>
      <c r="O619" s="15">
        <f t="shared" si="75"/>
        <v>0</v>
      </c>
    </row>
    <row r="620" spans="1:15" ht="15.5" x14ac:dyDescent="0.25">
      <c r="A620" s="149">
        <v>46247</v>
      </c>
      <c r="B620" s="149" t="s">
        <v>728</v>
      </c>
      <c r="C620" s="261">
        <v>1</v>
      </c>
      <c r="D620" s="29" t="s">
        <v>8</v>
      </c>
      <c r="E620" s="48" t="s">
        <v>457</v>
      </c>
      <c r="F620" s="29" t="s">
        <v>617</v>
      </c>
      <c r="G620" s="27" t="s">
        <v>319</v>
      </c>
      <c r="H620" s="114" t="s">
        <v>347</v>
      </c>
      <c r="I620" s="48" t="s">
        <v>462</v>
      </c>
      <c r="J620" s="183">
        <v>300</v>
      </c>
      <c r="K620" s="68">
        <f t="shared" si="78"/>
        <v>225.03</v>
      </c>
      <c r="L620" s="29">
        <v>0.75009999999999999</v>
      </c>
      <c r="M620" s="15">
        <v>300</v>
      </c>
      <c r="N620" s="68">
        <f t="shared" si="76"/>
        <v>300</v>
      </c>
      <c r="O620" s="15">
        <f t="shared" si="75"/>
        <v>0</v>
      </c>
    </row>
    <row r="621" spans="1:15" ht="15.5" x14ac:dyDescent="0.25">
      <c r="A621" s="149">
        <v>46247</v>
      </c>
      <c r="B621" s="149" t="s">
        <v>728</v>
      </c>
      <c r="C621" s="261">
        <v>1</v>
      </c>
      <c r="D621" s="29" t="s">
        <v>8</v>
      </c>
      <c r="E621" s="48" t="s">
        <v>457</v>
      </c>
      <c r="F621" s="29" t="s">
        <v>678</v>
      </c>
      <c r="G621" s="27" t="s">
        <v>319</v>
      </c>
      <c r="H621" s="114" t="s">
        <v>118</v>
      </c>
      <c r="I621" s="48" t="s">
        <v>470</v>
      </c>
      <c r="J621" s="183">
        <v>50</v>
      </c>
      <c r="K621" s="68">
        <f t="shared" si="78"/>
        <v>51.824999999999996</v>
      </c>
      <c r="L621" s="29">
        <v>1.0365</v>
      </c>
      <c r="M621" s="15">
        <v>800</v>
      </c>
      <c r="N621" s="68">
        <f t="shared" si="76"/>
        <v>50</v>
      </c>
      <c r="O621" s="15">
        <f t="shared" si="75"/>
        <v>750</v>
      </c>
    </row>
    <row r="622" spans="1:15" ht="15.5" x14ac:dyDescent="0.25">
      <c r="A622" s="149">
        <v>46247</v>
      </c>
      <c r="B622" s="149" t="s">
        <v>728</v>
      </c>
      <c r="C622" s="261">
        <v>1</v>
      </c>
      <c r="D622" s="29" t="s">
        <v>8</v>
      </c>
      <c r="E622" s="48" t="s">
        <v>689</v>
      </c>
      <c r="F622" s="29" t="s">
        <v>675</v>
      </c>
      <c r="G622" s="27" t="s">
        <v>319</v>
      </c>
      <c r="H622" s="114" t="s">
        <v>439</v>
      </c>
      <c r="I622" s="259" t="s">
        <v>437</v>
      </c>
      <c r="J622" s="183">
        <v>270</v>
      </c>
      <c r="K622" s="68">
        <f t="shared" si="78"/>
        <v>596.43000000000006</v>
      </c>
      <c r="L622" s="29">
        <v>2.2090000000000001</v>
      </c>
      <c r="M622" s="15">
        <v>1350</v>
      </c>
      <c r="N622" s="68">
        <f t="shared" si="76"/>
        <v>270</v>
      </c>
      <c r="O622" s="15">
        <f t="shared" ref="O622:O675" si="79">M622-N622</f>
        <v>1080</v>
      </c>
    </row>
    <row r="623" spans="1:15" ht="15.5" x14ac:dyDescent="0.25">
      <c r="A623" s="149">
        <v>46248</v>
      </c>
      <c r="B623" s="149" t="s">
        <v>728</v>
      </c>
      <c r="C623" s="261">
        <v>1</v>
      </c>
      <c r="D623" s="29" t="s">
        <v>8</v>
      </c>
      <c r="E623" s="48" t="s">
        <v>140</v>
      </c>
      <c r="F623" s="29" t="s">
        <v>612</v>
      </c>
      <c r="G623" s="27" t="s">
        <v>408</v>
      </c>
      <c r="H623" s="114" t="s">
        <v>613</v>
      </c>
      <c r="I623" s="48" t="s">
        <v>614</v>
      </c>
      <c r="J623" s="183">
        <v>425</v>
      </c>
      <c r="K623" s="68">
        <f t="shared" si="78"/>
        <v>780.72500000000002</v>
      </c>
      <c r="L623" s="29">
        <v>1.837</v>
      </c>
      <c r="M623" s="15">
        <v>3315</v>
      </c>
      <c r="N623" s="68">
        <f t="shared" si="76"/>
        <v>425</v>
      </c>
      <c r="O623" s="15">
        <f t="shared" si="79"/>
        <v>2890</v>
      </c>
    </row>
    <row r="624" spans="1:15" ht="15.5" x14ac:dyDescent="0.25">
      <c r="A624" s="149">
        <v>46248</v>
      </c>
      <c r="B624" s="149" t="s">
        <v>728</v>
      </c>
      <c r="C624" s="261">
        <v>1</v>
      </c>
      <c r="D624" s="29" t="s">
        <v>8</v>
      </c>
      <c r="E624" s="48" t="s">
        <v>502</v>
      </c>
      <c r="F624" s="29" t="s">
        <v>427</v>
      </c>
      <c r="G624" s="27" t="s">
        <v>408</v>
      </c>
      <c r="H624" s="114" t="s">
        <v>292</v>
      </c>
      <c r="I624" s="48" t="s">
        <v>426</v>
      </c>
      <c r="J624" s="183">
        <v>150</v>
      </c>
      <c r="K624" s="68">
        <f t="shared" si="78"/>
        <v>162.20999999999998</v>
      </c>
      <c r="L624" s="29">
        <v>1.0813999999999999</v>
      </c>
      <c r="M624" s="15">
        <v>6400</v>
      </c>
      <c r="N624" s="68">
        <f t="shared" si="76"/>
        <v>150</v>
      </c>
      <c r="O624" s="15">
        <f t="shared" si="79"/>
        <v>6250</v>
      </c>
    </row>
    <row r="625" spans="1:15" ht="15.5" x14ac:dyDescent="0.25">
      <c r="A625" s="149">
        <v>46248</v>
      </c>
      <c r="B625" s="149" t="s">
        <v>728</v>
      </c>
      <c r="C625" s="261">
        <v>1</v>
      </c>
      <c r="D625" s="29" t="s">
        <v>8</v>
      </c>
      <c r="E625" s="48" t="s">
        <v>457</v>
      </c>
      <c r="F625" s="29" t="s">
        <v>679</v>
      </c>
      <c r="G625" s="27" t="s">
        <v>408</v>
      </c>
      <c r="H625" s="114" t="s">
        <v>336</v>
      </c>
      <c r="I625" s="48" t="s">
        <v>334</v>
      </c>
      <c r="J625" s="183">
        <v>175</v>
      </c>
      <c r="K625" s="68">
        <f t="shared" si="78"/>
        <v>432.6</v>
      </c>
      <c r="L625" s="29">
        <v>2.472</v>
      </c>
      <c r="M625" s="15">
        <v>175</v>
      </c>
      <c r="N625" s="68">
        <f t="shared" si="76"/>
        <v>175</v>
      </c>
      <c r="O625" s="15">
        <f t="shared" si="79"/>
        <v>0</v>
      </c>
    </row>
    <row r="626" spans="1:15" ht="15.5" x14ac:dyDescent="0.25">
      <c r="A626" s="149">
        <v>46248</v>
      </c>
      <c r="B626" s="149" t="s">
        <v>728</v>
      </c>
      <c r="C626" s="261">
        <v>1</v>
      </c>
      <c r="D626" s="29" t="s">
        <v>8</v>
      </c>
      <c r="E626" s="48" t="s">
        <v>676</v>
      </c>
      <c r="F626" s="29" t="s">
        <v>388</v>
      </c>
      <c r="G626" s="27" t="s">
        <v>319</v>
      </c>
      <c r="H626" s="114" t="s">
        <v>169</v>
      </c>
      <c r="I626" s="48" t="s">
        <v>387</v>
      </c>
      <c r="J626" s="183">
        <v>75</v>
      </c>
      <c r="K626" s="68">
        <f t="shared" si="78"/>
        <v>73.14</v>
      </c>
      <c r="L626" s="29">
        <v>0.97519999999999996</v>
      </c>
      <c r="M626" s="15">
        <v>900</v>
      </c>
      <c r="N626" s="68">
        <f t="shared" si="76"/>
        <v>75</v>
      </c>
      <c r="O626" s="15">
        <f t="shared" si="79"/>
        <v>825</v>
      </c>
    </row>
    <row r="627" spans="1:15" ht="15.5" x14ac:dyDescent="0.25">
      <c r="A627" s="149">
        <v>46248</v>
      </c>
      <c r="B627" s="149" t="s">
        <v>728</v>
      </c>
      <c r="C627" s="261">
        <v>1</v>
      </c>
      <c r="D627" s="29" t="s">
        <v>8</v>
      </c>
      <c r="E627" s="48" t="s">
        <v>457</v>
      </c>
      <c r="F627" s="29" t="s">
        <v>678</v>
      </c>
      <c r="G627" s="27" t="s">
        <v>319</v>
      </c>
      <c r="H627" s="114" t="s">
        <v>118</v>
      </c>
      <c r="I627" s="48" t="s">
        <v>470</v>
      </c>
      <c r="J627" s="183">
        <v>750</v>
      </c>
      <c r="K627" s="68">
        <f t="shared" si="78"/>
        <v>777.375</v>
      </c>
      <c r="L627" s="29">
        <v>1.0365</v>
      </c>
      <c r="M627" s="15">
        <v>750</v>
      </c>
      <c r="N627" s="68">
        <f t="shared" si="76"/>
        <v>750</v>
      </c>
      <c r="O627" s="15">
        <f t="shared" si="79"/>
        <v>0</v>
      </c>
    </row>
    <row r="628" spans="1:15" ht="15.5" x14ac:dyDescent="0.25">
      <c r="A628" s="149">
        <v>46248</v>
      </c>
      <c r="B628" s="149" t="s">
        <v>728</v>
      </c>
      <c r="C628" s="261">
        <v>1</v>
      </c>
      <c r="D628" s="29" t="s">
        <v>8</v>
      </c>
      <c r="E628" s="48" t="s">
        <v>457</v>
      </c>
      <c r="F628" s="29" t="s">
        <v>680</v>
      </c>
      <c r="G628" s="27" t="s">
        <v>319</v>
      </c>
      <c r="H628" s="114" t="s">
        <v>344</v>
      </c>
      <c r="I628" s="48" t="s">
        <v>488</v>
      </c>
      <c r="J628" s="183">
        <v>200</v>
      </c>
      <c r="K628" s="68">
        <f t="shared" si="78"/>
        <v>153.16</v>
      </c>
      <c r="L628" s="29">
        <v>0.76580000000000004</v>
      </c>
      <c r="M628" s="15">
        <v>500</v>
      </c>
      <c r="N628" s="68">
        <f t="shared" si="76"/>
        <v>200</v>
      </c>
      <c r="O628" s="15">
        <f t="shared" si="79"/>
        <v>300</v>
      </c>
    </row>
    <row r="629" spans="1:15" ht="15.5" x14ac:dyDescent="0.25">
      <c r="A629" s="149">
        <v>46248</v>
      </c>
      <c r="B629" s="149" t="s">
        <v>728</v>
      </c>
      <c r="C629" s="261">
        <v>1</v>
      </c>
      <c r="D629" s="29" t="s">
        <v>8</v>
      </c>
      <c r="E629" s="48" t="s">
        <v>162</v>
      </c>
      <c r="F629" s="48" t="s">
        <v>508</v>
      </c>
      <c r="G629" s="27" t="s">
        <v>319</v>
      </c>
      <c r="H629" s="114" t="s">
        <v>677</v>
      </c>
      <c r="I629" s="48" t="s">
        <v>507</v>
      </c>
      <c r="J629" s="183">
        <v>150</v>
      </c>
      <c r="K629" s="68">
        <f t="shared" si="78"/>
        <v>342.58499999999998</v>
      </c>
      <c r="L629" s="29">
        <v>2.2839</v>
      </c>
      <c r="M629" s="15">
        <v>150</v>
      </c>
      <c r="N629" s="68">
        <f t="shared" si="76"/>
        <v>150</v>
      </c>
      <c r="O629" s="15">
        <f t="shared" si="79"/>
        <v>0</v>
      </c>
    </row>
    <row r="630" spans="1:15" ht="15.5" x14ac:dyDescent="0.25">
      <c r="A630" s="149">
        <v>46248</v>
      </c>
      <c r="B630" s="149" t="s">
        <v>728</v>
      </c>
      <c r="C630" s="261">
        <v>1</v>
      </c>
      <c r="D630" s="29" t="s">
        <v>8</v>
      </c>
      <c r="E630" s="48" t="s">
        <v>676</v>
      </c>
      <c r="F630" s="29" t="s">
        <v>382</v>
      </c>
      <c r="G630" s="27" t="s">
        <v>319</v>
      </c>
      <c r="H630" s="114" t="s">
        <v>344</v>
      </c>
      <c r="I630" s="48" t="s">
        <v>381</v>
      </c>
      <c r="J630" s="183">
        <v>500</v>
      </c>
      <c r="K630" s="68">
        <f t="shared" si="78"/>
        <v>402.5</v>
      </c>
      <c r="L630" s="29">
        <v>0.80500000000000005</v>
      </c>
      <c r="M630" s="15">
        <v>500</v>
      </c>
      <c r="N630" s="68">
        <f t="shared" si="76"/>
        <v>500</v>
      </c>
      <c r="O630" s="15">
        <f t="shared" si="79"/>
        <v>0</v>
      </c>
    </row>
    <row r="631" spans="1:15" ht="15.5" x14ac:dyDescent="0.25">
      <c r="A631" s="149">
        <v>46248</v>
      </c>
      <c r="B631" s="149" t="s">
        <v>728</v>
      </c>
      <c r="C631" s="261">
        <v>1</v>
      </c>
      <c r="D631" s="29" t="s">
        <v>8</v>
      </c>
      <c r="E631" s="48" t="s">
        <v>689</v>
      </c>
      <c r="F631" s="29" t="s">
        <v>675</v>
      </c>
      <c r="G631" s="27" t="s">
        <v>319</v>
      </c>
      <c r="H631" s="114" t="s">
        <v>439</v>
      </c>
      <c r="I631" s="259" t="s">
        <v>437</v>
      </c>
      <c r="J631" s="183">
        <v>400</v>
      </c>
      <c r="K631" s="68">
        <f t="shared" si="78"/>
        <v>883.6</v>
      </c>
      <c r="L631" s="29">
        <v>2.2090000000000001</v>
      </c>
      <c r="M631" s="15">
        <v>1080</v>
      </c>
      <c r="N631" s="68">
        <f t="shared" si="76"/>
        <v>400</v>
      </c>
      <c r="O631" s="15">
        <f t="shared" si="79"/>
        <v>680</v>
      </c>
    </row>
    <row r="632" spans="1:15" ht="15.5" x14ac:dyDescent="0.25">
      <c r="A632" s="149">
        <v>46251</v>
      </c>
      <c r="B632" s="149" t="s">
        <v>728</v>
      </c>
      <c r="C632" s="261">
        <v>1</v>
      </c>
      <c r="D632" s="29" t="s">
        <v>8</v>
      </c>
      <c r="E632" s="48" t="s">
        <v>140</v>
      </c>
      <c r="F632" s="29" t="s">
        <v>612</v>
      </c>
      <c r="G632" s="27" t="s">
        <v>408</v>
      </c>
      <c r="H632" s="114" t="s">
        <v>613</v>
      </c>
      <c r="I632" s="48" t="s">
        <v>614</v>
      </c>
      <c r="J632" s="183">
        <v>400</v>
      </c>
      <c r="K632" s="68">
        <f t="shared" si="78"/>
        <v>734.8</v>
      </c>
      <c r="L632" s="29">
        <v>1.837</v>
      </c>
      <c r="M632" s="15">
        <v>2890</v>
      </c>
      <c r="N632" s="68">
        <f t="shared" si="76"/>
        <v>400</v>
      </c>
      <c r="O632" s="15">
        <f t="shared" si="79"/>
        <v>2490</v>
      </c>
    </row>
    <row r="633" spans="1:15" ht="15.5" x14ac:dyDescent="0.25">
      <c r="A633" s="149">
        <v>46251</v>
      </c>
      <c r="B633" s="149" t="s">
        <v>728</v>
      </c>
      <c r="C633" s="261">
        <v>1</v>
      </c>
      <c r="D633" s="29" t="s">
        <v>8</v>
      </c>
      <c r="E633" s="48" t="s">
        <v>502</v>
      </c>
      <c r="F633" s="29" t="s">
        <v>427</v>
      </c>
      <c r="G633" s="27" t="s">
        <v>408</v>
      </c>
      <c r="H633" s="114" t="s">
        <v>292</v>
      </c>
      <c r="I633" s="48" t="s">
        <v>426</v>
      </c>
      <c r="J633" s="183">
        <v>50</v>
      </c>
      <c r="K633" s="68">
        <f t="shared" si="78"/>
        <v>54.069999999999993</v>
      </c>
      <c r="L633" s="29">
        <v>1.0813999999999999</v>
      </c>
      <c r="M633" s="15">
        <v>6250</v>
      </c>
      <c r="N633" s="68">
        <f t="shared" si="76"/>
        <v>50</v>
      </c>
      <c r="O633" s="15">
        <f t="shared" si="79"/>
        <v>6200</v>
      </c>
    </row>
    <row r="634" spans="1:15" ht="15.5" x14ac:dyDescent="0.25">
      <c r="A634" s="149">
        <v>46251</v>
      </c>
      <c r="B634" s="149" t="s">
        <v>728</v>
      </c>
      <c r="C634" s="261">
        <v>1</v>
      </c>
      <c r="D634" s="29" t="s">
        <v>8</v>
      </c>
      <c r="E634" s="48" t="s">
        <v>681</v>
      </c>
      <c r="F634" s="29" t="s">
        <v>664</v>
      </c>
      <c r="G634" s="27" t="s">
        <v>319</v>
      </c>
      <c r="H634" s="114" t="s">
        <v>325</v>
      </c>
      <c r="I634" s="48" t="s">
        <v>682</v>
      </c>
      <c r="J634" s="183">
        <v>200</v>
      </c>
      <c r="K634" s="68">
        <f t="shared" si="78"/>
        <v>389.58</v>
      </c>
      <c r="L634" s="29">
        <v>1.9479</v>
      </c>
      <c r="M634" s="15">
        <v>200</v>
      </c>
      <c r="N634" s="68">
        <f t="shared" si="76"/>
        <v>200</v>
      </c>
      <c r="O634" s="15">
        <f t="shared" si="79"/>
        <v>0</v>
      </c>
    </row>
    <row r="635" spans="1:15" ht="15.5" x14ac:dyDescent="0.25">
      <c r="A635" s="149">
        <v>46251</v>
      </c>
      <c r="B635" s="149" t="s">
        <v>728</v>
      </c>
      <c r="C635" s="261">
        <v>1</v>
      </c>
      <c r="D635" s="29" t="s">
        <v>8</v>
      </c>
      <c r="E635" s="48" t="s">
        <v>676</v>
      </c>
      <c r="F635" s="29" t="s">
        <v>388</v>
      </c>
      <c r="G635" s="27" t="s">
        <v>319</v>
      </c>
      <c r="H635" s="114" t="s">
        <v>169</v>
      </c>
      <c r="I635" s="48" t="s">
        <v>387</v>
      </c>
      <c r="J635" s="183">
        <v>825</v>
      </c>
      <c r="K635" s="68">
        <f t="shared" si="78"/>
        <v>804.54</v>
      </c>
      <c r="L635" s="29">
        <v>0.97519999999999996</v>
      </c>
      <c r="M635" s="15">
        <v>825</v>
      </c>
      <c r="N635" s="68">
        <f t="shared" ref="N635:N675" si="80">J635</f>
        <v>825</v>
      </c>
      <c r="O635" s="15">
        <f t="shared" si="79"/>
        <v>0</v>
      </c>
    </row>
    <row r="636" spans="1:15" ht="15.5" x14ac:dyDescent="0.25">
      <c r="A636" s="149">
        <v>46251</v>
      </c>
      <c r="B636" s="149" t="s">
        <v>728</v>
      </c>
      <c r="C636" s="261">
        <v>1</v>
      </c>
      <c r="D636" s="29" t="s">
        <v>8</v>
      </c>
      <c r="E636" s="48" t="s">
        <v>457</v>
      </c>
      <c r="F636" s="29" t="s">
        <v>680</v>
      </c>
      <c r="G636" s="27" t="s">
        <v>319</v>
      </c>
      <c r="H636" s="114" t="s">
        <v>344</v>
      </c>
      <c r="I636" s="48" t="s">
        <v>488</v>
      </c>
      <c r="J636" s="183">
        <v>250</v>
      </c>
      <c r="K636" s="68">
        <f t="shared" si="78"/>
        <v>191.45000000000002</v>
      </c>
      <c r="L636" s="29">
        <v>0.76580000000000004</v>
      </c>
      <c r="M636" s="15">
        <v>300</v>
      </c>
      <c r="N636" s="68">
        <f t="shared" si="80"/>
        <v>250</v>
      </c>
      <c r="O636" s="15">
        <f t="shared" si="79"/>
        <v>50</v>
      </c>
    </row>
    <row r="637" spans="1:15" ht="15.5" x14ac:dyDescent="0.25">
      <c r="A637" s="149">
        <v>46251</v>
      </c>
      <c r="B637" s="149" t="s">
        <v>728</v>
      </c>
      <c r="C637" s="261">
        <v>1</v>
      </c>
      <c r="D637" s="29" t="s">
        <v>8</v>
      </c>
      <c r="E637" s="48" t="s">
        <v>689</v>
      </c>
      <c r="F637" s="48" t="s">
        <v>428</v>
      </c>
      <c r="G637" s="27" t="s">
        <v>319</v>
      </c>
      <c r="H637" s="114" t="s">
        <v>262</v>
      </c>
      <c r="I637" s="48" t="s">
        <v>396</v>
      </c>
      <c r="J637" s="183">
        <v>740</v>
      </c>
      <c r="K637" s="68">
        <f t="shared" si="78"/>
        <v>576.82999999999993</v>
      </c>
      <c r="L637" s="29">
        <v>0.77949999999999997</v>
      </c>
      <c r="M637" s="15">
        <v>1740</v>
      </c>
      <c r="N637" s="68">
        <f t="shared" si="80"/>
        <v>740</v>
      </c>
      <c r="O637" s="15">
        <f t="shared" si="79"/>
        <v>1000</v>
      </c>
    </row>
    <row r="638" spans="1:15" ht="14.4" customHeight="1" x14ac:dyDescent="0.25">
      <c r="A638" s="149">
        <v>46251</v>
      </c>
      <c r="B638" s="149" t="s">
        <v>728</v>
      </c>
      <c r="C638" s="261">
        <v>1</v>
      </c>
      <c r="D638" s="29" t="s">
        <v>8</v>
      </c>
      <c r="E638" s="48" t="s">
        <v>689</v>
      </c>
      <c r="F638" s="29" t="s">
        <v>429</v>
      </c>
      <c r="G638" s="27" t="s">
        <v>319</v>
      </c>
      <c r="H638" s="114" t="s">
        <v>169</v>
      </c>
      <c r="I638" s="48" t="s">
        <v>397</v>
      </c>
      <c r="J638" s="183">
        <v>900</v>
      </c>
      <c r="K638" s="68">
        <f t="shared" si="78"/>
        <v>903.78</v>
      </c>
      <c r="L638" s="29">
        <v>1.0042</v>
      </c>
      <c r="M638" s="15">
        <v>1350</v>
      </c>
      <c r="N638" s="68">
        <f t="shared" si="80"/>
        <v>900</v>
      </c>
      <c r="O638" s="15">
        <f t="shared" si="79"/>
        <v>450</v>
      </c>
    </row>
    <row r="639" spans="1:15" ht="15.5" x14ac:dyDescent="0.25">
      <c r="A639" s="149">
        <v>46251</v>
      </c>
      <c r="B639" s="149" t="s">
        <v>728</v>
      </c>
      <c r="C639" s="261">
        <v>1</v>
      </c>
      <c r="D639" s="29" t="s">
        <v>8</v>
      </c>
      <c r="E639" s="48" t="s">
        <v>689</v>
      </c>
      <c r="F639" s="29" t="s">
        <v>675</v>
      </c>
      <c r="G639" s="27" t="s">
        <v>319</v>
      </c>
      <c r="H639" s="114" t="s">
        <v>439</v>
      </c>
      <c r="I639" s="259" t="s">
        <v>437</v>
      </c>
      <c r="J639" s="183">
        <v>200</v>
      </c>
      <c r="K639" s="68">
        <f t="shared" si="78"/>
        <v>441.8</v>
      </c>
      <c r="L639" s="29">
        <v>2.2090000000000001</v>
      </c>
      <c r="M639" s="15">
        <v>680</v>
      </c>
      <c r="N639" s="68">
        <f t="shared" si="80"/>
        <v>200</v>
      </c>
      <c r="O639" s="15">
        <f t="shared" si="79"/>
        <v>480</v>
      </c>
    </row>
    <row r="640" spans="1:15" ht="15.5" x14ac:dyDescent="0.25">
      <c r="A640" s="270">
        <v>46252</v>
      </c>
      <c r="B640" s="149" t="s">
        <v>728</v>
      </c>
      <c r="C640" s="261">
        <v>1</v>
      </c>
      <c r="D640" s="183" t="s">
        <v>8</v>
      </c>
      <c r="E640" s="259" t="s">
        <v>140</v>
      </c>
      <c r="F640" s="183" t="s">
        <v>612</v>
      </c>
      <c r="G640" s="271" t="s">
        <v>408</v>
      </c>
      <c r="H640" s="272" t="s">
        <v>613</v>
      </c>
      <c r="I640" s="259" t="s">
        <v>614</v>
      </c>
      <c r="J640" s="183">
        <v>200</v>
      </c>
      <c r="K640" s="273">
        <f t="shared" si="78"/>
        <v>367.4</v>
      </c>
      <c r="L640" s="183">
        <v>1.837</v>
      </c>
      <c r="M640" s="274">
        <v>2490</v>
      </c>
      <c r="N640" s="273">
        <f t="shared" si="80"/>
        <v>200</v>
      </c>
      <c r="O640" s="274">
        <f t="shared" si="79"/>
        <v>2290</v>
      </c>
    </row>
    <row r="641" spans="1:15" ht="15.5" x14ac:dyDescent="0.25">
      <c r="A641" s="270">
        <v>46252</v>
      </c>
      <c r="B641" s="149" t="s">
        <v>728</v>
      </c>
      <c r="C641" s="261">
        <v>1</v>
      </c>
      <c r="D641" s="183" t="s">
        <v>8</v>
      </c>
      <c r="E641" s="259" t="s">
        <v>683</v>
      </c>
      <c r="F641" s="183" t="s">
        <v>684</v>
      </c>
      <c r="G641" s="271" t="s">
        <v>685</v>
      </c>
      <c r="H641" s="272" t="s">
        <v>686</v>
      </c>
      <c r="I641" s="259" t="s">
        <v>563</v>
      </c>
      <c r="J641" s="183">
        <v>50</v>
      </c>
      <c r="K641" s="273">
        <f t="shared" si="78"/>
        <v>140</v>
      </c>
      <c r="L641" s="183">
        <v>2.8</v>
      </c>
      <c r="M641" s="274">
        <v>500</v>
      </c>
      <c r="N641" s="273">
        <f t="shared" si="80"/>
        <v>50</v>
      </c>
      <c r="O641" s="274">
        <f t="shared" si="79"/>
        <v>450</v>
      </c>
    </row>
    <row r="642" spans="1:15" ht="15.5" x14ac:dyDescent="0.25">
      <c r="A642" s="270">
        <v>46252</v>
      </c>
      <c r="B642" s="149" t="s">
        <v>728</v>
      </c>
      <c r="C642" s="261">
        <v>1</v>
      </c>
      <c r="D642" s="183" t="s">
        <v>8</v>
      </c>
      <c r="E642" s="259" t="s">
        <v>502</v>
      </c>
      <c r="F642" s="183" t="s">
        <v>427</v>
      </c>
      <c r="G642" s="271" t="s">
        <v>408</v>
      </c>
      <c r="H642" s="272" t="s">
        <v>292</v>
      </c>
      <c r="I642" s="259" t="s">
        <v>426</v>
      </c>
      <c r="J642" s="183">
        <v>700</v>
      </c>
      <c r="K642" s="273">
        <f t="shared" si="78"/>
        <v>756.9799999999999</v>
      </c>
      <c r="L642" s="183">
        <v>1.0813999999999999</v>
      </c>
      <c r="M642" s="274">
        <v>6200</v>
      </c>
      <c r="N642" s="273">
        <f t="shared" si="80"/>
        <v>700</v>
      </c>
      <c r="O642" s="274">
        <f t="shared" si="79"/>
        <v>5500</v>
      </c>
    </row>
    <row r="643" spans="1:15" ht="15.5" x14ac:dyDescent="0.25">
      <c r="A643" s="270">
        <v>46252</v>
      </c>
      <c r="B643" s="149" t="s">
        <v>728</v>
      </c>
      <c r="C643" s="261">
        <v>1</v>
      </c>
      <c r="D643" s="183" t="s">
        <v>8</v>
      </c>
      <c r="E643" s="259" t="s">
        <v>689</v>
      </c>
      <c r="F643" s="183" t="s">
        <v>429</v>
      </c>
      <c r="G643" s="271" t="s">
        <v>319</v>
      </c>
      <c r="H643" s="272" t="s">
        <v>169</v>
      </c>
      <c r="I643" s="259" t="s">
        <v>397</v>
      </c>
      <c r="J643" s="183">
        <v>450</v>
      </c>
      <c r="K643" s="273">
        <f t="shared" si="78"/>
        <v>451.89</v>
      </c>
      <c r="L643" s="183">
        <v>1.0042</v>
      </c>
      <c r="M643" s="274">
        <v>450</v>
      </c>
      <c r="N643" s="273">
        <f t="shared" si="80"/>
        <v>450</v>
      </c>
      <c r="O643" s="274">
        <f t="shared" si="79"/>
        <v>0</v>
      </c>
    </row>
    <row r="644" spans="1:15" ht="15.5" x14ac:dyDescent="0.25">
      <c r="A644" s="270">
        <v>46252</v>
      </c>
      <c r="B644" s="149" t="s">
        <v>728</v>
      </c>
      <c r="C644" s="261">
        <v>1</v>
      </c>
      <c r="D644" s="183" t="s">
        <v>8</v>
      </c>
      <c r="E644" s="259" t="s">
        <v>457</v>
      </c>
      <c r="F644" s="183" t="s">
        <v>517</v>
      </c>
      <c r="G644" s="271" t="s">
        <v>319</v>
      </c>
      <c r="H644" s="272" t="s">
        <v>123</v>
      </c>
      <c r="I644" s="259" t="s">
        <v>516</v>
      </c>
      <c r="J644" s="183">
        <v>550</v>
      </c>
      <c r="K644" s="273">
        <f t="shared" si="78"/>
        <v>445.22500000000002</v>
      </c>
      <c r="L644" s="183">
        <v>0.8095</v>
      </c>
      <c r="M644" s="274">
        <v>1500</v>
      </c>
      <c r="N644" s="273">
        <f t="shared" si="80"/>
        <v>550</v>
      </c>
      <c r="O644" s="274">
        <f t="shared" si="79"/>
        <v>950</v>
      </c>
    </row>
    <row r="645" spans="1:15" ht="15.5" x14ac:dyDescent="0.25">
      <c r="A645" s="270">
        <v>46252</v>
      </c>
      <c r="B645" s="149" t="s">
        <v>728</v>
      </c>
      <c r="C645" s="261">
        <v>1</v>
      </c>
      <c r="D645" s="183" t="s">
        <v>8</v>
      </c>
      <c r="E645" s="259" t="s">
        <v>457</v>
      </c>
      <c r="F645" s="183" t="s">
        <v>680</v>
      </c>
      <c r="G645" s="271" t="s">
        <v>319</v>
      </c>
      <c r="H645" s="272" t="s">
        <v>344</v>
      </c>
      <c r="I645" s="259" t="s">
        <v>488</v>
      </c>
      <c r="J645" s="183">
        <v>50</v>
      </c>
      <c r="K645" s="273">
        <f t="shared" si="78"/>
        <v>38.29</v>
      </c>
      <c r="L645" s="183">
        <v>0.76580000000000004</v>
      </c>
      <c r="M645" s="274">
        <v>50</v>
      </c>
      <c r="N645" s="273">
        <f t="shared" si="80"/>
        <v>50</v>
      </c>
      <c r="O645" s="274">
        <f t="shared" si="79"/>
        <v>0</v>
      </c>
    </row>
    <row r="646" spans="1:15" ht="15.5" x14ac:dyDescent="0.25">
      <c r="A646" s="270">
        <v>46252</v>
      </c>
      <c r="B646" s="149" t="s">
        <v>728</v>
      </c>
      <c r="C646" s="261">
        <v>1</v>
      </c>
      <c r="D646" s="183" t="s">
        <v>8</v>
      </c>
      <c r="E646" s="259" t="s">
        <v>457</v>
      </c>
      <c r="F646" s="183" t="s">
        <v>687</v>
      </c>
      <c r="G646" s="271" t="s">
        <v>319</v>
      </c>
      <c r="H646" s="272" t="s">
        <v>118</v>
      </c>
      <c r="I646" s="259" t="s">
        <v>544</v>
      </c>
      <c r="J646" s="183">
        <v>100</v>
      </c>
      <c r="K646" s="273">
        <f t="shared" si="78"/>
        <v>87.02</v>
      </c>
      <c r="L646" s="183">
        <v>0.87019999999999997</v>
      </c>
      <c r="M646" s="274">
        <v>1000</v>
      </c>
      <c r="N646" s="273">
        <f t="shared" si="80"/>
        <v>100</v>
      </c>
      <c r="O646" s="274">
        <f t="shared" si="79"/>
        <v>900</v>
      </c>
    </row>
    <row r="647" spans="1:15" ht="15.5" x14ac:dyDescent="0.25">
      <c r="A647" s="270">
        <v>46252</v>
      </c>
      <c r="B647" s="149" t="s">
        <v>728</v>
      </c>
      <c r="C647" s="261">
        <v>1</v>
      </c>
      <c r="D647" s="183" t="s">
        <v>8</v>
      </c>
      <c r="E647" s="259" t="s">
        <v>689</v>
      </c>
      <c r="F647" s="259" t="s">
        <v>428</v>
      </c>
      <c r="G647" s="271" t="s">
        <v>319</v>
      </c>
      <c r="H647" s="272" t="s">
        <v>262</v>
      </c>
      <c r="I647" s="259" t="s">
        <v>396</v>
      </c>
      <c r="J647" s="183">
        <v>950</v>
      </c>
      <c r="K647" s="273">
        <f t="shared" si="78"/>
        <v>740.52499999999998</v>
      </c>
      <c r="L647" s="183">
        <v>0.77949999999999997</v>
      </c>
      <c r="M647" s="274">
        <v>1000</v>
      </c>
      <c r="N647" s="273">
        <f t="shared" si="80"/>
        <v>950</v>
      </c>
      <c r="O647" s="274">
        <f t="shared" si="79"/>
        <v>50</v>
      </c>
    </row>
    <row r="648" spans="1:15" ht="15.5" x14ac:dyDescent="0.25">
      <c r="A648" s="270">
        <v>46252</v>
      </c>
      <c r="B648" s="149" t="s">
        <v>728</v>
      </c>
      <c r="C648" s="261">
        <v>1</v>
      </c>
      <c r="D648" s="183" t="s">
        <v>8</v>
      </c>
      <c r="E648" s="259" t="s">
        <v>457</v>
      </c>
      <c r="F648" s="183" t="s">
        <v>517</v>
      </c>
      <c r="G648" s="271" t="s">
        <v>319</v>
      </c>
      <c r="H648" s="272" t="s">
        <v>123</v>
      </c>
      <c r="I648" s="259" t="s">
        <v>516</v>
      </c>
      <c r="J648" s="183">
        <v>900</v>
      </c>
      <c r="K648" s="273">
        <f t="shared" si="78"/>
        <v>728.55</v>
      </c>
      <c r="L648" s="183">
        <v>0.8095</v>
      </c>
      <c r="M648" s="274">
        <v>950</v>
      </c>
      <c r="N648" s="273">
        <f t="shared" si="80"/>
        <v>900</v>
      </c>
      <c r="O648" s="274">
        <f t="shared" si="79"/>
        <v>50</v>
      </c>
    </row>
    <row r="649" spans="1:15" ht="15.5" x14ac:dyDescent="0.25">
      <c r="A649" s="270">
        <v>46252</v>
      </c>
      <c r="B649" s="149" t="s">
        <v>728</v>
      </c>
      <c r="C649" s="261">
        <v>1</v>
      </c>
      <c r="D649" s="183" t="s">
        <v>8</v>
      </c>
      <c r="E649" s="259" t="s">
        <v>457</v>
      </c>
      <c r="F649" s="183" t="s">
        <v>688</v>
      </c>
      <c r="G649" s="271" t="s">
        <v>319</v>
      </c>
      <c r="H649" s="272" t="s">
        <v>344</v>
      </c>
      <c r="I649" s="259" t="s">
        <v>512</v>
      </c>
      <c r="J649" s="183">
        <v>450</v>
      </c>
      <c r="K649" s="273">
        <f t="shared" si="78"/>
        <v>358.10999999999996</v>
      </c>
      <c r="L649" s="183">
        <v>0.79579999999999995</v>
      </c>
      <c r="M649" s="274">
        <v>1000</v>
      </c>
      <c r="N649" s="273">
        <f t="shared" si="80"/>
        <v>450</v>
      </c>
      <c r="O649" s="274">
        <f t="shared" si="79"/>
        <v>550</v>
      </c>
    </row>
    <row r="650" spans="1:15" ht="15.5" x14ac:dyDescent="0.25">
      <c r="A650" s="270">
        <v>46252</v>
      </c>
      <c r="B650" s="149" t="s">
        <v>728</v>
      </c>
      <c r="C650" s="261">
        <v>1</v>
      </c>
      <c r="D650" s="183" t="s">
        <v>8</v>
      </c>
      <c r="E650" s="259" t="s">
        <v>689</v>
      </c>
      <c r="F650" s="183" t="s">
        <v>675</v>
      </c>
      <c r="G650" s="271" t="s">
        <v>319</v>
      </c>
      <c r="H650" s="272" t="s">
        <v>439</v>
      </c>
      <c r="I650" s="259" t="s">
        <v>437</v>
      </c>
      <c r="J650" s="183">
        <v>190</v>
      </c>
      <c r="K650" s="273">
        <f t="shared" si="78"/>
        <v>419.71000000000004</v>
      </c>
      <c r="L650" s="183">
        <v>2.2090000000000001</v>
      </c>
      <c r="M650" s="274">
        <v>480</v>
      </c>
      <c r="N650" s="273">
        <f t="shared" si="80"/>
        <v>190</v>
      </c>
      <c r="O650" s="274">
        <f t="shared" si="79"/>
        <v>290</v>
      </c>
    </row>
    <row r="651" spans="1:15" ht="15.5" x14ac:dyDescent="0.25">
      <c r="A651" s="270">
        <v>46253</v>
      </c>
      <c r="B651" s="149" t="s">
        <v>728</v>
      </c>
      <c r="C651" s="261">
        <v>1</v>
      </c>
      <c r="D651" s="183" t="s">
        <v>8</v>
      </c>
      <c r="E651" s="259" t="s">
        <v>140</v>
      </c>
      <c r="F651" s="183" t="s">
        <v>612</v>
      </c>
      <c r="G651" s="271" t="s">
        <v>408</v>
      </c>
      <c r="H651" s="272" t="s">
        <v>613</v>
      </c>
      <c r="I651" s="259" t="s">
        <v>614</v>
      </c>
      <c r="J651" s="183">
        <v>550</v>
      </c>
      <c r="K651" s="273">
        <f t="shared" si="78"/>
        <v>1010.35</v>
      </c>
      <c r="L651" s="29">
        <v>1.837</v>
      </c>
      <c r="M651" s="15">
        <v>2290</v>
      </c>
      <c r="N651" s="273">
        <f t="shared" si="80"/>
        <v>550</v>
      </c>
      <c r="O651" s="15">
        <f t="shared" si="79"/>
        <v>1740</v>
      </c>
    </row>
    <row r="652" spans="1:15" ht="15.5" x14ac:dyDescent="0.25">
      <c r="A652" s="270">
        <v>46253</v>
      </c>
      <c r="B652" s="149" t="s">
        <v>728</v>
      </c>
      <c r="C652" s="261">
        <v>1</v>
      </c>
      <c r="D652" s="183" t="s">
        <v>8</v>
      </c>
      <c r="E652" s="259" t="s">
        <v>140</v>
      </c>
      <c r="F652" s="183" t="s">
        <v>612</v>
      </c>
      <c r="G652" s="271" t="s">
        <v>408</v>
      </c>
      <c r="H652" s="272" t="s">
        <v>613</v>
      </c>
      <c r="I652" s="259" t="s">
        <v>614</v>
      </c>
      <c r="J652" s="183">
        <v>300</v>
      </c>
      <c r="K652" s="273">
        <f t="shared" si="78"/>
        <v>551.1</v>
      </c>
      <c r="L652" s="29">
        <v>1.837</v>
      </c>
      <c r="M652" s="15">
        <v>1740</v>
      </c>
      <c r="N652" s="273">
        <f t="shared" si="80"/>
        <v>300</v>
      </c>
      <c r="O652" s="15">
        <f t="shared" si="79"/>
        <v>1440</v>
      </c>
    </row>
    <row r="653" spans="1:15" ht="15.5" x14ac:dyDescent="0.25">
      <c r="A653" s="270">
        <v>46253</v>
      </c>
      <c r="B653" s="149" t="s">
        <v>728</v>
      </c>
      <c r="C653" s="261">
        <v>1</v>
      </c>
      <c r="D653" s="183" t="s">
        <v>8</v>
      </c>
      <c r="E653" s="259" t="s">
        <v>140</v>
      </c>
      <c r="F653" s="183" t="s">
        <v>612</v>
      </c>
      <c r="G653" s="271" t="s">
        <v>408</v>
      </c>
      <c r="H653" s="272" t="s">
        <v>613</v>
      </c>
      <c r="I653" s="259" t="s">
        <v>614</v>
      </c>
      <c r="J653" s="183">
        <v>700</v>
      </c>
      <c r="K653" s="273">
        <f t="shared" si="78"/>
        <v>1285.8999999999999</v>
      </c>
      <c r="L653" s="29">
        <v>1.837</v>
      </c>
      <c r="M653" s="15">
        <v>1440</v>
      </c>
      <c r="N653" s="273">
        <f t="shared" si="80"/>
        <v>700</v>
      </c>
      <c r="O653" s="15">
        <f t="shared" si="79"/>
        <v>740</v>
      </c>
    </row>
    <row r="654" spans="1:15" ht="15.5" x14ac:dyDescent="0.25">
      <c r="A654" s="270">
        <v>46253</v>
      </c>
      <c r="B654" s="149" t="s">
        <v>728</v>
      </c>
      <c r="C654" s="261">
        <v>1</v>
      </c>
      <c r="D654" s="183" t="s">
        <v>8</v>
      </c>
      <c r="E654" s="259" t="s">
        <v>457</v>
      </c>
      <c r="F654" s="183" t="s">
        <v>687</v>
      </c>
      <c r="G654" s="271" t="s">
        <v>319</v>
      </c>
      <c r="H654" s="272" t="s">
        <v>118</v>
      </c>
      <c r="I654" s="259" t="s">
        <v>544</v>
      </c>
      <c r="J654" s="183">
        <v>850</v>
      </c>
      <c r="K654" s="273">
        <f t="shared" si="78"/>
        <v>739.67</v>
      </c>
      <c r="L654" s="29">
        <v>0.87019999999999997</v>
      </c>
      <c r="M654" s="15">
        <v>900</v>
      </c>
      <c r="N654" s="273">
        <f t="shared" si="80"/>
        <v>850</v>
      </c>
      <c r="O654" s="15">
        <f t="shared" si="79"/>
        <v>50</v>
      </c>
    </row>
    <row r="655" spans="1:15" ht="15.5" x14ac:dyDescent="0.25">
      <c r="A655" s="270">
        <v>46253</v>
      </c>
      <c r="B655" s="149" t="s">
        <v>728</v>
      </c>
      <c r="C655" s="261">
        <v>1</v>
      </c>
      <c r="D655" s="183" t="s">
        <v>8</v>
      </c>
      <c r="E655" s="259" t="s">
        <v>504</v>
      </c>
      <c r="F655" s="183" t="s">
        <v>380</v>
      </c>
      <c r="G655" s="271" t="s">
        <v>319</v>
      </c>
      <c r="H655" s="272" t="s">
        <v>344</v>
      </c>
      <c r="I655" s="259" t="s">
        <v>379</v>
      </c>
      <c r="J655" s="183">
        <v>150</v>
      </c>
      <c r="K655" s="273">
        <f t="shared" si="78"/>
        <v>120.75000000000001</v>
      </c>
      <c r="L655" s="29">
        <v>0.80500000000000005</v>
      </c>
      <c r="M655" s="15">
        <v>150</v>
      </c>
      <c r="N655" s="273">
        <f t="shared" si="80"/>
        <v>150</v>
      </c>
      <c r="O655" s="15">
        <f t="shared" si="79"/>
        <v>0</v>
      </c>
    </row>
    <row r="656" spans="1:15" ht="15.5" x14ac:dyDescent="0.25">
      <c r="A656" s="270">
        <v>46253</v>
      </c>
      <c r="B656" s="149" t="s">
        <v>728</v>
      </c>
      <c r="C656" s="261">
        <v>1</v>
      </c>
      <c r="D656" s="183" t="s">
        <v>8</v>
      </c>
      <c r="E656" s="259" t="s">
        <v>457</v>
      </c>
      <c r="F656" s="183" t="s">
        <v>690</v>
      </c>
      <c r="G656" s="271" t="s">
        <v>319</v>
      </c>
      <c r="H656" s="272" t="s">
        <v>400</v>
      </c>
      <c r="I656" s="259" t="s">
        <v>691</v>
      </c>
      <c r="J656" s="183">
        <v>450</v>
      </c>
      <c r="K656" s="273">
        <f t="shared" si="78"/>
        <v>333.09</v>
      </c>
      <c r="L656" s="29">
        <v>0.74019999999999997</v>
      </c>
      <c r="M656" s="15">
        <v>1800</v>
      </c>
      <c r="N656" s="273">
        <f t="shared" si="80"/>
        <v>450</v>
      </c>
      <c r="O656" s="15">
        <f t="shared" si="79"/>
        <v>1350</v>
      </c>
    </row>
    <row r="657" spans="1:15" ht="15.5" x14ac:dyDescent="0.25">
      <c r="A657" s="270">
        <v>46253</v>
      </c>
      <c r="B657" s="149" t="s">
        <v>728</v>
      </c>
      <c r="C657" s="261">
        <v>1</v>
      </c>
      <c r="D657" s="183" t="s">
        <v>8</v>
      </c>
      <c r="E657" s="259" t="s">
        <v>457</v>
      </c>
      <c r="F657" s="183" t="s">
        <v>688</v>
      </c>
      <c r="G657" s="271" t="s">
        <v>319</v>
      </c>
      <c r="H657" s="272" t="s">
        <v>344</v>
      </c>
      <c r="I657" s="259" t="s">
        <v>512</v>
      </c>
      <c r="J657" s="183">
        <v>550</v>
      </c>
      <c r="K657" s="273">
        <f t="shared" si="78"/>
        <v>437.69</v>
      </c>
      <c r="L657" s="29">
        <v>0.79579999999999995</v>
      </c>
      <c r="M657" s="15">
        <v>550</v>
      </c>
      <c r="N657" s="273">
        <f t="shared" si="80"/>
        <v>550</v>
      </c>
      <c r="O657" s="15">
        <f t="shared" si="79"/>
        <v>0</v>
      </c>
    </row>
    <row r="658" spans="1:15" ht="15.5" x14ac:dyDescent="0.25">
      <c r="A658" s="270">
        <v>46253</v>
      </c>
      <c r="B658" s="149" t="s">
        <v>728</v>
      </c>
      <c r="C658" s="261">
        <v>1</v>
      </c>
      <c r="D658" s="183" t="s">
        <v>8</v>
      </c>
      <c r="E658" s="259" t="s">
        <v>674</v>
      </c>
      <c r="F658" s="183" t="s">
        <v>675</v>
      </c>
      <c r="G658" s="271" t="s">
        <v>319</v>
      </c>
      <c r="H658" s="272" t="s">
        <v>439</v>
      </c>
      <c r="I658" s="259" t="s">
        <v>437</v>
      </c>
      <c r="J658" s="183">
        <v>290</v>
      </c>
      <c r="K658" s="273">
        <f t="shared" si="78"/>
        <v>640.61</v>
      </c>
      <c r="L658" s="29">
        <v>2.2090000000000001</v>
      </c>
      <c r="M658" s="15">
        <v>290</v>
      </c>
      <c r="N658" s="273">
        <f t="shared" si="80"/>
        <v>290</v>
      </c>
      <c r="O658" s="15">
        <f t="shared" si="79"/>
        <v>0</v>
      </c>
    </row>
    <row r="659" spans="1:15" ht="15.5" x14ac:dyDescent="0.25">
      <c r="A659" s="270">
        <v>46254</v>
      </c>
      <c r="B659" s="149" t="s">
        <v>728</v>
      </c>
      <c r="C659" s="261">
        <v>1</v>
      </c>
      <c r="D659" s="29" t="s">
        <v>8</v>
      </c>
      <c r="E659" s="48" t="s">
        <v>140</v>
      </c>
      <c r="F659" s="29" t="s">
        <v>612</v>
      </c>
      <c r="G659" s="27" t="s">
        <v>408</v>
      </c>
      <c r="H659" s="114" t="s">
        <v>613</v>
      </c>
      <c r="I659" s="48" t="s">
        <v>614</v>
      </c>
      <c r="J659" s="183">
        <v>350</v>
      </c>
      <c r="K659" s="273">
        <f t="shared" si="78"/>
        <v>642.94999999999993</v>
      </c>
      <c r="L659" s="29">
        <v>1.837</v>
      </c>
      <c r="M659" s="15">
        <v>740</v>
      </c>
      <c r="N659" s="273">
        <f t="shared" si="80"/>
        <v>350</v>
      </c>
      <c r="O659" s="15">
        <f t="shared" si="79"/>
        <v>390</v>
      </c>
    </row>
    <row r="660" spans="1:15" ht="15.5" x14ac:dyDescent="0.25">
      <c r="A660" s="270">
        <v>46254</v>
      </c>
      <c r="B660" s="149" t="s">
        <v>728</v>
      </c>
      <c r="C660" s="261">
        <v>1</v>
      </c>
      <c r="D660" s="29" t="s">
        <v>8</v>
      </c>
      <c r="E660" s="48" t="s">
        <v>502</v>
      </c>
      <c r="F660" s="29" t="s">
        <v>427</v>
      </c>
      <c r="G660" s="27" t="s">
        <v>408</v>
      </c>
      <c r="H660" s="114" t="s">
        <v>292</v>
      </c>
      <c r="I660" s="48" t="s">
        <v>426</v>
      </c>
      <c r="J660" s="183">
        <v>100</v>
      </c>
      <c r="K660" s="273">
        <f t="shared" si="78"/>
        <v>108.13999999999999</v>
      </c>
      <c r="L660" s="29">
        <v>1.0813999999999999</v>
      </c>
      <c r="M660" s="15">
        <v>5500</v>
      </c>
      <c r="N660" s="273">
        <f t="shared" si="80"/>
        <v>100</v>
      </c>
      <c r="O660" s="15">
        <f t="shared" si="79"/>
        <v>5400</v>
      </c>
    </row>
    <row r="661" spans="1:15" ht="15.5" x14ac:dyDescent="0.25">
      <c r="A661" s="270">
        <v>46254</v>
      </c>
      <c r="B661" s="149" t="s">
        <v>728</v>
      </c>
      <c r="C661" s="261">
        <v>1</v>
      </c>
      <c r="D661" s="29" t="s">
        <v>8</v>
      </c>
      <c r="E661" s="48" t="s">
        <v>683</v>
      </c>
      <c r="F661" s="29" t="s">
        <v>684</v>
      </c>
      <c r="G661" s="27" t="s">
        <v>685</v>
      </c>
      <c r="H661" s="114" t="s">
        <v>686</v>
      </c>
      <c r="I661" s="48" t="s">
        <v>563</v>
      </c>
      <c r="J661" s="183">
        <v>25</v>
      </c>
      <c r="K661" s="273">
        <f t="shared" si="78"/>
        <v>70</v>
      </c>
      <c r="L661" s="29">
        <v>2.8</v>
      </c>
      <c r="M661" s="15">
        <v>450</v>
      </c>
      <c r="N661" s="273">
        <f t="shared" si="80"/>
        <v>25</v>
      </c>
      <c r="O661" s="15">
        <f t="shared" si="79"/>
        <v>425</v>
      </c>
    </row>
    <row r="662" spans="1:15" ht="15.5" x14ac:dyDescent="0.25">
      <c r="A662" s="270">
        <v>46254</v>
      </c>
      <c r="B662" s="149" t="s">
        <v>728</v>
      </c>
      <c r="C662" s="261">
        <v>1</v>
      </c>
      <c r="D662" s="29" t="s">
        <v>8</v>
      </c>
      <c r="E662" s="48" t="s">
        <v>457</v>
      </c>
      <c r="F662" s="29" t="s">
        <v>690</v>
      </c>
      <c r="G662" s="27" t="s">
        <v>319</v>
      </c>
      <c r="H662" s="114" t="s">
        <v>400</v>
      </c>
      <c r="I662" s="48" t="s">
        <v>691</v>
      </c>
      <c r="J662" s="183">
        <v>1200</v>
      </c>
      <c r="K662" s="273">
        <f t="shared" si="78"/>
        <v>888.24</v>
      </c>
      <c r="L662" s="29">
        <v>0.74019999999999997</v>
      </c>
      <c r="M662" s="15">
        <v>1350</v>
      </c>
      <c r="N662" s="273">
        <f t="shared" si="80"/>
        <v>1200</v>
      </c>
      <c r="O662" s="15">
        <f t="shared" si="79"/>
        <v>150</v>
      </c>
    </row>
    <row r="663" spans="1:15" ht="15.5" x14ac:dyDescent="0.25">
      <c r="A663" s="270">
        <v>46254</v>
      </c>
      <c r="B663" s="149" t="s">
        <v>728</v>
      </c>
      <c r="C663" s="261">
        <v>1</v>
      </c>
      <c r="D663" s="29" t="s">
        <v>8</v>
      </c>
      <c r="E663" s="48" t="s">
        <v>140</v>
      </c>
      <c r="F663" s="29" t="s">
        <v>612</v>
      </c>
      <c r="G663" s="27" t="s">
        <v>408</v>
      </c>
      <c r="H663" s="114" t="s">
        <v>613</v>
      </c>
      <c r="I663" s="48" t="s">
        <v>614</v>
      </c>
      <c r="J663" s="183">
        <v>330</v>
      </c>
      <c r="K663" s="273">
        <f t="shared" si="78"/>
        <v>606.21</v>
      </c>
      <c r="L663" s="29">
        <v>1.837</v>
      </c>
      <c r="M663" s="15">
        <v>390</v>
      </c>
      <c r="N663" s="273">
        <f t="shared" si="80"/>
        <v>330</v>
      </c>
      <c r="O663" s="15">
        <f t="shared" si="79"/>
        <v>60</v>
      </c>
    </row>
    <row r="664" spans="1:15" ht="15.5" x14ac:dyDescent="0.25">
      <c r="A664" s="270">
        <v>46254</v>
      </c>
      <c r="B664" s="149" t="s">
        <v>728</v>
      </c>
      <c r="C664" s="261">
        <v>1</v>
      </c>
      <c r="D664" s="29" t="s">
        <v>8</v>
      </c>
      <c r="E664" s="48" t="s">
        <v>457</v>
      </c>
      <c r="F664" s="29" t="s">
        <v>694</v>
      </c>
      <c r="G664" s="27" t="s">
        <v>319</v>
      </c>
      <c r="H664" s="114" t="s">
        <v>123</v>
      </c>
      <c r="I664" s="48" t="s">
        <v>554</v>
      </c>
      <c r="J664" s="183">
        <v>280</v>
      </c>
      <c r="K664" s="273">
        <f t="shared" si="78"/>
        <v>273.50400000000002</v>
      </c>
      <c r="L664" s="29">
        <v>0.9768</v>
      </c>
      <c r="M664" s="15">
        <v>400</v>
      </c>
      <c r="N664" s="273">
        <f t="shared" si="80"/>
        <v>280</v>
      </c>
      <c r="O664" s="15">
        <f t="shared" si="79"/>
        <v>120</v>
      </c>
    </row>
    <row r="665" spans="1:15" ht="15.5" x14ac:dyDescent="0.25">
      <c r="A665" s="270">
        <v>46254</v>
      </c>
      <c r="B665" s="149" t="s">
        <v>728</v>
      </c>
      <c r="C665" s="261">
        <v>1</v>
      </c>
      <c r="D665" s="29" t="s">
        <v>8</v>
      </c>
      <c r="E665" s="48" t="s">
        <v>457</v>
      </c>
      <c r="F665" s="29" t="s">
        <v>695</v>
      </c>
      <c r="G665" s="27" t="s">
        <v>319</v>
      </c>
      <c r="H665" s="114" t="s">
        <v>123</v>
      </c>
      <c r="I665" s="48" t="s">
        <v>652</v>
      </c>
      <c r="J665" s="183">
        <v>100</v>
      </c>
      <c r="K665" s="273">
        <f t="shared" si="78"/>
        <v>83.95</v>
      </c>
      <c r="L665" s="29">
        <v>0.83950000000000002</v>
      </c>
      <c r="M665" s="15">
        <v>1000</v>
      </c>
      <c r="N665" s="273">
        <f t="shared" si="80"/>
        <v>100</v>
      </c>
      <c r="O665" s="15">
        <f t="shared" si="79"/>
        <v>900</v>
      </c>
    </row>
    <row r="666" spans="1:15" ht="15.5" x14ac:dyDescent="0.25">
      <c r="A666" s="270">
        <v>46254</v>
      </c>
      <c r="B666" s="149" t="s">
        <v>728</v>
      </c>
      <c r="C666" s="261">
        <v>1</v>
      </c>
      <c r="D666" s="29" t="s">
        <v>8</v>
      </c>
      <c r="E666" s="48" t="s">
        <v>504</v>
      </c>
      <c r="F666" s="29" t="s">
        <v>597</v>
      </c>
      <c r="G666" s="27" t="s">
        <v>319</v>
      </c>
      <c r="H666" s="114" t="s">
        <v>344</v>
      </c>
      <c r="I666" s="48" t="s">
        <v>596</v>
      </c>
      <c r="J666" s="183">
        <v>650</v>
      </c>
      <c r="K666" s="273">
        <f t="shared" si="78"/>
        <v>523.77</v>
      </c>
      <c r="L666" s="29">
        <v>0.80579999999999996</v>
      </c>
      <c r="M666" s="15">
        <v>3000</v>
      </c>
      <c r="N666" s="273">
        <f t="shared" si="80"/>
        <v>650</v>
      </c>
      <c r="O666" s="15">
        <f t="shared" si="79"/>
        <v>2350</v>
      </c>
    </row>
    <row r="667" spans="1:15" ht="15.5" x14ac:dyDescent="0.25">
      <c r="A667" s="270">
        <v>46254</v>
      </c>
      <c r="B667" s="149" t="s">
        <v>728</v>
      </c>
      <c r="C667" s="261">
        <v>1</v>
      </c>
      <c r="D667" s="29" t="s">
        <v>8</v>
      </c>
      <c r="E667" s="48" t="s">
        <v>457</v>
      </c>
      <c r="F667" s="29" t="s">
        <v>696</v>
      </c>
      <c r="G667" s="27" t="s">
        <v>328</v>
      </c>
      <c r="H667" s="114" t="s">
        <v>494</v>
      </c>
      <c r="I667" s="48" t="s">
        <v>492</v>
      </c>
      <c r="J667" s="183">
        <v>50</v>
      </c>
      <c r="K667" s="273">
        <f t="shared" si="78"/>
        <v>206.52499999999998</v>
      </c>
      <c r="L667" s="29">
        <v>4.1304999999999996</v>
      </c>
      <c r="M667" s="15">
        <v>200</v>
      </c>
      <c r="N667" s="273">
        <f t="shared" si="80"/>
        <v>50</v>
      </c>
      <c r="O667" s="15">
        <f t="shared" si="79"/>
        <v>150</v>
      </c>
    </row>
    <row r="668" spans="1:15" ht="15.5" x14ac:dyDescent="0.25">
      <c r="A668" s="270">
        <v>46254</v>
      </c>
      <c r="B668" s="149" t="s">
        <v>728</v>
      </c>
      <c r="C668" s="261">
        <v>1</v>
      </c>
      <c r="D668" s="29" t="s">
        <v>8</v>
      </c>
      <c r="E668" s="48" t="s">
        <v>697</v>
      </c>
      <c r="F668" s="29" t="s">
        <v>417</v>
      </c>
      <c r="G668" s="27" t="s">
        <v>319</v>
      </c>
      <c r="H668" s="114" t="s">
        <v>262</v>
      </c>
      <c r="I668" s="259" t="s">
        <v>415</v>
      </c>
      <c r="J668" s="183">
        <v>800</v>
      </c>
      <c r="K668" s="273">
        <f t="shared" si="78"/>
        <v>588.64</v>
      </c>
      <c r="L668" s="29">
        <v>0.73580000000000001</v>
      </c>
      <c r="M668" s="15">
        <v>6600</v>
      </c>
      <c r="N668" s="273">
        <f t="shared" si="80"/>
        <v>800</v>
      </c>
      <c r="O668" s="15">
        <f t="shared" si="79"/>
        <v>5800</v>
      </c>
    </row>
    <row r="669" spans="1:15" ht="15.5" x14ac:dyDescent="0.25">
      <c r="A669" s="270">
        <v>46255</v>
      </c>
      <c r="B669" s="149" t="s">
        <v>728</v>
      </c>
      <c r="C669" s="261">
        <v>1</v>
      </c>
      <c r="D669" s="29" t="s">
        <v>8</v>
      </c>
      <c r="E669" s="48" t="s">
        <v>407</v>
      </c>
      <c r="F669" s="29" t="s">
        <v>307</v>
      </c>
      <c r="G669" s="27" t="s">
        <v>408</v>
      </c>
      <c r="H669" s="114" t="s">
        <v>224</v>
      </c>
      <c r="I669" s="48" t="s">
        <v>306</v>
      </c>
      <c r="J669" s="183">
        <v>200</v>
      </c>
      <c r="K669" s="273">
        <f t="shared" si="78"/>
        <v>345.02000000000004</v>
      </c>
      <c r="L669" s="29">
        <v>1.7251000000000001</v>
      </c>
      <c r="M669" s="15">
        <v>200</v>
      </c>
      <c r="N669" s="273">
        <f t="shared" si="80"/>
        <v>200</v>
      </c>
      <c r="O669" s="15">
        <f t="shared" si="79"/>
        <v>0</v>
      </c>
    </row>
    <row r="670" spans="1:15" ht="15.5" x14ac:dyDescent="0.25">
      <c r="A670" s="270">
        <v>46255</v>
      </c>
      <c r="B670" s="149" t="s">
        <v>728</v>
      </c>
      <c r="C670" s="261">
        <v>1</v>
      </c>
      <c r="D670" s="29" t="s">
        <v>8</v>
      </c>
      <c r="E670" s="48" t="s">
        <v>502</v>
      </c>
      <c r="F670" s="29" t="s">
        <v>427</v>
      </c>
      <c r="G670" s="27" t="s">
        <v>408</v>
      </c>
      <c r="H670" s="114" t="s">
        <v>292</v>
      </c>
      <c r="I670" s="48" t="s">
        <v>426</v>
      </c>
      <c r="J670" s="183">
        <v>200</v>
      </c>
      <c r="K670" s="273">
        <f t="shared" ref="K670:K675" si="81">L670*J670</f>
        <v>216.27999999999997</v>
      </c>
      <c r="L670" s="29">
        <v>1.0813999999999999</v>
      </c>
      <c r="M670" s="15">
        <v>5400</v>
      </c>
      <c r="N670" s="273">
        <f t="shared" si="80"/>
        <v>200</v>
      </c>
      <c r="O670" s="15">
        <f t="shared" si="79"/>
        <v>5200</v>
      </c>
    </row>
    <row r="671" spans="1:15" ht="15.5" x14ac:dyDescent="0.25">
      <c r="A671" s="270">
        <v>46255</v>
      </c>
      <c r="B671" s="149" t="s">
        <v>728</v>
      </c>
      <c r="C671" s="261">
        <v>1</v>
      </c>
      <c r="D671" s="29" t="s">
        <v>8</v>
      </c>
      <c r="E671" s="48" t="s">
        <v>683</v>
      </c>
      <c r="F671" s="29" t="s">
        <v>684</v>
      </c>
      <c r="G671" s="27" t="s">
        <v>685</v>
      </c>
      <c r="H671" s="114" t="s">
        <v>686</v>
      </c>
      <c r="I671" s="48" t="s">
        <v>563</v>
      </c>
      <c r="J671" s="183">
        <v>170</v>
      </c>
      <c r="K671" s="273">
        <f t="shared" si="81"/>
        <v>475.99999999999994</v>
      </c>
      <c r="L671" s="29">
        <v>2.8</v>
      </c>
      <c r="M671" s="15">
        <v>425</v>
      </c>
      <c r="N671" s="273">
        <f t="shared" si="80"/>
        <v>170</v>
      </c>
      <c r="O671" s="15">
        <f t="shared" si="79"/>
        <v>255</v>
      </c>
    </row>
    <row r="672" spans="1:15" ht="15.5" x14ac:dyDescent="0.25">
      <c r="A672" s="270">
        <v>46255</v>
      </c>
      <c r="B672" s="149" t="s">
        <v>728</v>
      </c>
      <c r="C672" s="261">
        <v>1</v>
      </c>
      <c r="D672" s="29" t="s">
        <v>8</v>
      </c>
      <c r="E672" s="48" t="s">
        <v>697</v>
      </c>
      <c r="F672" s="29" t="s">
        <v>417</v>
      </c>
      <c r="G672" s="27" t="s">
        <v>319</v>
      </c>
      <c r="H672" s="114" t="s">
        <v>262</v>
      </c>
      <c r="I672" s="259" t="s">
        <v>415</v>
      </c>
      <c r="J672" s="183">
        <f>500+750</f>
        <v>1250</v>
      </c>
      <c r="K672" s="273">
        <f t="shared" si="81"/>
        <v>919.75</v>
      </c>
      <c r="L672" s="29">
        <v>0.73580000000000001</v>
      </c>
      <c r="M672" s="15">
        <v>5800</v>
      </c>
      <c r="N672" s="273">
        <f t="shared" si="80"/>
        <v>1250</v>
      </c>
      <c r="O672" s="15">
        <f t="shared" si="79"/>
        <v>4550</v>
      </c>
    </row>
    <row r="673" spans="1:15" ht="15.5" x14ac:dyDescent="0.25">
      <c r="A673" s="270">
        <v>46255</v>
      </c>
      <c r="B673" s="149" t="s">
        <v>728</v>
      </c>
      <c r="C673" s="261">
        <v>1</v>
      </c>
      <c r="D673" s="29" t="s">
        <v>8</v>
      </c>
      <c r="E673" s="48" t="s">
        <v>457</v>
      </c>
      <c r="F673" s="29" t="s">
        <v>696</v>
      </c>
      <c r="G673" s="27" t="s">
        <v>328</v>
      </c>
      <c r="H673" s="114" t="s">
        <v>494</v>
      </c>
      <c r="I673" s="48" t="s">
        <v>492</v>
      </c>
      <c r="J673" s="274">
        <v>150</v>
      </c>
      <c r="K673" s="273">
        <f t="shared" si="81"/>
        <v>619.57499999999993</v>
      </c>
      <c r="L673" s="29">
        <v>4.1304999999999996</v>
      </c>
      <c r="M673" s="15">
        <v>150</v>
      </c>
      <c r="N673" s="273">
        <f t="shared" si="80"/>
        <v>150</v>
      </c>
      <c r="O673" s="15">
        <f t="shared" si="79"/>
        <v>0</v>
      </c>
    </row>
    <row r="674" spans="1:15" ht="15.5" x14ac:dyDescent="0.25">
      <c r="A674" s="270">
        <v>46255</v>
      </c>
      <c r="B674" s="149" t="s">
        <v>728</v>
      </c>
      <c r="C674" s="261">
        <v>1</v>
      </c>
      <c r="D674" s="29" t="s">
        <v>8</v>
      </c>
      <c r="E674" s="48" t="s">
        <v>457</v>
      </c>
      <c r="F674" s="29" t="s">
        <v>655</v>
      </c>
      <c r="G674" s="27" t="s">
        <v>319</v>
      </c>
      <c r="H674" s="114" t="s">
        <v>347</v>
      </c>
      <c r="I674" s="48" t="s">
        <v>654</v>
      </c>
      <c r="J674" s="183">
        <v>100</v>
      </c>
      <c r="K674" s="273">
        <f t="shared" si="81"/>
        <v>75.86</v>
      </c>
      <c r="L674" s="29">
        <v>0.75860000000000005</v>
      </c>
      <c r="M674" s="15">
        <v>1200</v>
      </c>
      <c r="N674" s="273">
        <f t="shared" si="80"/>
        <v>100</v>
      </c>
      <c r="O674" s="15">
        <f t="shared" si="79"/>
        <v>1100</v>
      </c>
    </row>
    <row r="675" spans="1:15" ht="15.5" x14ac:dyDescent="0.25">
      <c r="A675" s="270">
        <v>46255</v>
      </c>
      <c r="B675" s="149" t="s">
        <v>728</v>
      </c>
      <c r="C675" s="261">
        <v>1</v>
      </c>
      <c r="D675" s="29" t="s">
        <v>8</v>
      </c>
      <c r="E675" s="48" t="s">
        <v>457</v>
      </c>
      <c r="F675" s="29" t="s">
        <v>695</v>
      </c>
      <c r="G675" s="27" t="s">
        <v>319</v>
      </c>
      <c r="H675" s="114" t="s">
        <v>123</v>
      </c>
      <c r="I675" s="48" t="s">
        <v>652</v>
      </c>
      <c r="J675" s="183">
        <v>900</v>
      </c>
      <c r="K675" s="273">
        <f t="shared" si="81"/>
        <v>755.55000000000007</v>
      </c>
      <c r="L675" s="29">
        <v>0.83950000000000002</v>
      </c>
      <c r="M675" s="15">
        <v>900</v>
      </c>
      <c r="N675" s="273">
        <f t="shared" si="80"/>
        <v>900</v>
      </c>
      <c r="O675" s="15">
        <f t="shared" si="79"/>
        <v>0</v>
      </c>
    </row>
  </sheetData>
  <autoFilter ref="A1:P413" xr:uid="{00000000-0001-0000-0000-000000000000}"/>
  <phoneticPr fontId="24" type="noConversion"/>
  <conditionalFormatting sqref="E448:I449">
    <cfRule type="top10" dxfId="86" priority="1" stopIfTrue="1" percent="1" rank="10"/>
    <cfRule type="top10" dxfId="85" priority="2" stopIfTrue="1" percent="1" rank="10"/>
    <cfRule type="top10" dxfId="84" priority="3" stopIfTrue="1" percent="1" rank="10"/>
    <cfRule type="top10" dxfId="83" priority="4" stopIfTrue="1" percent="1" rank="10"/>
    <cfRule type="top10" dxfId="82" priority="5" stopIfTrue="1" percent="1" rank="10"/>
  </conditionalFormatting>
  <pageMargins left="0.75" right="0.75" top="1" bottom="1" header="0.5" footer="0.5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open order </vt:lpstr>
      <vt:lpstr>Sheet1</vt:lpstr>
      <vt:lpstr>Sheet3</vt:lpstr>
      <vt:lpstr>production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Jigar Mehta</cp:lastModifiedBy>
  <dcterms:created xsi:type="dcterms:W3CDTF">2026-02-02T05:50:13Z</dcterms:created>
  <dcterms:modified xsi:type="dcterms:W3CDTF">2026-08-22T06:51:35Z</dcterms:modified>
</cp:coreProperties>
</file>