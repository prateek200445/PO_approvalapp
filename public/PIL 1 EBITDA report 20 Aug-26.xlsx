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120" windowWidth="15600" windowHeight="6615" firstSheet="11" activeTab="11"/>
  </bookViews>
  <sheets>
    <sheet name="JOb Out Loss" sheetId="69" state="hidden" r:id="rId1"/>
    <sheet name="Sheet11" sheetId="63" state="hidden" r:id="rId2"/>
    <sheet name="Budget" sheetId="58" state="hidden" r:id="rId3"/>
    <sheet name="PUR-SALE" sheetId="62" state="hidden" r:id="rId4"/>
    <sheet name="Sheet6" sheetId="57" state="hidden" r:id="rId5"/>
    <sheet name="Sheet5" sheetId="49" state="hidden" r:id="rId6"/>
    <sheet name="New Working" sheetId="52" state="hidden" r:id="rId7"/>
    <sheet name="ERP STOCK" sheetId="48" state="hidden" r:id="rId8"/>
    <sheet name="Sheet3" sheetId="1" state="hidden" r:id="rId9"/>
    <sheet name="Sheet2" sheetId="2" state="hidden" r:id="rId10"/>
    <sheet name="Sheet1" sheetId="91" state="hidden" r:id="rId11"/>
    <sheet name="Report" sheetId="74" r:id="rId12"/>
    <sheet name="Cons Prod" sheetId="99" r:id="rId13"/>
    <sheet name="Sheet4" sheetId="51" state="hidden" r:id="rId14"/>
    <sheet name="Consumables and Stores" sheetId="97" r:id="rId15"/>
    <sheet name="Flowchart" sheetId="12" state="hidden" r:id="rId16"/>
    <sheet name="FillerSoltex" sheetId="18" state="hidden" r:id="rId17"/>
    <sheet name="UV" sheetId="21" state="hidden" r:id="rId18"/>
    <sheet name="MB" sheetId="22" state="hidden" r:id="rId19"/>
    <sheet name="RP" sheetId="23" state="hidden" r:id="rId20"/>
    <sheet name="LD" sheetId="78" state="hidden" r:id="rId21"/>
    <sheet name="LLDP" sheetId="24" state="hidden" r:id="rId22"/>
    <sheet name="HD" sheetId="79" state="hidden" r:id="rId23"/>
    <sheet name="Film" sheetId="28" state="hidden" r:id="rId24"/>
    <sheet name="Yarn" sheetId="29" state="hidden" r:id="rId25"/>
    <sheet name="Lam Fabric" sheetId="30" state="hidden" r:id="rId26"/>
    <sheet name="Wastage" sheetId="31" state="hidden" r:id="rId27"/>
    <sheet name="Tape" sheetId="32" state="hidden" r:id="rId28"/>
    <sheet name="Unlaminated Fabric" sheetId="33" state="hidden" r:id="rId29"/>
    <sheet name="Tape (2)" sheetId="41" state="hidden" r:id="rId30"/>
    <sheet name="Fabric" sheetId="42" state="hidden" r:id="rId31"/>
    <sheet name="Webbing (2)" sheetId="43" state="hidden" r:id="rId32"/>
    <sheet name="FIBC (2)" sheetId="44" state="hidden" r:id="rId33"/>
    <sheet name="Laminated Fabric" sheetId="45" state="hidden" r:id="rId34"/>
    <sheet name="RP (2)" sheetId="46" state="hidden" r:id="rId35"/>
    <sheet name="Yarn (2)" sheetId="47" state="hidden" r:id="rId36"/>
  </sheets>
  <definedNames>
    <definedName name="_xlnm._FilterDatabase" localSheetId="14" hidden="1">'Consumables and Stores'!$B$3:$O$70</definedName>
    <definedName name="_xlnm._FilterDatabase" localSheetId="0" hidden="1">'JOb Out Loss'!$A$1:$T$123</definedName>
    <definedName name="_xlnm.Print_Area" localSheetId="2">Budget!$A$1:$P$41</definedName>
    <definedName name="_xlnm.Print_Area" localSheetId="6">'New Working'!$A$3:$D$20</definedName>
    <definedName name="_xlnm.Print_Area" localSheetId="3">'PUR-SALE'!#REF!</definedName>
    <definedName name="_xlnm.Print_Area" localSheetId="1">Sheet11!$B$1:$P$71</definedName>
    <definedName name="_xlnm.Print_Area" localSheetId="9">Sheet2!$A$1:$B$68</definedName>
    <definedName name="_xlnm.Print_Area" localSheetId="8">Sheet3!$A$1:$L$27</definedName>
    <definedName name="_xlnm.Print_Area" localSheetId="4">Sheet6!$A$1:$E$50</definedName>
    <definedName name="_xlnm.Print_Area">Flowchart!$A$1:$W$55</definedName>
  </definedNames>
  <calcPr calcId="145621"/>
  <pivotCaches>
    <pivotCache cacheId="0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99" l="1"/>
  <c r="G16" i="99"/>
  <c r="B15" i="99"/>
  <c r="G7" i="99"/>
  <c r="G5" i="99"/>
  <c r="G11" i="99"/>
  <c r="G8" i="99"/>
  <c r="G19" i="99"/>
  <c r="G13" i="99"/>
  <c r="G6" i="99"/>
  <c r="D24" i="74"/>
  <c r="I71" i="97"/>
  <c r="H12" i="99" l="1"/>
  <c r="C5" i="99" s="1"/>
  <c r="D5" i="99" s="1"/>
  <c r="H13" i="99"/>
  <c r="C6" i="99" s="1"/>
  <c r="D6" i="99" s="1"/>
  <c r="H14" i="99"/>
  <c r="C7" i="99" s="1"/>
  <c r="D7" i="99" s="1"/>
  <c r="H15" i="99"/>
  <c r="I15" i="99" s="1"/>
  <c r="H17" i="99"/>
  <c r="I17" i="99" s="1"/>
  <c r="B16" i="99"/>
  <c r="G21" i="99"/>
  <c r="I10" i="99"/>
  <c r="D38" i="74"/>
  <c r="D39" i="74"/>
  <c r="D11" i="99"/>
  <c r="C9" i="99"/>
  <c r="D9" i="99" s="1"/>
  <c r="I19" i="99"/>
  <c r="I18" i="99"/>
  <c r="I20" i="99"/>
  <c r="I16" i="99"/>
  <c r="I11" i="99"/>
  <c r="I9" i="99"/>
  <c r="I8" i="99"/>
  <c r="I7" i="99"/>
  <c r="I6" i="99"/>
  <c r="I5" i="99"/>
  <c r="D15" i="99"/>
  <c r="D14" i="99"/>
  <c r="D13" i="99"/>
  <c r="D12" i="99"/>
  <c r="C76" i="49"/>
  <c r="C77" i="49"/>
  <c r="D168" i="52"/>
  <c r="B170" i="52"/>
  <c r="G143" i="52"/>
  <c r="E43" i="49"/>
  <c r="C43" i="49"/>
  <c r="B174" i="52"/>
  <c r="G145" i="52"/>
  <c r="D174" i="52"/>
  <c r="B145" i="52"/>
  <c r="C8" i="49"/>
  <c r="C9" i="49"/>
  <c r="F8" i="49"/>
  <c r="C79" i="49"/>
  <c r="F79" i="49"/>
  <c r="H82" i="49"/>
  <c r="F82" i="49"/>
  <c r="B179" i="52"/>
  <c r="G148" i="52"/>
  <c r="D179" i="52"/>
  <c r="C37" i="49"/>
  <c r="F37" i="49"/>
  <c r="C31" i="49"/>
  <c r="C32" i="49"/>
  <c r="F31" i="49"/>
  <c r="H17" i="49"/>
  <c r="F17" i="49"/>
  <c r="C26" i="91"/>
  <c r="S26" i="91"/>
  <c r="P26" i="91"/>
  <c r="P35" i="31"/>
  <c r="J35" i="31"/>
  <c r="F35" i="31"/>
  <c r="C25" i="49"/>
  <c r="C26" i="49"/>
  <c r="F25" i="49"/>
  <c r="H11" i="49"/>
  <c r="F11" i="49"/>
  <c r="C14" i="49"/>
  <c r="F14" i="49"/>
  <c r="H54" i="49"/>
  <c r="F54" i="49"/>
  <c r="C20" i="49"/>
  <c r="H20" i="49"/>
  <c r="F20" i="49"/>
  <c r="H65" i="49"/>
  <c r="E65" i="49"/>
  <c r="C65" i="49"/>
  <c r="C66" i="49"/>
  <c r="H40" i="49"/>
  <c r="E18" i="44"/>
  <c r="D43" i="49"/>
  <c r="D79" i="49"/>
  <c r="G57" i="49"/>
  <c r="G65" i="49"/>
  <c r="B35" i="79"/>
  <c r="AE2" i="22"/>
  <c r="AF2" i="22"/>
  <c r="S9" i="91"/>
  <c r="S10" i="91"/>
  <c r="S11" i="91"/>
  <c r="S12" i="91"/>
  <c r="S13" i="91"/>
  <c r="S14" i="91"/>
  <c r="S15" i="91"/>
  <c r="S16" i="91"/>
  <c r="S24" i="91"/>
  <c r="S23" i="91"/>
  <c r="S22" i="91"/>
  <c r="S21" i="91"/>
  <c r="S20" i="91"/>
  <c r="S19" i="91"/>
  <c r="S18" i="91"/>
  <c r="S17" i="91"/>
  <c r="S7" i="91"/>
  <c r="S4" i="91"/>
  <c r="P23" i="91"/>
  <c r="M23" i="91"/>
  <c r="J23" i="91"/>
  <c r="G23" i="91"/>
  <c r="C23" i="91"/>
  <c r="P24" i="91"/>
  <c r="P22" i="91"/>
  <c r="P21" i="91"/>
  <c r="P20" i="91"/>
  <c r="P19" i="91"/>
  <c r="P18" i="91"/>
  <c r="P17" i="91"/>
  <c r="P16" i="91"/>
  <c r="P15" i="91"/>
  <c r="P14" i="91"/>
  <c r="P13" i="91"/>
  <c r="P12" i="91"/>
  <c r="P11" i="91"/>
  <c r="P10" i="91"/>
  <c r="P9" i="91"/>
  <c r="P7" i="91"/>
  <c r="P4" i="91"/>
  <c r="M24" i="91"/>
  <c r="M22" i="91"/>
  <c r="M21" i="91"/>
  <c r="M20" i="91"/>
  <c r="M19" i="91"/>
  <c r="M18" i="91"/>
  <c r="M17" i="91"/>
  <c r="M16" i="91"/>
  <c r="M15" i="91"/>
  <c r="M14" i="91"/>
  <c r="M13" i="91"/>
  <c r="M12" i="91"/>
  <c r="M11" i="91"/>
  <c r="M10" i="91"/>
  <c r="M9" i="91"/>
  <c r="J9" i="91"/>
  <c r="J10" i="91"/>
  <c r="J11" i="91"/>
  <c r="J12" i="91"/>
  <c r="J13" i="91"/>
  <c r="J14" i="91"/>
  <c r="J15" i="91"/>
  <c r="J16" i="91"/>
  <c r="J17" i="91"/>
  <c r="J18" i="91"/>
  <c r="J19" i="91"/>
  <c r="J20" i="91"/>
  <c r="J21" i="91"/>
  <c r="J22" i="91"/>
  <c r="J24" i="91"/>
  <c r="J7" i="91"/>
  <c r="G24" i="91"/>
  <c r="G22" i="91"/>
  <c r="G21" i="91"/>
  <c r="G20" i="91"/>
  <c r="G19" i="91"/>
  <c r="G18" i="91"/>
  <c r="G17" i="91"/>
  <c r="G16" i="91"/>
  <c r="G15" i="91"/>
  <c r="G14" i="91"/>
  <c r="G13" i="91"/>
  <c r="G12" i="91"/>
  <c r="G11" i="91"/>
  <c r="G10" i="91"/>
  <c r="G9" i="91"/>
  <c r="G3" i="91"/>
  <c r="C24" i="91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D22" i="91"/>
  <c r="D21" i="91"/>
  <c r="E21" i="91"/>
  <c r="D8" i="91"/>
  <c r="AO2" i="31"/>
  <c r="AF2" i="31"/>
  <c r="D36" i="1"/>
  <c r="E35" i="29"/>
  <c r="B35" i="78"/>
  <c r="Q77" i="79"/>
  <c r="S35" i="79"/>
  <c r="S34" i="79"/>
  <c r="S33" i="79"/>
  <c r="O33" i="79"/>
  <c r="S32" i="79"/>
  <c r="S31" i="79"/>
  <c r="S30" i="79"/>
  <c r="S29" i="79"/>
  <c r="S28" i="79"/>
  <c r="S27" i="79"/>
  <c r="S26" i="79"/>
  <c r="S25" i="79"/>
  <c r="S24" i="79"/>
  <c r="S23" i="79"/>
  <c r="S22" i="79"/>
  <c r="S21" i="79"/>
  <c r="S20" i="79"/>
  <c r="S19" i="79"/>
  <c r="S18" i="79"/>
  <c r="S17" i="79"/>
  <c r="S16" i="79"/>
  <c r="S15" i="79"/>
  <c r="S14" i="79"/>
  <c r="S13" i="79"/>
  <c r="S12" i="79"/>
  <c r="S11" i="79"/>
  <c r="S10" i="79"/>
  <c r="S9" i="79"/>
  <c r="S8" i="79"/>
  <c r="S7" i="79"/>
  <c r="S6" i="79"/>
  <c r="AD5" i="79"/>
  <c r="S5" i="79"/>
  <c r="AD4" i="79"/>
  <c r="X4" i="79"/>
  <c r="S4" i="79"/>
  <c r="Y3" i="79"/>
  <c r="Z3" i="79"/>
  <c r="X3" i="79"/>
  <c r="S3" i="79"/>
  <c r="Z4" i="79"/>
  <c r="Y4" i="79"/>
  <c r="S2" i="79"/>
  <c r="Q77" i="78"/>
  <c r="S35" i="78"/>
  <c r="S34" i="78"/>
  <c r="S33" i="78"/>
  <c r="O33" i="78"/>
  <c r="S32" i="78"/>
  <c r="S31" i="78"/>
  <c r="S30" i="78"/>
  <c r="S29" i="78"/>
  <c r="S28" i="78"/>
  <c r="S27" i="78"/>
  <c r="S26" i="78"/>
  <c r="S25" i="78"/>
  <c r="S24" i="78"/>
  <c r="S23" i="78"/>
  <c r="S22" i="78"/>
  <c r="S21" i="78"/>
  <c r="S20" i="78"/>
  <c r="S19" i="78"/>
  <c r="S18" i="78"/>
  <c r="S17" i="78"/>
  <c r="S16" i="78"/>
  <c r="S15" i="78"/>
  <c r="S14" i="78"/>
  <c r="S13" i="78"/>
  <c r="S12" i="78"/>
  <c r="S11" i="78"/>
  <c r="S10" i="78"/>
  <c r="S9" i="78"/>
  <c r="S8" i="78"/>
  <c r="S7" i="78"/>
  <c r="S6" i="78"/>
  <c r="AD5" i="78"/>
  <c r="S5" i="78"/>
  <c r="AD4" i="78"/>
  <c r="X4" i="78"/>
  <c r="S4" i="78"/>
  <c r="Y3" i="78"/>
  <c r="Z3" i="78"/>
  <c r="X3" i="78"/>
  <c r="S3" i="78"/>
  <c r="Z4" i="78"/>
  <c r="Y4" i="78"/>
  <c r="AE2" i="78"/>
  <c r="AF2" i="78"/>
  <c r="S2" i="78"/>
  <c r="S77" i="78"/>
  <c r="R77" i="78"/>
  <c r="Y5" i="78"/>
  <c r="AD7" i="79"/>
  <c r="AD7" i="78"/>
  <c r="S77" i="79"/>
  <c r="R77" i="79"/>
  <c r="Y5" i="79"/>
  <c r="S11" i="24"/>
  <c r="V48" i="29"/>
  <c r="V47" i="29"/>
  <c r="S10" i="22"/>
  <c r="R13" i="21"/>
  <c r="Q12" i="21"/>
  <c r="O33" i="24"/>
  <c r="P33" i="23"/>
  <c r="O33" i="22"/>
  <c r="O33" i="21"/>
  <c r="O33" i="18"/>
  <c r="I1" i="12"/>
  <c r="P62" i="63"/>
  <c r="S62" i="63"/>
  <c r="AN31" i="31"/>
  <c r="V46" i="29"/>
  <c r="Q16" i="18"/>
  <c r="V45" i="29"/>
  <c r="S8" i="21"/>
  <c r="T3" i="23"/>
  <c r="AB5" i="23"/>
  <c r="V44" i="29"/>
  <c r="S9" i="22"/>
  <c r="S8" i="22"/>
  <c r="Q17" i="24"/>
  <c r="S10" i="24"/>
  <c r="U51" i="29"/>
  <c r="T50" i="29"/>
  <c r="N35" i="31"/>
  <c r="S7" i="21"/>
  <c r="V43" i="29"/>
  <c r="V42" i="29"/>
  <c r="V41" i="29"/>
  <c r="V40" i="29"/>
  <c r="U27" i="33"/>
  <c r="U26" i="33"/>
  <c r="U25" i="33"/>
  <c r="R18" i="24"/>
  <c r="R17" i="18"/>
  <c r="V31" i="29"/>
  <c r="V32" i="29"/>
  <c r="V33" i="29"/>
  <c r="V34" i="29"/>
  <c r="V35" i="29"/>
  <c r="V36" i="29"/>
  <c r="V37" i="29"/>
  <c r="V38" i="29"/>
  <c r="V39" i="29"/>
  <c r="S7" i="22"/>
  <c r="S6" i="22"/>
  <c r="U24" i="33"/>
  <c r="U23" i="33"/>
  <c r="U22" i="33"/>
  <c r="V30" i="29"/>
  <c r="V29" i="29"/>
  <c r="V28" i="29"/>
  <c r="S9" i="24"/>
  <c r="S8" i="24"/>
  <c r="S7" i="24"/>
  <c r="S12" i="18"/>
  <c r="S16" i="18"/>
  <c r="S6" i="24"/>
  <c r="J49" i="58"/>
  <c r="J50" i="58"/>
  <c r="J52" i="58"/>
  <c r="J54" i="58"/>
  <c r="V27" i="29"/>
  <c r="V26" i="29"/>
  <c r="V25" i="29"/>
  <c r="S6" i="21"/>
  <c r="AE7" i="24"/>
  <c r="AE7" i="23"/>
  <c r="AD7" i="22"/>
  <c r="AD7" i="21"/>
  <c r="AE7" i="18"/>
  <c r="AF2" i="18"/>
  <c r="AG2" i="18"/>
  <c r="U21" i="33"/>
  <c r="S11" i="18"/>
  <c r="S10" i="18"/>
  <c r="U20" i="33"/>
  <c r="U19" i="33"/>
  <c r="S5" i="22"/>
  <c r="M35" i="31"/>
  <c r="U15" i="33"/>
  <c r="U16" i="33"/>
  <c r="U17" i="33"/>
  <c r="U18" i="33"/>
  <c r="S4" i="22"/>
  <c r="S5" i="24"/>
  <c r="S9" i="18"/>
  <c r="S8" i="18"/>
  <c r="S7" i="18"/>
  <c r="V24" i="29"/>
  <c r="V23" i="29"/>
  <c r="V22" i="29"/>
  <c r="V21" i="29"/>
  <c r="V20" i="29"/>
  <c r="V19" i="29"/>
  <c r="V18" i="29"/>
  <c r="V17" i="29"/>
  <c r="V16" i="29"/>
  <c r="T3" i="33"/>
  <c r="U14" i="33"/>
  <c r="U13" i="33"/>
  <c r="U12" i="33"/>
  <c r="U11" i="33"/>
  <c r="U10" i="33"/>
  <c r="U9" i="33"/>
  <c r="U8" i="33"/>
  <c r="U7" i="33"/>
  <c r="U6" i="33"/>
  <c r="U5" i="33"/>
  <c r="U4" i="33"/>
  <c r="AA4" i="33"/>
  <c r="S5" i="21"/>
  <c r="S4" i="21"/>
  <c r="S12" i="21"/>
  <c r="R12" i="21"/>
  <c r="S3" i="21"/>
  <c r="Z4" i="21"/>
  <c r="Y4" i="21"/>
  <c r="S3" i="22"/>
  <c r="S4" i="24"/>
  <c r="S3" i="24"/>
  <c r="AA4" i="24"/>
  <c r="Z4" i="24"/>
  <c r="V15" i="29"/>
  <c r="V14" i="29"/>
  <c r="V13" i="29"/>
  <c r="V12" i="29"/>
  <c r="V11" i="29"/>
  <c r="V10" i="29"/>
  <c r="V9" i="29"/>
  <c r="V8" i="29"/>
  <c r="V7" i="29"/>
  <c r="V6" i="29"/>
  <c r="V5" i="29"/>
  <c r="V4" i="29"/>
  <c r="AC4" i="29"/>
  <c r="AB4" i="29"/>
  <c r="V3" i="29"/>
  <c r="S6" i="18"/>
  <c r="S5" i="18"/>
  <c r="S4" i="18"/>
  <c r="Z4" i="18"/>
  <c r="Y4" i="18"/>
  <c r="S3" i="18"/>
  <c r="U2" i="30"/>
  <c r="V2" i="29"/>
  <c r="S2" i="28"/>
  <c r="S2" i="24"/>
  <c r="T2" i="23"/>
  <c r="S2" i="18"/>
  <c r="T71" i="33"/>
  <c r="T70" i="33"/>
  <c r="U74" i="33"/>
  <c r="S74" i="33"/>
  <c r="Q29" i="22"/>
  <c r="R30" i="22"/>
  <c r="Q10" i="28"/>
  <c r="R10" i="28"/>
  <c r="S10" i="28"/>
  <c r="R11" i="28"/>
  <c r="T69" i="33"/>
  <c r="T68" i="33"/>
  <c r="AD7" i="33"/>
  <c r="W68" i="33"/>
  <c r="W67" i="33"/>
  <c r="K58" i="63"/>
  <c r="K57" i="63"/>
  <c r="K56" i="63"/>
  <c r="K55" i="63"/>
  <c r="H34" i="63"/>
  <c r="I34" i="63"/>
  <c r="I31" i="63"/>
  <c r="I30" i="63"/>
  <c r="I29" i="63"/>
  <c r="I24" i="63"/>
  <c r="I23" i="63"/>
  <c r="I22" i="63"/>
  <c r="I21" i="63"/>
  <c r="I13" i="63"/>
  <c r="I12" i="63"/>
  <c r="I10" i="63"/>
  <c r="I9" i="63"/>
  <c r="I8" i="63"/>
  <c r="I7" i="63"/>
  <c r="I6" i="63"/>
  <c r="I5" i="63"/>
  <c r="T67" i="33"/>
  <c r="T66" i="33"/>
  <c r="L40" i="58"/>
  <c r="T65" i="33"/>
  <c r="T64" i="33"/>
  <c r="K35" i="31"/>
  <c r="AN5" i="31"/>
  <c r="AN6" i="31"/>
  <c r="AN7" i="31"/>
  <c r="AN11" i="31"/>
  <c r="AN16" i="31"/>
  <c r="AN17" i="31"/>
  <c r="AN20" i="31"/>
  <c r="AN21" i="31"/>
  <c r="AN23" i="31"/>
  <c r="AN24" i="31"/>
  <c r="AN26" i="31"/>
  <c r="AN28" i="31"/>
  <c r="T123" i="69"/>
  <c r="T124" i="69"/>
  <c r="T125" i="69"/>
  <c r="X4" i="22"/>
  <c r="X4" i="18"/>
  <c r="E13" i="42"/>
  <c r="C14" i="46"/>
  <c r="E14" i="46"/>
  <c r="Z4" i="28"/>
  <c r="X4" i="28"/>
  <c r="AA4" i="29"/>
  <c r="I45" i="63"/>
  <c r="X4" i="21"/>
  <c r="J48" i="63"/>
  <c r="J46" i="63"/>
  <c r="J45" i="63"/>
  <c r="R45" i="63"/>
  <c r="J43" i="63"/>
  <c r="J6" i="63"/>
  <c r="K6" i="63"/>
  <c r="J7" i="63"/>
  <c r="J8" i="63"/>
  <c r="K8" i="63"/>
  <c r="J9" i="63"/>
  <c r="J10" i="63"/>
  <c r="K10" i="63"/>
  <c r="J11" i="63"/>
  <c r="J12" i="63"/>
  <c r="K12" i="63"/>
  <c r="J13" i="63"/>
  <c r="K13" i="63"/>
  <c r="J5" i="63"/>
  <c r="Q88" i="63"/>
  <c r="Q87" i="63"/>
  <c r="Q86" i="63"/>
  <c r="Q85" i="63"/>
  <c r="Q82" i="63"/>
  <c r="Q73" i="63"/>
  <c r="Q72" i="63"/>
  <c r="Q70" i="63"/>
  <c r="Q65" i="63"/>
  <c r="Q64" i="63"/>
  <c r="Q63" i="63"/>
  <c r="Q62" i="63"/>
  <c r="Q61" i="63"/>
  <c r="Q60" i="63"/>
  <c r="Q59" i="63"/>
  <c r="Q58" i="63"/>
  <c r="Q57" i="63"/>
  <c r="Q56" i="63"/>
  <c r="Q55" i="63"/>
  <c r="Q53" i="63"/>
  <c r="Q52" i="63"/>
  <c r="Q50" i="63"/>
  <c r="Q37" i="63"/>
  <c r="Q35" i="63"/>
  <c r="S88" i="63"/>
  <c r="R88" i="63"/>
  <c r="S87" i="63"/>
  <c r="R87" i="63"/>
  <c r="R86" i="63"/>
  <c r="R85" i="63"/>
  <c r="R83" i="63"/>
  <c r="R82" i="63"/>
  <c r="R81" i="63"/>
  <c r="R79" i="63"/>
  <c r="R78" i="63"/>
  <c r="R76" i="63"/>
  <c r="S73" i="63"/>
  <c r="R73" i="63"/>
  <c r="S72" i="63"/>
  <c r="R72" i="63"/>
  <c r="S70" i="63"/>
  <c r="R70" i="63"/>
  <c r="R65" i="63"/>
  <c r="S63" i="63"/>
  <c r="S53" i="63"/>
  <c r="R53" i="63"/>
  <c r="S52" i="63"/>
  <c r="R52" i="63"/>
  <c r="S50" i="63"/>
  <c r="R50" i="63"/>
  <c r="S42" i="63"/>
  <c r="R42" i="63"/>
  <c r="S41" i="63"/>
  <c r="R41" i="63"/>
  <c r="S40" i="63"/>
  <c r="R40" i="63"/>
  <c r="S39" i="63"/>
  <c r="R39" i="63"/>
  <c r="S38" i="63"/>
  <c r="R38" i="63"/>
  <c r="S37" i="63"/>
  <c r="R37" i="63"/>
  <c r="S36" i="63"/>
  <c r="R36" i="63"/>
  <c r="S35" i="63"/>
  <c r="R35" i="63"/>
  <c r="S34" i="63"/>
  <c r="R34" i="63"/>
  <c r="S33" i="63"/>
  <c r="R33" i="63"/>
  <c r="J31" i="63"/>
  <c r="K31" i="63"/>
  <c r="J30" i="63"/>
  <c r="J29" i="63"/>
  <c r="J22" i="63"/>
  <c r="J21" i="63"/>
  <c r="S25" i="63"/>
  <c r="S26" i="63"/>
  <c r="R26" i="63"/>
  <c r="R25" i="63"/>
  <c r="E14" i="47"/>
  <c r="E11" i="47"/>
  <c r="C10" i="47"/>
  <c r="C12" i="47"/>
  <c r="C17" i="47"/>
  <c r="E2" i="47"/>
  <c r="E10" i="47"/>
  <c r="E12" i="47"/>
  <c r="E17" i="47"/>
  <c r="D17" i="47"/>
  <c r="D19" i="47"/>
  <c r="E11" i="46"/>
  <c r="C10" i="46"/>
  <c r="C12" i="46"/>
  <c r="C17" i="46"/>
  <c r="E2" i="46"/>
  <c r="E10" i="46"/>
  <c r="C14" i="41"/>
  <c r="E14" i="41"/>
  <c r="C12" i="42"/>
  <c r="E12" i="42"/>
  <c r="C12" i="45"/>
  <c r="E12" i="45"/>
  <c r="E9" i="45"/>
  <c r="C8" i="45"/>
  <c r="C10" i="45"/>
  <c r="C15" i="45"/>
  <c r="E6" i="45"/>
  <c r="E5" i="45"/>
  <c r="E4" i="45"/>
  <c r="E3" i="45"/>
  <c r="C17" i="44"/>
  <c r="E17" i="44"/>
  <c r="E14" i="43"/>
  <c r="C33" i="41"/>
  <c r="D32" i="41"/>
  <c r="H34" i="49"/>
  <c r="F34" i="49"/>
  <c r="C34" i="49"/>
  <c r="E19" i="49"/>
  <c r="N47" i="63"/>
  <c r="Q47" i="63"/>
  <c r="B54" i="49"/>
  <c r="J35" i="33"/>
  <c r="H13" i="49"/>
  <c r="Z6" i="33"/>
  <c r="Y4" i="33"/>
  <c r="Z3" i="33"/>
  <c r="Y3" i="33"/>
  <c r="U2" i="33"/>
  <c r="I35" i="32"/>
  <c r="S9" i="32"/>
  <c r="Q9" i="32"/>
  <c r="R9" i="32"/>
  <c r="X5" i="32"/>
  <c r="X3" i="32"/>
  <c r="X2" i="32"/>
  <c r="W2" i="32"/>
  <c r="Y2" i="32"/>
  <c r="S2" i="32"/>
  <c r="O35" i="31"/>
  <c r="E22" i="49"/>
  <c r="E23" i="49"/>
  <c r="E24" i="49"/>
  <c r="AD21" i="31"/>
  <c r="P44" i="63"/>
  <c r="S44" i="63"/>
  <c r="AB21" i="31"/>
  <c r="AK3" i="31"/>
  <c r="AI3" i="31"/>
  <c r="AJ3" i="31"/>
  <c r="AJ2" i="31"/>
  <c r="AI2" i="31"/>
  <c r="AK2" i="31"/>
  <c r="AD2" i="31"/>
  <c r="I35" i="30"/>
  <c r="U16" i="30"/>
  <c r="S16" i="30"/>
  <c r="AA5" i="30"/>
  <c r="AB3" i="30"/>
  <c r="Z3" i="30"/>
  <c r="AA2" i="30"/>
  <c r="Z2" i="30"/>
  <c r="I35" i="29"/>
  <c r="H27" i="49"/>
  <c r="H28" i="49"/>
  <c r="H29" i="49"/>
  <c r="H30" i="49"/>
  <c r="AB3" i="29"/>
  <c r="AA3" i="29"/>
  <c r="AC3" i="29"/>
  <c r="Y3" i="28"/>
  <c r="X3" i="28"/>
  <c r="B85" i="49"/>
  <c r="D33" i="24"/>
  <c r="B82" i="49"/>
  <c r="Y4" i="24"/>
  <c r="Z3" i="24"/>
  <c r="AA3" i="24"/>
  <c r="Y3" i="24"/>
  <c r="T35" i="23"/>
  <c r="P12" i="63"/>
  <c r="S12" i="63"/>
  <c r="R35" i="23"/>
  <c r="D7" i="49"/>
  <c r="Z5" i="23"/>
  <c r="AA5" i="23"/>
  <c r="AA3" i="23"/>
  <c r="Z3" i="23"/>
  <c r="B40" i="49"/>
  <c r="Y3" i="22"/>
  <c r="X3" i="22"/>
  <c r="S2" i="22"/>
  <c r="Y3" i="21"/>
  <c r="X3" i="21"/>
  <c r="S2" i="21"/>
  <c r="D33" i="18"/>
  <c r="B33" i="18"/>
  <c r="Y3" i="18"/>
  <c r="X3" i="18"/>
  <c r="Z3" i="18"/>
  <c r="H75" i="49"/>
  <c r="C8" i="44"/>
  <c r="E8" i="44"/>
  <c r="E78" i="49"/>
  <c r="E93" i="49"/>
  <c r="H81" i="49"/>
  <c r="H68" i="49"/>
  <c r="H69" i="49"/>
  <c r="F68" i="49"/>
  <c r="E68" i="49"/>
  <c r="D68" i="49"/>
  <c r="B68" i="49"/>
  <c r="D34" i="49"/>
  <c r="B187" i="52"/>
  <c r="F187" i="52"/>
  <c r="E10" i="49"/>
  <c r="C85" i="49"/>
  <c r="B84" i="49"/>
  <c r="H39" i="49"/>
  <c r="D172" i="52"/>
  <c r="D171" i="52"/>
  <c r="B171" i="52"/>
  <c r="D169" i="52"/>
  <c r="B142" i="52"/>
  <c r="D142" i="52"/>
  <c r="B126" i="52"/>
  <c r="B127" i="52"/>
  <c r="B129" i="52"/>
  <c r="C129" i="52"/>
  <c r="D90" i="52"/>
  <c r="H90" i="52"/>
  <c r="J90" i="52"/>
  <c r="C31" i="2"/>
  <c r="B46" i="2"/>
  <c r="B49" i="2"/>
  <c r="B54" i="2"/>
  <c r="B56" i="2"/>
  <c r="B61" i="2"/>
  <c r="E61" i="2"/>
  <c r="D61" i="2"/>
  <c r="B58" i="2"/>
  <c r="B57" i="2"/>
  <c r="E54" i="2"/>
  <c r="D54" i="2"/>
  <c r="B53" i="2"/>
  <c r="B52" i="2"/>
  <c r="B51" i="2"/>
  <c r="B50" i="2"/>
  <c r="E47" i="2"/>
  <c r="D47" i="2"/>
  <c r="E42" i="2"/>
  <c r="E62" i="2"/>
  <c r="D42" i="2"/>
  <c r="B40" i="2"/>
  <c r="E35" i="2"/>
  <c r="D35" i="2"/>
  <c r="D62" i="2"/>
  <c r="E27" i="2"/>
  <c r="D27" i="2"/>
  <c r="E28" i="2"/>
  <c r="E15" i="2"/>
  <c r="D15" i="2"/>
  <c r="B8" i="2"/>
  <c r="F17" i="1"/>
  <c r="J12" i="58"/>
  <c r="D12" i="1"/>
  <c r="D13" i="1"/>
  <c r="D15" i="1"/>
  <c r="D14" i="1"/>
  <c r="D17" i="1"/>
  <c r="D18" i="1"/>
  <c r="D19" i="1"/>
  <c r="D20" i="1"/>
  <c r="D21" i="1"/>
  <c r="D22" i="1"/>
  <c r="C15" i="1"/>
  <c r="C26" i="1"/>
  <c r="C25" i="1"/>
  <c r="A18" i="1"/>
  <c r="A19" i="1"/>
  <c r="A20" i="1"/>
  <c r="A21" i="1"/>
  <c r="A22" i="1"/>
  <c r="K19" i="1"/>
  <c r="A6" i="1"/>
  <c r="A7" i="1"/>
  <c r="A8" i="1"/>
  <c r="A9" i="1"/>
  <c r="A10" i="1"/>
  <c r="C9" i="1"/>
  <c r="D9" i="1"/>
  <c r="D5" i="1"/>
  <c r="E5" i="1"/>
  <c r="D6" i="1"/>
  <c r="C7" i="1"/>
  <c r="B62" i="52"/>
  <c r="E189" i="52"/>
  <c r="B64" i="52"/>
  <c r="E178" i="52"/>
  <c r="B65" i="52"/>
  <c r="E174" i="52"/>
  <c r="B37" i="52"/>
  <c r="C181" i="52"/>
  <c r="B48" i="52"/>
  <c r="C185" i="52"/>
  <c r="B49" i="52"/>
  <c r="C186" i="52"/>
  <c r="B50" i="52"/>
  <c r="C180" i="52"/>
  <c r="B51" i="52"/>
  <c r="C182" i="52"/>
  <c r="B52" i="52"/>
  <c r="C189" i="52"/>
  <c r="B53" i="52"/>
  <c r="B54" i="52"/>
  <c r="C190" i="52"/>
  <c r="B56" i="52"/>
  <c r="C184" i="52"/>
  <c r="B57" i="52"/>
  <c r="C183" i="52"/>
  <c r="B58" i="52"/>
  <c r="C188" i="52"/>
  <c r="B59" i="52"/>
  <c r="C191" i="52"/>
  <c r="E183" i="52"/>
  <c r="B117" i="52"/>
  <c r="B121" i="52"/>
  <c r="B4" i="52"/>
  <c r="B17" i="52"/>
  <c r="C17" i="57"/>
  <c r="D149" i="52"/>
  <c r="B118" i="52"/>
  <c r="C26" i="57"/>
  <c r="D37" i="52"/>
  <c r="D48" i="52"/>
  <c r="I59" i="52"/>
  <c r="D49" i="52"/>
  <c r="D50" i="52"/>
  <c r="C50" i="52"/>
  <c r="D51" i="52"/>
  <c r="D52" i="52"/>
  <c r="C52" i="52"/>
  <c r="D53" i="52"/>
  <c r="D54" i="52"/>
  <c r="C54" i="52"/>
  <c r="D56" i="52"/>
  <c r="D57" i="52"/>
  <c r="D58" i="52"/>
  <c r="D59" i="52"/>
  <c r="D4" i="52"/>
  <c r="D17" i="52"/>
  <c r="D73" i="52"/>
  <c r="B69" i="52"/>
  <c r="E182" i="52"/>
  <c r="C68" i="52"/>
  <c r="B68" i="52"/>
  <c r="E175" i="52"/>
  <c r="B63" i="52"/>
  <c r="D63" i="52"/>
  <c r="I58" i="52"/>
  <c r="G58" i="52"/>
  <c r="C55" i="52"/>
  <c r="D45" i="52"/>
  <c r="B126" i="49"/>
  <c r="B128" i="49"/>
  <c r="B117" i="49"/>
  <c r="B109" i="49"/>
  <c r="B107" i="49"/>
  <c r="B108" i="49"/>
  <c r="B113" i="49"/>
  <c r="B110" i="49"/>
  <c r="B112" i="49"/>
  <c r="B111" i="49"/>
  <c r="B81" i="49"/>
  <c r="K99" i="49"/>
  <c r="L94" i="49"/>
  <c r="J94" i="49"/>
  <c r="G90" i="49"/>
  <c r="G92" i="49"/>
  <c r="C90" i="49"/>
  <c r="C92" i="49"/>
  <c r="L90" i="49"/>
  <c r="K90" i="49"/>
  <c r="J90" i="49"/>
  <c r="I90" i="49"/>
  <c r="I92" i="49"/>
  <c r="H90" i="49"/>
  <c r="H92" i="49"/>
  <c r="F90" i="49"/>
  <c r="F92" i="49"/>
  <c r="E90" i="49"/>
  <c r="E92" i="49"/>
  <c r="D90" i="49"/>
  <c r="D92" i="49"/>
  <c r="B90" i="49"/>
  <c r="B92" i="49"/>
  <c r="L87" i="49"/>
  <c r="K87" i="49"/>
  <c r="J87" i="49"/>
  <c r="I87" i="49"/>
  <c r="I93" i="49"/>
  <c r="H87" i="49"/>
  <c r="G87" i="49"/>
  <c r="F87" i="49"/>
  <c r="E87" i="49"/>
  <c r="D87" i="49"/>
  <c r="C87" i="49"/>
  <c r="B87" i="49"/>
  <c r="F84" i="49"/>
  <c r="D84" i="49"/>
  <c r="L84" i="49"/>
  <c r="K84" i="49"/>
  <c r="J84" i="49"/>
  <c r="I84" i="49"/>
  <c r="H84" i="49"/>
  <c r="G84" i="49"/>
  <c r="E84" i="49"/>
  <c r="C84" i="49"/>
  <c r="L81" i="49"/>
  <c r="K81" i="49"/>
  <c r="J81" i="49"/>
  <c r="I81" i="49"/>
  <c r="G81" i="49"/>
  <c r="G93" i="49"/>
  <c r="F81" i="49"/>
  <c r="E81" i="49"/>
  <c r="D81" i="49"/>
  <c r="C81" i="49"/>
  <c r="C78" i="49"/>
  <c r="B78" i="49"/>
  <c r="L78" i="49"/>
  <c r="L75" i="49"/>
  <c r="L93" i="49"/>
  <c r="K78" i="49"/>
  <c r="J78" i="49"/>
  <c r="J93" i="49"/>
  <c r="I78" i="49"/>
  <c r="H78" i="49"/>
  <c r="G78" i="49"/>
  <c r="F78" i="49"/>
  <c r="D78" i="49"/>
  <c r="K75" i="49"/>
  <c r="J75" i="49"/>
  <c r="I75" i="49"/>
  <c r="G75" i="49"/>
  <c r="F75" i="49"/>
  <c r="E75" i="49"/>
  <c r="D75" i="49"/>
  <c r="C75" i="49"/>
  <c r="B75" i="49"/>
  <c r="L71" i="49"/>
  <c r="J71" i="49"/>
  <c r="G64" i="49"/>
  <c r="G67" i="49"/>
  <c r="G70" i="49"/>
  <c r="C64" i="49"/>
  <c r="C67" i="49"/>
  <c r="C70" i="49"/>
  <c r="L67" i="49"/>
  <c r="K67" i="49"/>
  <c r="J67" i="49"/>
  <c r="I67" i="49"/>
  <c r="I70" i="49"/>
  <c r="H67" i="49"/>
  <c r="F67" i="49"/>
  <c r="F70" i="49"/>
  <c r="E67" i="49"/>
  <c r="D67" i="49"/>
  <c r="B67" i="49"/>
  <c r="L64" i="49"/>
  <c r="L70" i="49"/>
  <c r="K64" i="49"/>
  <c r="J64" i="49"/>
  <c r="J70" i="49"/>
  <c r="I64" i="49"/>
  <c r="H64" i="49"/>
  <c r="F64" i="49"/>
  <c r="E64" i="49"/>
  <c r="D64" i="49"/>
  <c r="B64" i="49"/>
  <c r="L60" i="49"/>
  <c r="J60" i="49"/>
  <c r="G50" i="49"/>
  <c r="G52" i="49"/>
  <c r="G53" i="49"/>
  <c r="G56" i="49"/>
  <c r="G59" i="49"/>
  <c r="C50" i="49"/>
  <c r="C52" i="49"/>
  <c r="C53" i="49"/>
  <c r="C56" i="49"/>
  <c r="L56" i="49"/>
  <c r="K56" i="49"/>
  <c r="J56" i="49"/>
  <c r="I56" i="49"/>
  <c r="H56" i="49"/>
  <c r="F56" i="49"/>
  <c r="E56" i="49"/>
  <c r="E59" i="49"/>
  <c r="D56" i="49"/>
  <c r="D59" i="49"/>
  <c r="B56" i="49"/>
  <c r="B59" i="49"/>
  <c r="L53" i="49"/>
  <c r="L59" i="49"/>
  <c r="K53" i="49"/>
  <c r="J53" i="49"/>
  <c r="J59" i="49"/>
  <c r="J97" i="49"/>
  <c r="I53" i="49"/>
  <c r="I50" i="49"/>
  <c r="I52" i="49"/>
  <c r="H53" i="49"/>
  <c r="F53" i="49"/>
  <c r="E53" i="49"/>
  <c r="D53" i="49"/>
  <c r="B53" i="49"/>
  <c r="E50" i="49"/>
  <c r="E52" i="49"/>
  <c r="L50" i="49"/>
  <c r="K50" i="49"/>
  <c r="J50" i="49"/>
  <c r="H50" i="49"/>
  <c r="F50" i="49"/>
  <c r="F52" i="49"/>
  <c r="D50" i="49"/>
  <c r="D52" i="49"/>
  <c r="B50" i="49"/>
  <c r="B52" i="49"/>
  <c r="L46" i="49"/>
  <c r="H42" i="49"/>
  <c r="L42" i="49"/>
  <c r="K42" i="49"/>
  <c r="J42" i="49"/>
  <c r="I42" i="49"/>
  <c r="G42" i="49"/>
  <c r="F42" i="49"/>
  <c r="E42" i="49"/>
  <c r="D42" i="49"/>
  <c r="C42" i="49"/>
  <c r="B42" i="49"/>
  <c r="E39" i="49"/>
  <c r="B39" i="49"/>
  <c r="B41" i="49"/>
  <c r="L39" i="49"/>
  <c r="K39" i="49"/>
  <c r="J39" i="49"/>
  <c r="I39" i="49"/>
  <c r="G39" i="49"/>
  <c r="F39" i="49"/>
  <c r="D39" i="49"/>
  <c r="C39" i="49"/>
  <c r="B36" i="49"/>
  <c r="L36" i="49"/>
  <c r="K36" i="49"/>
  <c r="J36" i="49"/>
  <c r="I36" i="49"/>
  <c r="H36" i="49"/>
  <c r="G36" i="49"/>
  <c r="F36" i="49"/>
  <c r="E36" i="49"/>
  <c r="D36" i="49"/>
  <c r="C36" i="49"/>
  <c r="L33" i="49"/>
  <c r="K33" i="49"/>
  <c r="J33" i="49"/>
  <c r="I33" i="49"/>
  <c r="H33" i="49"/>
  <c r="G33" i="49"/>
  <c r="F33" i="49"/>
  <c r="E33" i="49"/>
  <c r="D33" i="49"/>
  <c r="C33" i="49"/>
  <c r="C35" i="49"/>
  <c r="B33" i="49"/>
  <c r="L30" i="49"/>
  <c r="K30" i="49"/>
  <c r="J30" i="49"/>
  <c r="I30" i="49"/>
  <c r="G30" i="49"/>
  <c r="F30" i="49"/>
  <c r="E30" i="49"/>
  <c r="D30" i="49"/>
  <c r="C30" i="49"/>
  <c r="B30" i="49"/>
  <c r="L29" i="49"/>
  <c r="K29" i="49"/>
  <c r="J29" i="49"/>
  <c r="I29" i="49"/>
  <c r="G29" i="49"/>
  <c r="F29" i="49"/>
  <c r="E29" i="49"/>
  <c r="D29" i="49"/>
  <c r="C29" i="49"/>
  <c r="B29" i="49"/>
  <c r="B27" i="49"/>
  <c r="B28" i="49"/>
  <c r="L28" i="49"/>
  <c r="K28" i="49"/>
  <c r="J28" i="49"/>
  <c r="I28" i="49"/>
  <c r="G28" i="49"/>
  <c r="F28" i="49"/>
  <c r="E28" i="49"/>
  <c r="D28" i="49"/>
  <c r="C28" i="49"/>
  <c r="L27" i="49"/>
  <c r="K27" i="49"/>
  <c r="J27" i="49"/>
  <c r="I27" i="49"/>
  <c r="G27" i="49"/>
  <c r="F27" i="49"/>
  <c r="E27" i="49"/>
  <c r="D27" i="49"/>
  <c r="C27" i="49"/>
  <c r="L24" i="49"/>
  <c r="K24" i="49"/>
  <c r="J24" i="49"/>
  <c r="I24" i="49"/>
  <c r="H24" i="49"/>
  <c r="G24" i="49"/>
  <c r="F24" i="49"/>
  <c r="D24" i="49"/>
  <c r="C24" i="49"/>
  <c r="B24" i="49"/>
  <c r="L23" i="49"/>
  <c r="K23" i="49"/>
  <c r="J23" i="49"/>
  <c r="I23" i="49"/>
  <c r="H23" i="49"/>
  <c r="G23" i="49"/>
  <c r="F23" i="49"/>
  <c r="D23" i="49"/>
  <c r="C23" i="49"/>
  <c r="B23" i="49"/>
  <c r="L22" i="49"/>
  <c r="K22" i="49"/>
  <c r="J22" i="49"/>
  <c r="I22" i="49"/>
  <c r="H22" i="49"/>
  <c r="G22" i="49"/>
  <c r="F22" i="49"/>
  <c r="D22" i="49"/>
  <c r="C22" i="49"/>
  <c r="B22" i="49"/>
  <c r="L19" i="49"/>
  <c r="K19" i="49"/>
  <c r="J19" i="49"/>
  <c r="I19" i="49"/>
  <c r="H19" i="49"/>
  <c r="G19" i="49"/>
  <c r="F19" i="49"/>
  <c r="D19" i="49"/>
  <c r="C19" i="49"/>
  <c r="B19" i="49"/>
  <c r="L16" i="49"/>
  <c r="K16" i="49"/>
  <c r="J16" i="49"/>
  <c r="I16" i="49"/>
  <c r="H16" i="49"/>
  <c r="G16" i="49"/>
  <c r="F16" i="49"/>
  <c r="E16" i="49"/>
  <c r="D16" i="49"/>
  <c r="C16" i="49"/>
  <c r="B16" i="49"/>
  <c r="C13" i="49"/>
  <c r="L13" i="49"/>
  <c r="K13" i="49"/>
  <c r="J13" i="49"/>
  <c r="I13" i="49"/>
  <c r="G13" i="49"/>
  <c r="F13" i="49"/>
  <c r="E13" i="49"/>
  <c r="D13" i="49"/>
  <c r="B13" i="49"/>
  <c r="F10" i="49"/>
  <c r="L10" i="49"/>
  <c r="K10" i="49"/>
  <c r="J10" i="49"/>
  <c r="I10" i="49"/>
  <c r="H10" i="49"/>
  <c r="G10" i="49"/>
  <c r="G45" i="49"/>
  <c r="G97" i="49"/>
  <c r="D10" i="49"/>
  <c r="C10" i="49"/>
  <c r="B10" i="49"/>
  <c r="B7" i="49"/>
  <c r="L7" i="49"/>
  <c r="K7" i="49"/>
  <c r="J7" i="49"/>
  <c r="I7" i="49"/>
  <c r="H7" i="49"/>
  <c r="G7" i="49"/>
  <c r="F7" i="49"/>
  <c r="E7" i="49"/>
  <c r="C7" i="49"/>
  <c r="L64" i="58"/>
  <c r="L38" i="58"/>
  <c r="S37" i="58"/>
  <c r="L37" i="58"/>
  <c r="S36" i="58"/>
  <c r="L36" i="58"/>
  <c r="L35" i="58"/>
  <c r="L41" i="58"/>
  <c r="D29" i="58"/>
  <c r="H25" i="58"/>
  <c r="H24" i="58"/>
  <c r="L23" i="58"/>
  <c r="L22" i="58"/>
  <c r="H21" i="58"/>
  <c r="H20" i="58"/>
  <c r="H18" i="58"/>
  <c r="H17" i="58"/>
  <c r="H16" i="58"/>
  <c r="J11" i="58"/>
  <c r="L10" i="58"/>
  <c r="X10" i="58"/>
  <c r="J10" i="58"/>
  <c r="L6" i="58"/>
  <c r="J6" i="58"/>
  <c r="L5" i="58"/>
  <c r="L4" i="58"/>
  <c r="X4" i="58"/>
  <c r="J5" i="58"/>
  <c r="F79" i="63"/>
  <c r="D79" i="63"/>
  <c r="P78" i="63"/>
  <c r="S78" i="63"/>
  <c r="N78" i="63"/>
  <c r="Q78" i="63"/>
  <c r="E78" i="63"/>
  <c r="F61" i="63"/>
  <c r="K61" i="63"/>
  <c r="D45" i="63"/>
  <c r="F45" i="63"/>
  <c r="D34" i="63"/>
  <c r="D46" i="63"/>
  <c r="F59" i="63"/>
  <c r="K59" i="63"/>
  <c r="D32" i="63"/>
  <c r="F31" i="63"/>
  <c r="F30" i="63"/>
  <c r="F29" i="63"/>
  <c r="D25" i="63"/>
  <c r="D26" i="63"/>
  <c r="D40" i="63"/>
  <c r="J24" i="63"/>
  <c r="J23" i="63"/>
  <c r="K23" i="63"/>
  <c r="K27" i="63"/>
  <c r="J27" i="63"/>
  <c r="F22" i="63"/>
  <c r="F21" i="63"/>
  <c r="D14" i="63"/>
  <c r="C9" i="63"/>
  <c r="F13" i="63"/>
  <c r="F12" i="63"/>
  <c r="F10" i="63"/>
  <c r="F9" i="63"/>
  <c r="F8" i="63"/>
  <c r="F7" i="63"/>
  <c r="F6" i="63"/>
  <c r="F5" i="63"/>
  <c r="F14" i="63"/>
  <c r="F23" i="63"/>
  <c r="F24" i="63"/>
  <c r="B10" i="52"/>
  <c r="C10" i="57"/>
  <c r="K20" i="1"/>
  <c r="F80" i="63"/>
  <c r="D18" i="52"/>
  <c r="E18" i="57"/>
  <c r="B18" i="52"/>
  <c r="D80" i="63"/>
  <c r="I80" i="63"/>
  <c r="K12" i="1"/>
  <c r="D10" i="52"/>
  <c r="AN27" i="31"/>
  <c r="D91" i="52"/>
  <c r="E91" i="52"/>
  <c r="G91" i="52"/>
  <c r="L27" i="58"/>
  <c r="B17" i="2"/>
  <c r="B27" i="2"/>
  <c r="P47" i="63"/>
  <c r="S47" i="63"/>
  <c r="B9" i="52"/>
  <c r="C9" i="57"/>
  <c r="D9" i="52"/>
  <c r="E9" i="57"/>
  <c r="K11" i="1"/>
  <c r="AN15" i="31"/>
  <c r="C28" i="57"/>
  <c r="E28" i="57"/>
  <c r="C33" i="57"/>
  <c r="E33" i="57"/>
  <c r="C37" i="1"/>
  <c r="C30" i="57"/>
  <c r="E30" i="57"/>
  <c r="C32" i="57"/>
  <c r="E32" i="57"/>
  <c r="C31" i="57"/>
  <c r="E31" i="57"/>
  <c r="C29" i="57"/>
  <c r="E29" i="57"/>
  <c r="C30" i="52"/>
  <c r="C148" i="52"/>
  <c r="D148" i="52"/>
  <c r="D6" i="41"/>
  <c r="D30" i="41"/>
  <c r="O9" i="63"/>
  <c r="C65" i="52"/>
  <c r="C67" i="52"/>
  <c r="R160" i="69"/>
  <c r="P160" i="69"/>
  <c r="C64" i="52"/>
  <c r="AN18" i="31"/>
  <c r="AN9" i="31"/>
  <c r="AN10" i="31"/>
  <c r="AN3" i="31"/>
  <c r="AN4" i="31"/>
  <c r="E34" i="49"/>
  <c r="D18" i="43"/>
  <c r="T37" i="58"/>
  <c r="T39" i="58"/>
  <c r="D18" i="41"/>
  <c r="D21" i="44"/>
  <c r="D16" i="42"/>
  <c r="F92" i="52"/>
  <c r="AN13" i="31"/>
  <c r="AN25" i="31"/>
  <c r="D176" i="52"/>
  <c r="B146" i="52"/>
  <c r="D82" i="52"/>
  <c r="H82" i="52"/>
  <c r="B59" i="2"/>
  <c r="C31" i="52"/>
  <c r="C147" i="52"/>
  <c r="O10" i="63"/>
  <c r="D7" i="41"/>
  <c r="D31" i="41"/>
  <c r="D34" i="41"/>
  <c r="E34" i="41"/>
  <c r="O21" i="63"/>
  <c r="R21" i="63"/>
  <c r="C40" i="52"/>
  <c r="C142" i="52"/>
  <c r="K21" i="63"/>
  <c r="Z3" i="21"/>
  <c r="K22" i="63"/>
  <c r="K10" i="58"/>
  <c r="X9" i="21"/>
  <c r="K5" i="63"/>
  <c r="K14" i="63"/>
  <c r="AA3" i="33"/>
  <c r="AB3" i="23"/>
  <c r="E13" i="45"/>
  <c r="S39" i="58"/>
  <c r="U36" i="58"/>
  <c r="K7" i="63"/>
  <c r="R10" i="63"/>
  <c r="D7" i="1"/>
  <c r="T16" i="30"/>
  <c r="F46" i="63"/>
  <c r="F60" i="63"/>
  <c r="K60" i="63"/>
  <c r="AC21" i="31"/>
  <c r="D28" i="2"/>
  <c r="E79" i="63"/>
  <c r="B129" i="49"/>
  <c r="B130" i="49"/>
  <c r="K30" i="63"/>
  <c r="T160" i="69"/>
  <c r="I32" i="63"/>
  <c r="S17" i="24"/>
  <c r="R17" i="24"/>
  <c r="K24" i="63"/>
  <c r="X5" i="58"/>
  <c r="K9" i="63"/>
  <c r="I14" i="63"/>
  <c r="H8" i="63"/>
  <c r="C9" i="52"/>
  <c r="D9" i="57"/>
  <c r="D41" i="63"/>
  <c r="Z3" i="22"/>
  <c r="Z3" i="28"/>
  <c r="K29" i="63"/>
  <c r="K32" i="63"/>
  <c r="J32" i="63"/>
  <c r="R16" i="18"/>
  <c r="C11" i="49"/>
  <c r="C12" i="49"/>
  <c r="C18" i="52"/>
  <c r="D18" i="57"/>
  <c r="E80" i="63"/>
  <c r="Y4" i="28"/>
  <c r="C7" i="63"/>
  <c r="D16" i="63"/>
  <c r="D38" i="63"/>
  <c r="C10" i="63"/>
  <c r="C8" i="63"/>
  <c r="F32" i="63"/>
  <c r="E32" i="63"/>
  <c r="R31" i="63"/>
  <c r="I25" i="63"/>
  <c r="I26" i="63"/>
  <c r="I40" i="63"/>
  <c r="C27" i="1"/>
  <c r="C18" i="57"/>
  <c r="B31" i="49"/>
  <c r="B65" i="49"/>
  <c r="C4" i="52"/>
  <c r="K45" i="63"/>
  <c r="C10" i="52"/>
  <c r="D10" i="57"/>
  <c r="E10" i="57"/>
  <c r="C13" i="63"/>
  <c r="C5" i="63"/>
  <c r="C6" i="63"/>
  <c r="I79" i="63"/>
  <c r="K79" i="63"/>
  <c r="P79" i="63"/>
  <c r="S79" i="63"/>
  <c r="L45" i="49"/>
  <c r="L97" i="49"/>
  <c r="L99" i="49"/>
  <c r="J45" i="49"/>
  <c r="D70" i="49"/>
  <c r="AA3" i="30"/>
  <c r="L9" i="58"/>
  <c r="N80" i="63"/>
  <c r="Q80" i="63"/>
  <c r="B9" i="58"/>
  <c r="F9" i="58"/>
  <c r="H29" i="58"/>
  <c r="L98" i="49"/>
  <c r="C59" i="49"/>
  <c r="V50" i="29"/>
  <c r="U50" i="29"/>
  <c r="F59" i="49"/>
  <c r="AB2" i="30"/>
  <c r="J98" i="49"/>
  <c r="P49" i="63"/>
  <c r="S49" i="63"/>
  <c r="K35" i="29"/>
  <c r="S45" i="12"/>
  <c r="C9" i="44"/>
  <c r="E9" i="44"/>
  <c r="N94" i="63"/>
  <c r="C36" i="1"/>
  <c r="N46" i="63"/>
  <c r="C49" i="52"/>
  <c r="C57" i="52"/>
  <c r="C48" i="52"/>
  <c r="C70" i="52"/>
  <c r="I82" i="52"/>
  <c r="C51" i="52"/>
  <c r="C37" i="52"/>
  <c r="C66" i="52"/>
  <c r="B11" i="2"/>
  <c r="I89" i="52"/>
  <c r="I95" i="52"/>
  <c r="E15" i="46"/>
  <c r="B183" i="52"/>
  <c r="B173" i="52"/>
  <c r="G144" i="52"/>
  <c r="B189" i="52"/>
  <c r="C17" i="49"/>
  <c r="C54" i="49"/>
  <c r="C55" i="49"/>
  <c r="C93" i="49"/>
  <c r="D62" i="52"/>
  <c r="D68" i="52"/>
  <c r="B45" i="49"/>
  <c r="F35" i="49"/>
  <c r="G68" i="49"/>
  <c r="B188" i="52"/>
  <c r="U37" i="58"/>
  <c r="C68" i="49"/>
  <c r="C69" i="49"/>
  <c r="B191" i="52"/>
  <c r="F191" i="52"/>
  <c r="AN29" i="31"/>
  <c r="AN14" i="31"/>
  <c r="B115" i="49"/>
  <c r="AN12" i="31"/>
  <c r="AN8" i="31"/>
  <c r="L35" i="31"/>
  <c r="AN22" i="31"/>
  <c r="AN30" i="31"/>
  <c r="AN19" i="31"/>
  <c r="AN2" i="31"/>
  <c r="B181" i="52"/>
  <c r="N31" i="63"/>
  <c r="Q31" i="63"/>
  <c r="C4" i="44"/>
  <c r="E4" i="44"/>
  <c r="C2" i="44"/>
  <c r="C13" i="44"/>
  <c r="B177" i="52"/>
  <c r="B34" i="49"/>
  <c r="B35" i="49"/>
  <c r="B20" i="49"/>
  <c r="B57" i="49"/>
  <c r="B185" i="52"/>
  <c r="B14" i="49"/>
  <c r="B17" i="49"/>
  <c r="B18" i="49"/>
  <c r="B11" i="49"/>
  <c r="F65" i="63"/>
  <c r="B37" i="49"/>
  <c r="R9" i="63"/>
  <c r="C88" i="49"/>
  <c r="C89" i="49"/>
  <c r="B79" i="49"/>
  <c r="B8" i="49"/>
  <c r="B9" i="49"/>
  <c r="B43" i="49"/>
  <c r="B172" i="52"/>
  <c r="F172" i="52"/>
  <c r="B169" i="52"/>
  <c r="G142" i="52"/>
  <c r="B88" i="49"/>
  <c r="L26" i="58"/>
  <c r="P26" i="58"/>
  <c r="B12" i="2"/>
  <c r="F82" i="52"/>
  <c r="E176" i="52"/>
  <c r="B67" i="52"/>
  <c r="E194" i="52"/>
  <c r="D92" i="52"/>
  <c r="H92" i="52"/>
  <c r="I92" i="52"/>
  <c r="B45" i="2"/>
  <c r="E23" i="1"/>
  <c r="C58" i="52"/>
  <c r="C59" i="52"/>
  <c r="G59" i="52"/>
  <c r="V54" i="63"/>
  <c r="C56" i="52"/>
  <c r="C72" i="52"/>
  <c r="C53" i="52"/>
  <c r="U39" i="58"/>
  <c r="E63" i="2"/>
  <c r="D17" i="63"/>
  <c r="D18" i="63"/>
  <c r="D39" i="63"/>
  <c r="D42" i="63"/>
  <c r="D43" i="63"/>
  <c r="D63" i="2"/>
  <c r="H13" i="63"/>
  <c r="H5" i="63"/>
  <c r="H10" i="63"/>
  <c r="H6" i="63"/>
  <c r="H7" i="63"/>
  <c r="H9" i="63"/>
  <c r="I16" i="63"/>
  <c r="I38" i="63"/>
  <c r="C82" i="49"/>
  <c r="D12" i="47"/>
  <c r="H26" i="63"/>
  <c r="B178" i="52"/>
  <c r="G147" i="52"/>
  <c r="N79" i="63"/>
  <c r="Q79" i="63"/>
  <c r="E14" i="63"/>
  <c r="C40" i="49"/>
  <c r="C69" i="52"/>
  <c r="L21" i="58"/>
  <c r="P21" i="58"/>
  <c r="F89" i="52"/>
  <c r="F95" i="52"/>
  <c r="D89" i="52"/>
  <c r="E43" i="57"/>
  <c r="B10" i="2"/>
  <c r="B15" i="2"/>
  <c r="E8" i="1"/>
  <c r="I68" i="49"/>
  <c r="B176" i="52"/>
  <c r="G146" i="52"/>
  <c r="B175" i="52"/>
  <c r="J45" i="12"/>
  <c r="K65" i="63"/>
  <c r="B25" i="49"/>
  <c r="B26" i="49"/>
  <c r="B100" i="52"/>
  <c r="B107" i="52"/>
  <c r="B112" i="52"/>
  <c r="E36" i="1"/>
  <c r="B76" i="49"/>
  <c r="E168" i="52"/>
  <c r="D67" i="52"/>
  <c r="H16" i="63"/>
  <c r="V45" i="12"/>
  <c r="C117" i="49"/>
  <c r="D117" i="49"/>
  <c r="C7" i="44"/>
  <c r="S65" i="63"/>
  <c r="P94" i="63"/>
  <c r="O94" i="63"/>
  <c r="E193" i="52"/>
  <c r="F43" i="63"/>
  <c r="N67" i="63"/>
  <c r="N68" i="63"/>
  <c r="Q68" i="63"/>
  <c r="N30" i="63"/>
  <c r="Q30" i="63"/>
  <c r="P45" i="12"/>
  <c r="G34" i="49"/>
  <c r="G35" i="49"/>
  <c r="G45" i="12"/>
  <c r="C3" i="44"/>
  <c r="C6" i="44"/>
  <c r="I34" i="49"/>
  <c r="N93" i="63"/>
  <c r="N95" i="63"/>
  <c r="O30" i="63"/>
  <c r="L39" i="58"/>
  <c r="C39" i="1"/>
  <c r="B101" i="52"/>
  <c r="N90" i="63"/>
  <c r="Q90" i="63"/>
  <c r="E39" i="1"/>
  <c r="E41" i="1"/>
  <c r="E42" i="1"/>
  <c r="P93" i="63"/>
  <c r="O93" i="63"/>
  <c r="O95" i="63"/>
  <c r="O90" i="63"/>
  <c r="R90" i="63"/>
  <c r="B33" i="2"/>
  <c r="P95" i="63"/>
  <c r="P90" i="63"/>
  <c r="S90" i="63"/>
  <c r="P67" i="63"/>
  <c r="B72" i="52"/>
  <c r="E184" i="52"/>
  <c r="B66" i="52"/>
  <c r="B71" i="52"/>
  <c r="D71" i="52"/>
  <c r="B70" i="52"/>
  <c r="D70" i="52"/>
  <c r="E188" i="52"/>
  <c r="B34" i="2"/>
  <c r="E21" i="1"/>
  <c r="I81" i="52"/>
  <c r="D81" i="52"/>
  <c r="H81" i="52"/>
  <c r="F81" i="52"/>
  <c r="J14" i="1"/>
  <c r="L10" i="1"/>
  <c r="L18" i="1"/>
  <c r="J16" i="1"/>
  <c r="L16" i="1"/>
  <c r="J8" i="1"/>
  <c r="L8" i="1"/>
  <c r="L9" i="1"/>
  <c r="J10" i="1"/>
  <c r="L14" i="1"/>
  <c r="L13" i="1"/>
  <c r="J17" i="1"/>
  <c r="J18" i="1"/>
  <c r="P29" i="1"/>
  <c r="J13" i="1"/>
  <c r="L7" i="1"/>
  <c r="L17" i="1"/>
  <c r="J9" i="1"/>
  <c r="J7" i="1"/>
  <c r="L15" i="1"/>
  <c r="J15" i="1"/>
  <c r="G73" i="52"/>
  <c r="C41" i="49"/>
  <c r="B44" i="49"/>
  <c r="B80" i="49"/>
  <c r="B21" i="49"/>
  <c r="D64" i="52"/>
  <c r="D65" i="52"/>
  <c r="C18" i="49"/>
  <c r="D45" i="49"/>
  <c r="F45" i="49"/>
  <c r="C45" i="49"/>
  <c r="I45" i="49"/>
  <c r="B55" i="49"/>
  <c r="B93" i="49"/>
  <c r="D35" i="49"/>
  <c r="D69" i="49"/>
  <c r="H35" i="49"/>
  <c r="J25" i="91"/>
  <c r="C15" i="49"/>
  <c r="C97" i="49"/>
  <c r="H45" i="49"/>
  <c r="D80" i="49"/>
  <c r="C21" i="49"/>
  <c r="C38" i="49"/>
  <c r="H83" i="49"/>
  <c r="C80" i="49"/>
  <c r="D95" i="52"/>
  <c r="I35" i="49"/>
  <c r="P31" i="63"/>
  <c r="S31" i="63"/>
  <c r="D69" i="52"/>
  <c r="B119" i="52"/>
  <c r="B89" i="49"/>
  <c r="B38" i="49"/>
  <c r="B12" i="49"/>
  <c r="B15" i="49"/>
  <c r="B58" i="49"/>
  <c r="F189" i="52"/>
  <c r="E44" i="57"/>
  <c r="J99" i="49"/>
  <c r="B70" i="49"/>
  <c r="B97" i="49"/>
  <c r="E70" i="49"/>
  <c r="H70" i="49"/>
  <c r="G69" i="49"/>
  <c r="D93" i="49"/>
  <c r="D97" i="49"/>
  <c r="F93" i="49"/>
  <c r="F97" i="49"/>
  <c r="H93" i="49"/>
  <c r="F171" i="52"/>
  <c r="B69" i="49"/>
  <c r="E69" i="49"/>
  <c r="E45" i="49"/>
  <c r="D44" i="49"/>
  <c r="C44" i="49"/>
  <c r="Q67" i="63"/>
  <c r="B108" i="52"/>
  <c r="B168" i="52"/>
  <c r="G141" i="52"/>
  <c r="B186" i="52"/>
  <c r="F186" i="52"/>
  <c r="B180" i="52"/>
  <c r="B182" i="52"/>
  <c r="F182" i="52"/>
  <c r="H91" i="52"/>
  <c r="J91" i="52"/>
  <c r="C57" i="49"/>
  <c r="C58" i="49"/>
  <c r="B184" i="52"/>
  <c r="F184" i="52"/>
  <c r="B190" i="52"/>
  <c r="E90" i="52"/>
  <c r="G90" i="52"/>
  <c r="E89" i="52"/>
  <c r="E95" i="52"/>
  <c r="H89" i="52"/>
  <c r="H95" i="52"/>
  <c r="E46" i="57"/>
  <c r="L25" i="58"/>
  <c r="X25" i="58"/>
  <c r="E82" i="52"/>
  <c r="J82" i="52"/>
  <c r="E92" i="52"/>
  <c r="G92" i="52"/>
  <c r="J92" i="52"/>
  <c r="G82" i="52"/>
  <c r="P64" i="63"/>
  <c r="S64" i="63"/>
  <c r="E41" i="57"/>
  <c r="L19" i="58"/>
  <c r="P19" i="58"/>
  <c r="P68" i="63"/>
  <c r="S68" i="63"/>
  <c r="D65" i="49"/>
  <c r="G66" i="49"/>
  <c r="G71" i="49"/>
  <c r="G72" i="49"/>
  <c r="D88" i="49"/>
  <c r="D89" i="49"/>
  <c r="D40" i="49"/>
  <c r="C25" i="91"/>
  <c r="C27" i="91"/>
  <c r="A23" i="91"/>
  <c r="P25" i="91"/>
  <c r="S25" i="91"/>
  <c r="G25" i="91"/>
  <c r="M25" i="91"/>
  <c r="P27" i="91"/>
  <c r="X19" i="58"/>
  <c r="E14" i="1"/>
  <c r="B83" i="49"/>
  <c r="AE2" i="79"/>
  <c r="AF2" i="79"/>
  <c r="AE2" i="21"/>
  <c r="AF2" i="21"/>
  <c r="E195" i="52"/>
  <c r="H31" i="49"/>
  <c r="H32" i="49"/>
  <c r="H14" i="49"/>
  <c r="H15" i="49"/>
  <c r="E15" i="41"/>
  <c r="G26" i="91"/>
  <c r="H85" i="49"/>
  <c r="H86" i="49"/>
  <c r="M26" i="91"/>
  <c r="M27" i="91"/>
  <c r="I35" i="31"/>
  <c r="F42" i="31"/>
  <c r="AF2" i="24"/>
  <c r="AG2" i="24"/>
  <c r="D42" i="31"/>
  <c r="D35" i="31"/>
  <c r="B13" i="74"/>
  <c r="G35" i="31"/>
  <c r="G42" i="31"/>
  <c r="E35" i="31"/>
  <c r="B33" i="24"/>
  <c r="T17" i="12"/>
  <c r="B60" i="49"/>
  <c r="B61" i="49"/>
  <c r="AF2" i="23"/>
  <c r="AG2" i="23"/>
  <c r="B94" i="49"/>
  <c r="B95" i="49"/>
  <c r="D177" i="52"/>
  <c r="F177" i="52"/>
  <c r="H8" i="49"/>
  <c r="H9" i="49"/>
  <c r="D74" i="63"/>
  <c r="B13" i="52"/>
  <c r="C13" i="57"/>
  <c r="K15" i="1"/>
  <c r="D13" i="52"/>
  <c r="F74" i="63"/>
  <c r="J22" i="1"/>
  <c r="B5" i="52"/>
  <c r="B7" i="52"/>
  <c r="C7" i="57"/>
  <c r="K17" i="1"/>
  <c r="F76" i="63"/>
  <c r="D15" i="52"/>
  <c r="P46" i="63"/>
  <c r="K7" i="1"/>
  <c r="L22" i="1"/>
  <c r="D5" i="52"/>
  <c r="B11" i="52"/>
  <c r="C11" i="57"/>
  <c r="B16" i="52"/>
  <c r="C16" i="57"/>
  <c r="D77" i="63"/>
  <c r="B15" i="52"/>
  <c r="C15" i="57"/>
  <c r="D76" i="63"/>
  <c r="D11" i="52"/>
  <c r="P43" i="63"/>
  <c r="K13" i="1"/>
  <c r="K14" i="1"/>
  <c r="D12" i="52"/>
  <c r="D81" i="63"/>
  <c r="B8" i="52"/>
  <c r="C8" i="57"/>
  <c r="D7" i="52"/>
  <c r="K9" i="1"/>
  <c r="P48" i="63"/>
  <c r="K8" i="1"/>
  <c r="L24" i="1"/>
  <c r="D6" i="52"/>
  <c r="J24" i="1"/>
  <c r="B6" i="52"/>
  <c r="C6" i="57"/>
  <c r="K16" i="1"/>
  <c r="D14" i="52"/>
  <c r="F75" i="63"/>
  <c r="B14" i="52"/>
  <c r="C14" i="57"/>
  <c r="D75" i="63"/>
  <c r="K18" i="1"/>
  <c r="D16" i="52"/>
  <c r="F77" i="63"/>
  <c r="D8" i="52"/>
  <c r="F81" i="63"/>
  <c r="K10" i="1"/>
  <c r="B12" i="52"/>
  <c r="C12" i="57"/>
  <c r="E181" i="52"/>
  <c r="D66" i="52"/>
  <c r="P30" i="63"/>
  <c r="S30" i="63"/>
  <c r="R30" i="63"/>
  <c r="G89" i="52"/>
  <c r="G95" i="52"/>
  <c r="O67" i="63"/>
  <c r="R67" i="63"/>
  <c r="S67" i="63"/>
  <c r="B110" i="52"/>
  <c r="B102" i="52"/>
  <c r="J89" i="52"/>
  <c r="L24" i="58"/>
  <c r="P59" i="63"/>
  <c r="S59" i="63"/>
  <c r="X21" i="58"/>
  <c r="J14" i="63"/>
  <c r="K54" i="63"/>
  <c r="E97" i="49"/>
  <c r="C71" i="49"/>
  <c r="C72" i="49"/>
  <c r="B46" i="49"/>
  <c r="B47" i="49"/>
  <c r="D51" i="63"/>
  <c r="D19" i="63"/>
  <c r="D27" i="63"/>
  <c r="D33" i="63"/>
  <c r="D36" i="63"/>
  <c r="D48" i="63"/>
  <c r="I17" i="63"/>
  <c r="B77" i="49"/>
  <c r="I69" i="49"/>
  <c r="B66" i="49"/>
  <c r="C83" i="49"/>
  <c r="Z9" i="21"/>
  <c r="Y9" i="21"/>
  <c r="O47" i="63"/>
  <c r="R47" i="63"/>
  <c r="F69" i="49"/>
  <c r="G58" i="49"/>
  <c r="F190" i="52"/>
  <c r="F183" i="52"/>
  <c r="I59" i="49"/>
  <c r="I97" i="49"/>
  <c r="D10" i="47"/>
  <c r="K5" i="58"/>
  <c r="J4" i="58"/>
  <c r="X6" i="58"/>
  <c r="K6" i="58"/>
  <c r="X23" i="58"/>
  <c r="P23" i="58"/>
  <c r="E35" i="49"/>
  <c r="D41" i="49"/>
  <c r="H52" i="49"/>
  <c r="H59" i="49"/>
  <c r="H97" i="49"/>
  <c r="Z4" i="22"/>
  <c r="Y4" i="22"/>
  <c r="S29" i="22"/>
  <c r="F27" i="63"/>
  <c r="J9" i="58"/>
  <c r="N9" i="58"/>
  <c r="Q10" i="58"/>
  <c r="P22" i="58"/>
  <c r="L11" i="58"/>
  <c r="E17" i="57"/>
  <c r="C17" i="52"/>
  <c r="D17" i="57"/>
  <c r="D25" i="1"/>
  <c r="D26" i="1"/>
  <c r="D27" i="1"/>
  <c r="D82" i="49"/>
  <c r="D83" i="49"/>
  <c r="B86" i="49"/>
  <c r="D10" i="46"/>
  <c r="E12" i="46"/>
  <c r="D12" i="46"/>
  <c r="I41" i="63"/>
  <c r="I46" i="63"/>
  <c r="K46" i="63"/>
  <c r="Z4" i="33"/>
  <c r="B71" i="49"/>
  <c r="F180" i="52"/>
  <c r="B32" i="49"/>
  <c r="H66" i="49"/>
  <c r="C86" i="49"/>
  <c r="H55" i="49"/>
  <c r="H41" i="49"/>
  <c r="F21" i="49"/>
  <c r="F12" i="49"/>
  <c r="S27" i="91"/>
  <c r="F18" i="49"/>
  <c r="F38" i="49"/>
  <c r="F83" i="49"/>
  <c r="F9" i="49"/>
  <c r="H21" i="49"/>
  <c r="F15" i="49"/>
  <c r="H12" i="49"/>
  <c r="F26" i="49"/>
  <c r="H18" i="49"/>
  <c r="F32" i="49"/>
  <c r="F80" i="49"/>
  <c r="E44" i="49"/>
  <c r="D193" i="52"/>
  <c r="J26" i="91"/>
  <c r="J27" i="91"/>
  <c r="H71" i="49"/>
  <c r="H72" i="49"/>
  <c r="H57" i="49"/>
  <c r="H60" i="49"/>
  <c r="H61" i="49"/>
  <c r="D85" i="49"/>
  <c r="D86" i="49"/>
  <c r="D76" i="49"/>
  <c r="D54" i="49"/>
  <c r="D55" i="49"/>
  <c r="J81" i="52"/>
  <c r="E15" i="43"/>
  <c r="E17" i="46"/>
  <c r="D17" i="46"/>
  <c r="D19" i="46"/>
  <c r="D118" i="52"/>
  <c r="C118" i="52"/>
  <c r="AF3" i="31"/>
  <c r="AO3" i="31"/>
  <c r="E71" i="49"/>
  <c r="E72" i="49"/>
  <c r="E66" i="49"/>
  <c r="C11" i="43"/>
  <c r="E11" i="43"/>
  <c r="E81" i="52"/>
  <c r="G81" i="52"/>
  <c r="C11" i="41"/>
  <c r="E11" i="41"/>
  <c r="C46" i="49"/>
  <c r="C47" i="49"/>
  <c r="C94" i="49"/>
  <c r="C95" i="49"/>
  <c r="B193" i="52"/>
  <c r="C60" i="49"/>
  <c r="C61" i="49"/>
  <c r="F181" i="52"/>
  <c r="B72" i="49"/>
  <c r="E185" i="52"/>
  <c r="F185" i="52"/>
  <c r="F188" i="52"/>
  <c r="N26" i="63"/>
  <c r="C122" i="49"/>
  <c r="D122" i="49"/>
  <c r="E42" i="31"/>
  <c r="E40" i="57"/>
  <c r="E57" i="49"/>
  <c r="E58" i="49"/>
  <c r="E37" i="49"/>
  <c r="E38" i="49"/>
  <c r="E24" i="1"/>
  <c r="Q21" i="91"/>
  <c r="F79" i="52"/>
  <c r="I79" i="52"/>
  <c r="D79" i="52"/>
  <c r="B44" i="2"/>
  <c r="C98" i="49"/>
  <c r="H43" i="49"/>
  <c r="H44" i="49"/>
  <c r="H76" i="49"/>
  <c r="H88" i="49"/>
  <c r="H89" i="49"/>
  <c r="H79" i="49"/>
  <c r="H80" i="49"/>
  <c r="H25" i="49"/>
  <c r="H37" i="49"/>
  <c r="H38" i="49"/>
  <c r="D37" i="1"/>
  <c r="D178" i="52"/>
  <c r="F85" i="49"/>
  <c r="F86" i="49"/>
  <c r="F65" i="49"/>
  <c r="N22" i="91"/>
  <c r="Q22" i="91"/>
  <c r="F57" i="49"/>
  <c r="F58" i="49"/>
  <c r="L14" i="58"/>
  <c r="X9" i="58"/>
  <c r="K22" i="91"/>
  <c r="E22" i="91"/>
  <c r="T22" i="91"/>
  <c r="H22" i="91"/>
  <c r="F55" i="49"/>
  <c r="K9" i="58"/>
  <c r="B141" i="52"/>
  <c r="K21" i="91"/>
  <c r="T21" i="91"/>
  <c r="H21" i="91"/>
  <c r="N21" i="91"/>
  <c r="F40" i="49"/>
  <c r="F88" i="49"/>
  <c r="F89" i="49"/>
  <c r="D170" i="52"/>
  <c r="F43" i="49"/>
  <c r="F44" i="49"/>
  <c r="D173" i="52"/>
  <c r="F76" i="49"/>
  <c r="P25" i="58"/>
  <c r="P61" i="63"/>
  <c r="S61" i="63"/>
  <c r="O68" i="63"/>
  <c r="R68" i="63"/>
  <c r="G27" i="91"/>
  <c r="D71" i="49"/>
  <c r="D72" i="49"/>
  <c r="D66" i="49"/>
  <c r="F80" i="52"/>
  <c r="C121" i="49"/>
  <c r="A24" i="91"/>
  <c r="A18" i="91"/>
  <c r="A11" i="91"/>
  <c r="A17" i="91"/>
  <c r="A12" i="91"/>
  <c r="A22" i="91"/>
  <c r="A19" i="91"/>
  <c r="A10" i="91"/>
  <c r="A16" i="91"/>
  <c r="A14" i="91"/>
  <c r="A20" i="91"/>
  <c r="A9" i="91"/>
  <c r="A15" i="91"/>
  <c r="A13" i="91"/>
  <c r="A21" i="91"/>
  <c r="T8" i="12"/>
  <c r="C7" i="74"/>
  <c r="C125" i="49"/>
  <c r="D125" i="49"/>
  <c r="N16" i="63"/>
  <c r="N38" i="63"/>
  <c r="Q38" i="63"/>
  <c r="B98" i="49"/>
  <c r="B99" i="49"/>
  <c r="H58" i="49"/>
  <c r="X11" i="58"/>
  <c r="K11" i="58"/>
  <c r="E27" i="63"/>
  <c r="F54" i="63"/>
  <c r="F48" i="63"/>
  <c r="D54" i="63"/>
  <c r="Q46" i="63"/>
  <c r="B4" i="58"/>
  <c r="P60" i="63"/>
  <c r="S60" i="63"/>
  <c r="P24" i="58"/>
  <c r="X24" i="58"/>
  <c r="D9" i="58"/>
  <c r="C9" i="58"/>
  <c r="G9" i="58"/>
  <c r="H9" i="58"/>
  <c r="P9" i="58"/>
  <c r="O9" i="58"/>
  <c r="C8" i="52"/>
  <c r="D8" i="57"/>
  <c r="E8" i="57"/>
  <c r="E16" i="57"/>
  <c r="C16" i="52"/>
  <c r="D16" i="57"/>
  <c r="I75" i="63"/>
  <c r="N75" i="63"/>
  <c r="Q75" i="63"/>
  <c r="E75" i="63"/>
  <c r="K24" i="1"/>
  <c r="C7" i="52"/>
  <c r="D7" i="57"/>
  <c r="E7" i="57"/>
  <c r="I81" i="63"/>
  <c r="K81" i="63"/>
  <c r="U51" i="63"/>
  <c r="I76" i="63"/>
  <c r="K76" i="63"/>
  <c r="P76" i="63"/>
  <c r="S76" i="63"/>
  <c r="N77" i="63"/>
  <c r="Q77" i="63"/>
  <c r="I77" i="63"/>
  <c r="L7" i="58"/>
  <c r="K22" i="1"/>
  <c r="S46" i="63"/>
  <c r="O46" i="63"/>
  <c r="R46" i="63"/>
  <c r="E76" i="63"/>
  <c r="F12" i="1"/>
  <c r="J7" i="58"/>
  <c r="C13" i="52"/>
  <c r="D13" i="57"/>
  <c r="E13" i="57"/>
  <c r="J29" i="58"/>
  <c r="K4" i="58"/>
  <c r="K14" i="58"/>
  <c r="J14" i="58"/>
  <c r="J31" i="58"/>
  <c r="I19" i="63"/>
  <c r="I27" i="63"/>
  <c r="I33" i="63"/>
  <c r="I36" i="63"/>
  <c r="I48" i="63"/>
  <c r="K48" i="63"/>
  <c r="S48" i="63"/>
  <c r="I18" i="63"/>
  <c r="K69" i="63"/>
  <c r="P81" i="63"/>
  <c r="S81" i="63"/>
  <c r="E81" i="63"/>
  <c r="E77" i="63"/>
  <c r="C14" i="52"/>
  <c r="D14" i="57"/>
  <c r="E14" i="57"/>
  <c r="E6" i="57"/>
  <c r="C6" i="52"/>
  <c r="D6" i="57"/>
  <c r="C12" i="52"/>
  <c r="D12" i="57"/>
  <c r="E12" i="57"/>
  <c r="C11" i="52"/>
  <c r="D11" i="57"/>
  <c r="E11" i="57"/>
  <c r="C5" i="52"/>
  <c r="D5" i="57"/>
  <c r="D20" i="52"/>
  <c r="E5" i="57"/>
  <c r="C15" i="52"/>
  <c r="D15" i="57"/>
  <c r="E15" i="57"/>
  <c r="B20" i="52"/>
  <c r="B77" i="52"/>
  <c r="C5" i="57"/>
  <c r="C20" i="57"/>
  <c r="C23" i="57"/>
  <c r="E74" i="63"/>
  <c r="F82" i="63"/>
  <c r="I74" i="63"/>
  <c r="N74" i="63"/>
  <c r="I80" i="52"/>
  <c r="D77" i="49"/>
  <c r="D94" i="49"/>
  <c r="D95" i="49"/>
  <c r="I85" i="52"/>
  <c r="B37" i="2"/>
  <c r="B42" i="2"/>
  <c r="E19" i="1"/>
  <c r="D34" i="74"/>
  <c r="T23" i="12"/>
  <c r="D80" i="52"/>
  <c r="E39" i="57"/>
  <c r="C124" i="49"/>
  <c r="D124" i="49"/>
  <c r="AO4" i="31"/>
  <c r="C123" i="49"/>
  <c r="D123" i="49"/>
  <c r="C113" i="49"/>
  <c r="D113" i="49"/>
  <c r="E113" i="49"/>
  <c r="H37" i="12"/>
  <c r="T13" i="12"/>
  <c r="C9" i="42"/>
  <c r="E9" i="42"/>
  <c r="N2" i="21"/>
  <c r="N18" i="63"/>
  <c r="N39" i="63"/>
  <c r="N34" i="63"/>
  <c r="C14" i="44"/>
  <c r="C126" i="49"/>
  <c r="D126" i="49"/>
  <c r="T51" i="12"/>
  <c r="F40" i="78"/>
  <c r="Q2" i="23"/>
  <c r="N2" i="79"/>
  <c r="Q2" i="30"/>
  <c r="N2" i="18"/>
  <c r="O2" i="32"/>
  <c r="P2" i="21"/>
  <c r="P2" i="24"/>
  <c r="N2" i="24"/>
  <c r="P2" i="18"/>
  <c r="P2" i="22"/>
  <c r="P3" i="21"/>
  <c r="F41" i="78"/>
  <c r="P3" i="78"/>
  <c r="P4" i="24"/>
  <c r="P4" i="21"/>
  <c r="Q3" i="23"/>
  <c r="Q4" i="23"/>
  <c r="P4" i="22"/>
  <c r="P4" i="18"/>
  <c r="P5" i="24"/>
  <c r="P5" i="78"/>
  <c r="P4" i="79"/>
  <c r="P3" i="18"/>
  <c r="P4" i="78"/>
  <c r="F42" i="78"/>
  <c r="P3" i="24"/>
  <c r="P3" i="22"/>
  <c r="Q5" i="23"/>
  <c r="AF4" i="31"/>
  <c r="P3" i="79"/>
  <c r="L18" i="58"/>
  <c r="F85" i="52"/>
  <c r="D39" i="1"/>
  <c r="D25" i="49"/>
  <c r="D26" i="49"/>
  <c r="N40" i="63"/>
  <c r="Q40" i="63"/>
  <c r="Q26" i="63"/>
  <c r="E88" i="49"/>
  <c r="E89" i="49"/>
  <c r="D121" i="49"/>
  <c r="D38" i="1"/>
  <c r="B3" i="2"/>
  <c r="I77" i="52"/>
  <c r="F60" i="49"/>
  <c r="F61" i="49"/>
  <c r="E18" i="1"/>
  <c r="B47" i="2"/>
  <c r="H79" i="52"/>
  <c r="E79" i="52"/>
  <c r="E38" i="57"/>
  <c r="C101" i="49"/>
  <c r="C99" i="49"/>
  <c r="E20" i="49"/>
  <c r="E21" i="49"/>
  <c r="E40" i="49"/>
  <c r="E41" i="49"/>
  <c r="E8" i="49"/>
  <c r="E79" i="49"/>
  <c r="E80" i="49"/>
  <c r="E31" i="49"/>
  <c r="E32" i="49"/>
  <c r="E11" i="49"/>
  <c r="E12" i="49"/>
  <c r="E14" i="49"/>
  <c r="E15" i="49"/>
  <c r="E82" i="49"/>
  <c r="E83" i="49"/>
  <c r="E54" i="49"/>
  <c r="E76" i="49"/>
  <c r="E77" i="49"/>
  <c r="E85" i="49"/>
  <c r="E86" i="49"/>
  <c r="E17" i="49"/>
  <c r="E18" i="49"/>
  <c r="E25" i="49"/>
  <c r="E26" i="49"/>
  <c r="H77" i="49"/>
  <c r="H94" i="49"/>
  <c r="H95" i="49"/>
  <c r="H26" i="49"/>
  <c r="H46" i="49"/>
  <c r="D83" i="52"/>
  <c r="B147" i="52"/>
  <c r="F66" i="49"/>
  <c r="F71" i="49"/>
  <c r="F72" i="49"/>
  <c r="X14" i="58"/>
  <c r="F77" i="49"/>
  <c r="F94" i="49"/>
  <c r="F95" i="49"/>
  <c r="B143" i="52"/>
  <c r="F46" i="49"/>
  <c r="F41" i="49"/>
  <c r="B154" i="52"/>
  <c r="B109" i="52"/>
  <c r="E9" i="1"/>
  <c r="B144" i="52"/>
  <c r="L23" i="1"/>
  <c r="O28" i="1"/>
  <c r="O32" i="1"/>
  <c r="P32" i="1"/>
  <c r="P28" i="1"/>
  <c r="J23" i="1"/>
  <c r="E80" i="52"/>
  <c r="G80" i="52"/>
  <c r="I87" i="52"/>
  <c r="I97" i="52"/>
  <c r="F43" i="78"/>
  <c r="D128" i="49"/>
  <c r="D130" i="49"/>
  <c r="D131" i="49"/>
  <c r="G131" i="49"/>
  <c r="C129" i="49"/>
  <c r="D10" i="91"/>
  <c r="T10" i="91"/>
  <c r="B101" i="49"/>
  <c r="I65" i="49"/>
  <c r="I71" i="49"/>
  <c r="I72" i="49"/>
  <c r="Q3" i="33"/>
  <c r="C128" i="49"/>
  <c r="Q74" i="63"/>
  <c r="C41" i="57"/>
  <c r="D41" i="57"/>
  <c r="C46" i="57"/>
  <c r="D46" i="57"/>
  <c r="C36" i="57"/>
  <c r="C45" i="57"/>
  <c r="D45" i="57"/>
  <c r="C42" i="57"/>
  <c r="C40" i="57"/>
  <c r="D40" i="57"/>
  <c r="C44" i="57"/>
  <c r="D44" i="57"/>
  <c r="C39" i="57"/>
  <c r="C43" i="57"/>
  <c r="D43" i="57"/>
  <c r="C38" i="57"/>
  <c r="E20" i="57"/>
  <c r="D20" i="57"/>
  <c r="H18" i="63"/>
  <c r="I39" i="63"/>
  <c r="I42" i="63"/>
  <c r="X7" i="58"/>
  <c r="K7" i="58"/>
  <c r="B29" i="58"/>
  <c r="C29" i="58"/>
  <c r="B14" i="58"/>
  <c r="F4" i="58"/>
  <c r="B31" i="58"/>
  <c r="E58" i="63"/>
  <c r="E61" i="63"/>
  <c r="E57" i="63"/>
  <c r="E59" i="63"/>
  <c r="E55" i="63"/>
  <c r="C42" i="63"/>
  <c r="D69" i="63"/>
  <c r="D71" i="63"/>
  <c r="D84" i="63"/>
  <c r="D91" i="63"/>
  <c r="E56" i="63"/>
  <c r="E60" i="63"/>
  <c r="F69" i="63"/>
  <c r="E69" i="63"/>
  <c r="E54" i="63"/>
  <c r="C20" i="52"/>
  <c r="F18" i="1"/>
  <c r="F19" i="1"/>
  <c r="F20" i="1"/>
  <c r="F14" i="1"/>
  <c r="G14" i="1"/>
  <c r="N76" i="63"/>
  <c r="Q76" i="63"/>
  <c r="N81" i="63"/>
  <c r="Q81" i="63"/>
  <c r="D4" i="58"/>
  <c r="F51" i="63"/>
  <c r="N2" i="22"/>
  <c r="D85" i="52"/>
  <c r="H80" i="52"/>
  <c r="J80" i="52"/>
  <c r="D27" i="74"/>
  <c r="N2" i="78"/>
  <c r="G53" i="12"/>
  <c r="O3" i="32"/>
  <c r="D18" i="91"/>
  <c r="H18" i="91"/>
  <c r="Q2" i="33"/>
  <c r="O4" i="23"/>
  <c r="O2" i="23"/>
  <c r="Q2" i="29"/>
  <c r="N41" i="63"/>
  <c r="Q41" i="63"/>
  <c r="Q34" i="63"/>
  <c r="E14" i="44"/>
  <c r="C15" i="44"/>
  <c r="C20" i="44"/>
  <c r="P6" i="78"/>
  <c r="F44" i="78"/>
  <c r="P5" i="79"/>
  <c r="AO5" i="31"/>
  <c r="AF5" i="31"/>
  <c r="P5" i="18"/>
  <c r="D11" i="91"/>
  <c r="N11" i="91"/>
  <c r="X18" i="58"/>
  <c r="P57" i="63"/>
  <c r="S57" i="63"/>
  <c r="P18" i="58"/>
  <c r="D12" i="91"/>
  <c r="N42" i="63"/>
  <c r="Q42" i="63"/>
  <c r="E94" i="49"/>
  <c r="E95" i="49"/>
  <c r="B5" i="2"/>
  <c r="B28" i="2"/>
  <c r="E12" i="1"/>
  <c r="D39" i="57"/>
  <c r="L16" i="58"/>
  <c r="G79" i="52"/>
  <c r="L17" i="58"/>
  <c r="D38" i="57"/>
  <c r="E48" i="57"/>
  <c r="J79" i="52"/>
  <c r="E9" i="49"/>
  <c r="E46" i="49"/>
  <c r="E60" i="49"/>
  <c r="E61" i="49"/>
  <c r="E55" i="49"/>
  <c r="H47" i="49"/>
  <c r="H98" i="49"/>
  <c r="F83" i="52"/>
  <c r="I83" i="52"/>
  <c r="P58" i="63"/>
  <c r="E83" i="52"/>
  <c r="H83" i="52"/>
  <c r="E42" i="57"/>
  <c r="D147" i="52"/>
  <c r="F47" i="49"/>
  <c r="F98" i="49"/>
  <c r="B74" i="52"/>
  <c r="E85" i="52"/>
  <c r="G85" i="52"/>
  <c r="N3" i="78"/>
  <c r="F113" i="49"/>
  <c r="I66" i="49"/>
  <c r="C130" i="49"/>
  <c r="H85" i="52"/>
  <c r="Q10" i="91"/>
  <c r="E10" i="91"/>
  <c r="K10" i="91"/>
  <c r="N10" i="91"/>
  <c r="H10" i="91"/>
  <c r="P5" i="22"/>
  <c r="Q4" i="30"/>
  <c r="N5" i="78"/>
  <c r="F71" i="63"/>
  <c r="E51" i="63"/>
  <c r="G54" i="63"/>
  <c r="G18" i="1"/>
  <c r="I43" i="63"/>
  <c r="N83" i="63"/>
  <c r="Q83" i="63"/>
  <c r="D14" i="58"/>
  <c r="D31" i="58"/>
  <c r="C31" i="58"/>
  <c r="C4" i="58"/>
  <c r="F21" i="1"/>
  <c r="G20" i="1"/>
  <c r="G19" i="1"/>
  <c r="F29" i="58"/>
  <c r="G29" i="58"/>
  <c r="F31" i="58"/>
  <c r="F14" i="58"/>
  <c r="N4" i="58"/>
  <c r="Q39" i="63"/>
  <c r="N4" i="78"/>
  <c r="Q5" i="30"/>
  <c r="J83" i="52"/>
  <c r="N3" i="22"/>
  <c r="N2" i="28"/>
  <c r="N3" i="79"/>
  <c r="N4" i="79"/>
  <c r="O3" i="23"/>
  <c r="P5" i="21"/>
  <c r="P6" i="22"/>
  <c r="P6" i="24"/>
  <c r="Q6" i="23"/>
  <c r="Q3" i="30"/>
  <c r="N18" i="91"/>
  <c r="N3" i="24"/>
  <c r="N3" i="21"/>
  <c r="Q18" i="91"/>
  <c r="T18" i="91"/>
  <c r="K18" i="91"/>
  <c r="E18" i="91"/>
  <c r="N4" i="18"/>
  <c r="H11" i="91"/>
  <c r="N3" i="18"/>
  <c r="T11" i="91"/>
  <c r="K11" i="91"/>
  <c r="G83" i="52"/>
  <c r="N3" i="28"/>
  <c r="Q11" i="91"/>
  <c r="E11" i="91"/>
  <c r="AO6" i="31"/>
  <c r="Z2" i="31"/>
  <c r="P6" i="18"/>
  <c r="AF6" i="31"/>
  <c r="P6" i="79"/>
  <c r="F45" i="78"/>
  <c r="P7" i="78"/>
  <c r="N4" i="24"/>
  <c r="E12" i="91"/>
  <c r="T12" i="91"/>
  <c r="K12" i="91"/>
  <c r="N12" i="91"/>
  <c r="Q12" i="91"/>
  <c r="H12" i="91"/>
  <c r="E15" i="1"/>
  <c r="G12" i="1"/>
  <c r="G15" i="1"/>
  <c r="X16" i="58"/>
  <c r="P55" i="63"/>
  <c r="S55" i="63"/>
  <c r="P16" i="58"/>
  <c r="P17" i="58"/>
  <c r="P56" i="63"/>
  <c r="S56" i="63"/>
  <c r="X17" i="58"/>
  <c r="L29" i="58"/>
  <c r="D13" i="91"/>
  <c r="D14" i="91"/>
  <c r="D15" i="91"/>
  <c r="D23" i="91"/>
  <c r="D9" i="91"/>
  <c r="E47" i="49"/>
  <c r="E98" i="49"/>
  <c r="D16" i="91"/>
  <c r="H99" i="49"/>
  <c r="H101" i="49"/>
  <c r="D42" i="57"/>
  <c r="L20" i="58"/>
  <c r="S58" i="63"/>
  <c r="N5" i="24"/>
  <c r="F99" i="49"/>
  <c r="F101" i="49"/>
  <c r="Q5" i="33"/>
  <c r="N6" i="22"/>
  <c r="N4" i="22"/>
  <c r="Q4" i="33"/>
  <c r="N6" i="79"/>
  <c r="N29" i="58"/>
  <c r="N31" i="58"/>
  <c r="G4" i="58"/>
  <c r="C14" i="58"/>
  <c r="I51" i="63"/>
  <c r="K43" i="63"/>
  <c r="I54" i="63"/>
  <c r="F22" i="1"/>
  <c r="G21" i="1"/>
  <c r="E71" i="63"/>
  <c r="F84" i="63"/>
  <c r="N4" i="21"/>
  <c r="N5" i="18"/>
  <c r="O4" i="32"/>
  <c r="O5" i="32"/>
  <c r="P7" i="24"/>
  <c r="Q7" i="23"/>
  <c r="P7" i="22"/>
  <c r="P6" i="21"/>
  <c r="Q3" i="29"/>
  <c r="O5" i="23"/>
  <c r="AO7" i="31"/>
  <c r="N4" i="28"/>
  <c r="Z3" i="31"/>
  <c r="P8" i="78"/>
  <c r="F46" i="78"/>
  <c r="P7" i="79"/>
  <c r="AF7" i="31"/>
  <c r="P7" i="18"/>
  <c r="P29" i="58"/>
  <c r="K29" i="58"/>
  <c r="K31" i="58"/>
  <c r="X29" i="58"/>
  <c r="L31" i="58"/>
  <c r="O29" i="58"/>
  <c r="H13" i="91"/>
  <c r="N13" i="91"/>
  <c r="K13" i="91"/>
  <c r="Q13" i="91"/>
  <c r="T13" i="91"/>
  <c r="E13" i="91"/>
  <c r="E101" i="49"/>
  <c r="E99" i="49"/>
  <c r="E23" i="91"/>
  <c r="K23" i="91"/>
  <c r="Q23" i="91"/>
  <c r="T23" i="91"/>
  <c r="N23" i="91"/>
  <c r="H23" i="91"/>
  <c r="E14" i="91"/>
  <c r="Q14" i="91"/>
  <c r="T14" i="91"/>
  <c r="H14" i="91"/>
  <c r="K14" i="91"/>
  <c r="N14" i="91"/>
  <c r="H16" i="91"/>
  <c r="N16" i="91"/>
  <c r="E16" i="91"/>
  <c r="Q16" i="91"/>
  <c r="T16" i="91"/>
  <c r="K16" i="91"/>
  <c r="E9" i="91"/>
  <c r="T9" i="91"/>
  <c r="H9" i="91"/>
  <c r="K9" i="91"/>
  <c r="Q9" i="91"/>
  <c r="N9" i="91"/>
  <c r="E15" i="91"/>
  <c r="Q15" i="91"/>
  <c r="H15" i="91"/>
  <c r="T15" i="91"/>
  <c r="K15" i="91"/>
  <c r="N15" i="91"/>
  <c r="P20" i="58"/>
  <c r="X20" i="58"/>
  <c r="Q6" i="33"/>
  <c r="N5" i="79"/>
  <c r="N5" i="22"/>
  <c r="N7" i="22"/>
  <c r="N6" i="24"/>
  <c r="N7" i="24"/>
  <c r="N6" i="78"/>
  <c r="G22" i="1"/>
  <c r="F23" i="1"/>
  <c r="G23" i="1"/>
  <c r="K51" i="63"/>
  <c r="S43" i="63"/>
  <c r="F91" i="63"/>
  <c r="E91" i="63"/>
  <c r="E84" i="63"/>
  <c r="J61" i="63"/>
  <c r="J56" i="63"/>
  <c r="J58" i="63"/>
  <c r="J60" i="63"/>
  <c r="I69" i="63"/>
  <c r="J57" i="63"/>
  <c r="J59" i="63"/>
  <c r="J55" i="63"/>
  <c r="J54" i="63"/>
  <c r="H42" i="63"/>
  <c r="G14" i="58"/>
  <c r="G31" i="58"/>
  <c r="H4" i="58"/>
  <c r="Q6" i="30"/>
  <c r="D18" i="74"/>
  <c r="N6" i="18"/>
  <c r="N5" i="21"/>
  <c r="P8" i="22"/>
  <c r="Q8" i="23"/>
  <c r="P8" i="24"/>
  <c r="P7" i="21"/>
  <c r="Q4" i="29"/>
  <c r="O6" i="23"/>
  <c r="AO8" i="31"/>
  <c r="N5" i="28"/>
  <c r="Z4" i="31"/>
  <c r="P8" i="18"/>
  <c r="AF8" i="31"/>
  <c r="P8" i="79"/>
  <c r="F47" i="78"/>
  <c r="P9" i="78"/>
  <c r="L43" i="58"/>
  <c r="X31" i="58"/>
  <c r="L45" i="58"/>
  <c r="P85" i="63"/>
  <c r="S85" i="63"/>
  <c r="Q7" i="33"/>
  <c r="N7" i="78"/>
  <c r="N8" i="24"/>
  <c r="O6" i="32"/>
  <c r="I71" i="63"/>
  <c r="I84" i="63"/>
  <c r="I91" i="63"/>
  <c r="J69" i="63"/>
  <c r="K71" i="63"/>
  <c r="J51" i="63"/>
  <c r="H14" i="58"/>
  <c r="H31" i="58"/>
  <c r="P4" i="58"/>
  <c r="Q7" i="30"/>
  <c r="N7" i="79"/>
  <c r="N6" i="21"/>
  <c r="P9" i="22"/>
  <c r="P8" i="21"/>
  <c r="P9" i="24"/>
  <c r="Q9" i="23"/>
  <c r="N7" i="18"/>
  <c r="Q5" i="29"/>
  <c r="O7" i="23"/>
  <c r="AO9" i="31"/>
  <c r="N6" i="28"/>
  <c r="Z5" i="31"/>
  <c r="P10" i="78"/>
  <c r="F48" i="78"/>
  <c r="P9" i="79"/>
  <c r="AF9" i="31"/>
  <c r="P9" i="18"/>
  <c r="C18" i="74"/>
  <c r="C13" i="74"/>
  <c r="Q8" i="33"/>
  <c r="N8" i="78"/>
  <c r="N8" i="22"/>
  <c r="O7" i="32"/>
  <c r="O4" i="58"/>
  <c r="P14" i="58"/>
  <c r="P31" i="58"/>
  <c r="O31" i="58"/>
  <c r="K84" i="63"/>
  <c r="J71" i="63"/>
  <c r="Q8" i="30"/>
  <c r="N8" i="79"/>
  <c r="P9" i="21"/>
  <c r="P10" i="24"/>
  <c r="N7" i="21"/>
  <c r="Q10" i="23"/>
  <c r="P10" i="22"/>
  <c r="N8" i="18"/>
  <c r="N9" i="18"/>
  <c r="Q6" i="29"/>
  <c r="O8" i="23"/>
  <c r="AO10" i="31"/>
  <c r="N7" i="28"/>
  <c r="Z6" i="31"/>
  <c r="P10" i="18"/>
  <c r="AF10" i="31"/>
  <c r="P10" i="79"/>
  <c r="F49" i="78"/>
  <c r="P11" i="78"/>
  <c r="Q9" i="33"/>
  <c r="N9" i="78"/>
  <c r="N9" i="22"/>
  <c r="O8" i="32"/>
  <c r="N9" i="24"/>
  <c r="K91" i="63"/>
  <c r="J91" i="63"/>
  <c r="J84" i="63"/>
  <c r="N9" i="79"/>
  <c r="N10" i="18"/>
  <c r="P11" i="24"/>
  <c r="P10" i="21"/>
  <c r="N8" i="21"/>
  <c r="P11" i="22"/>
  <c r="Q11" i="23"/>
  <c r="Q7" i="29"/>
  <c r="O9" i="23"/>
  <c r="AO11" i="31"/>
  <c r="N8" i="28"/>
  <c r="Z7" i="31"/>
  <c r="P12" i="78"/>
  <c r="F50" i="78"/>
  <c r="P11" i="79"/>
  <c r="AF11" i="31"/>
  <c r="P11" i="18"/>
  <c r="Q10" i="33"/>
  <c r="N10" i="78"/>
  <c r="Q9" i="30"/>
  <c r="N10" i="24"/>
  <c r="N11" i="24"/>
  <c r="N10" i="22"/>
  <c r="O9" i="32"/>
  <c r="N11" i="22"/>
  <c r="P11" i="21"/>
  <c r="P13" i="24"/>
  <c r="Q12" i="23"/>
  <c r="P12" i="22"/>
  <c r="P12" i="24"/>
  <c r="N9" i="21"/>
  <c r="N10" i="79"/>
  <c r="N11" i="79"/>
  <c r="Q8" i="29"/>
  <c r="O10" i="23"/>
  <c r="AO12" i="31"/>
  <c r="N9" i="28"/>
  <c r="Z8" i="31"/>
  <c r="P12" i="18"/>
  <c r="AF12" i="31"/>
  <c r="P12" i="79"/>
  <c r="F51" i="78"/>
  <c r="P13" i="78"/>
  <c r="Q11" i="33"/>
  <c r="N11" i="78"/>
  <c r="O10" i="32"/>
  <c r="Q10" i="30"/>
  <c r="O11" i="32"/>
  <c r="N10" i="21"/>
  <c r="P12" i="21"/>
  <c r="Q13" i="23"/>
  <c r="P14" i="24"/>
  <c r="P13" i="22"/>
  <c r="N11" i="18"/>
  <c r="Q9" i="29"/>
  <c r="O11" i="23"/>
  <c r="AO13" i="31"/>
  <c r="N10" i="28"/>
  <c r="Z9" i="31"/>
  <c r="P14" i="78"/>
  <c r="F52" i="78"/>
  <c r="P13" i="79"/>
  <c r="AF13" i="31"/>
  <c r="P13" i="18"/>
  <c r="Q12" i="33"/>
  <c r="N12" i="78"/>
  <c r="N12" i="24"/>
  <c r="N12" i="22"/>
  <c r="Q11" i="30"/>
  <c r="N13" i="22"/>
  <c r="N12" i="79"/>
  <c r="N12" i="18"/>
  <c r="Q14" i="23"/>
  <c r="P13" i="21"/>
  <c r="N11" i="21"/>
  <c r="P14" i="22"/>
  <c r="P15" i="24"/>
  <c r="N13" i="79"/>
  <c r="Q10" i="29"/>
  <c r="O12" i="23"/>
  <c r="AO14" i="31"/>
  <c r="N11" i="28"/>
  <c r="Z10" i="31"/>
  <c r="P14" i="18"/>
  <c r="AF14" i="31"/>
  <c r="P14" i="79"/>
  <c r="F53" i="78"/>
  <c r="P15" i="78"/>
  <c r="Q13" i="33"/>
  <c r="N13" i="78"/>
  <c r="N14" i="22"/>
  <c r="O12" i="32"/>
  <c r="Q12" i="30"/>
  <c r="N13" i="24"/>
  <c r="N14" i="24"/>
  <c r="N13" i="18"/>
  <c r="N12" i="21"/>
  <c r="P14" i="21"/>
  <c r="P16" i="24"/>
  <c r="Q15" i="23"/>
  <c r="P15" i="22"/>
  <c r="Q11" i="29"/>
  <c r="O13" i="23"/>
  <c r="AO15" i="31"/>
  <c r="N12" i="28"/>
  <c r="Z11" i="31"/>
  <c r="P16" i="78"/>
  <c r="F54" i="78"/>
  <c r="P15" i="79"/>
  <c r="AF15" i="31"/>
  <c r="P15" i="18"/>
  <c r="Q14" i="33"/>
  <c r="N14" i="78"/>
  <c r="O13" i="32"/>
  <c r="Q13" i="30"/>
  <c r="N14" i="79"/>
  <c r="N15" i="24"/>
  <c r="O14" i="32"/>
  <c r="P17" i="24"/>
  <c r="Q16" i="23"/>
  <c r="N13" i="21"/>
  <c r="P15" i="21"/>
  <c r="P16" i="22"/>
  <c r="N14" i="18"/>
  <c r="N15" i="18"/>
  <c r="Q12" i="29"/>
  <c r="O14" i="23"/>
  <c r="AO16" i="31"/>
  <c r="N13" i="28"/>
  <c r="Z12" i="31"/>
  <c r="P16" i="18"/>
  <c r="AF16" i="31"/>
  <c r="P16" i="79"/>
  <c r="F55" i="78"/>
  <c r="P17" i="78"/>
  <c r="Y6" i="33"/>
  <c r="Q15" i="33"/>
  <c r="N15" i="78"/>
  <c r="Q14" i="30"/>
  <c r="N15" i="22"/>
  <c r="N16" i="24"/>
  <c r="P17" i="22"/>
  <c r="N14" i="21"/>
  <c r="Q17" i="23"/>
  <c r="P16" i="21"/>
  <c r="N16" i="18"/>
  <c r="N15" i="79"/>
  <c r="Q13" i="29"/>
  <c r="O15" i="23"/>
  <c r="AO17" i="31"/>
  <c r="N14" i="28"/>
  <c r="Z13" i="31"/>
  <c r="P18" i="78"/>
  <c r="F56" i="78"/>
  <c r="P17" i="79"/>
  <c r="AF17" i="31"/>
  <c r="P17" i="18"/>
  <c r="Q16" i="33"/>
  <c r="AA6" i="33"/>
  <c r="N16" i="78"/>
  <c r="N16" i="79"/>
  <c r="O15" i="32"/>
  <c r="O16" i="32"/>
  <c r="N17" i="22"/>
  <c r="N16" i="22"/>
  <c r="W5" i="32"/>
  <c r="Y5" i="32"/>
  <c r="Q15" i="30"/>
  <c r="N17" i="18"/>
  <c r="P17" i="21"/>
  <c r="P18" i="24"/>
  <c r="Q18" i="23"/>
  <c r="P18" i="22"/>
  <c r="N15" i="21"/>
  <c r="N17" i="79"/>
  <c r="Q14" i="29"/>
  <c r="O16" i="23"/>
  <c r="AO18" i="31"/>
  <c r="N15" i="28"/>
  <c r="Z14" i="31"/>
  <c r="P18" i="18"/>
  <c r="AF18" i="31"/>
  <c r="P18" i="79"/>
  <c r="F57" i="78"/>
  <c r="P19" i="78"/>
  <c r="Q17" i="33"/>
  <c r="N17" i="78"/>
  <c r="N18" i="22"/>
  <c r="Q16" i="30"/>
  <c r="N17" i="24"/>
  <c r="N18" i="24"/>
  <c r="O17" i="32"/>
  <c r="P19" i="22"/>
  <c r="Q19" i="23"/>
  <c r="N16" i="21"/>
  <c r="P18" i="21"/>
  <c r="P19" i="24"/>
  <c r="Q15" i="29"/>
  <c r="O17" i="23"/>
  <c r="AO19" i="31"/>
  <c r="N16" i="28"/>
  <c r="Z15" i="31"/>
  <c r="P20" i="78"/>
  <c r="F58" i="78"/>
  <c r="P19" i="79"/>
  <c r="AF19" i="31"/>
  <c r="P19" i="18"/>
  <c r="Q18" i="33"/>
  <c r="N18" i="78"/>
  <c r="Q17" i="30"/>
  <c r="N18" i="18"/>
  <c r="N18" i="79"/>
  <c r="N19" i="79"/>
  <c r="Q20" i="23"/>
  <c r="P20" i="22"/>
  <c r="P20" i="24"/>
  <c r="P19" i="21"/>
  <c r="N17" i="21"/>
  <c r="Q16" i="29"/>
  <c r="O18" i="23"/>
  <c r="AO20" i="31"/>
  <c r="N17" i="28"/>
  <c r="Z16" i="31"/>
  <c r="P20" i="18"/>
  <c r="AF20" i="31"/>
  <c r="P20" i="79"/>
  <c r="F59" i="78"/>
  <c r="P21" i="78"/>
  <c r="Q19" i="33"/>
  <c r="N19" i="78"/>
  <c r="N20" i="79"/>
  <c r="N19" i="24"/>
  <c r="N19" i="22"/>
  <c r="Q18" i="30"/>
  <c r="O18" i="32"/>
  <c r="N19" i="18"/>
  <c r="N20" i="22"/>
  <c r="O19" i="32"/>
  <c r="P21" i="22"/>
  <c r="N18" i="21"/>
  <c r="P20" i="21"/>
  <c r="Q21" i="23"/>
  <c r="P21" i="24"/>
  <c r="Q17" i="29"/>
  <c r="O19" i="23"/>
  <c r="AF21" i="31"/>
  <c r="N18" i="28"/>
  <c r="Z17" i="31"/>
  <c r="P22" i="78"/>
  <c r="F60" i="78"/>
  <c r="P21" i="79"/>
  <c r="P21" i="18"/>
  <c r="Q20" i="33"/>
  <c r="N20" i="78"/>
  <c r="N20" i="24"/>
  <c r="N21" i="22"/>
  <c r="Q19" i="30"/>
  <c r="N20" i="18"/>
  <c r="P22" i="24"/>
  <c r="P21" i="21"/>
  <c r="Q22" i="23"/>
  <c r="N19" i="21"/>
  <c r="P22" i="22"/>
  <c r="Q18" i="29"/>
  <c r="O20" i="23"/>
  <c r="N19" i="28"/>
  <c r="Z18" i="31"/>
  <c r="P22" i="18"/>
  <c r="AF22" i="31"/>
  <c r="P22" i="79"/>
  <c r="F61" i="78"/>
  <c r="P23" i="78"/>
  <c r="Q21" i="33"/>
  <c r="N21" i="78"/>
  <c r="N21" i="24"/>
  <c r="N22" i="24"/>
  <c r="Q20" i="30"/>
  <c r="N22" i="22"/>
  <c r="O20" i="32"/>
  <c r="O21" i="32"/>
  <c r="P23" i="24"/>
  <c r="Q23" i="23"/>
  <c r="P23" i="22"/>
  <c r="N20" i="21"/>
  <c r="P22" i="21"/>
  <c r="N21" i="79"/>
  <c r="N21" i="18"/>
  <c r="N22" i="18"/>
  <c r="N22" i="79"/>
  <c r="Q19" i="29"/>
  <c r="O21" i="23"/>
  <c r="N20" i="28"/>
  <c r="Z19" i="31"/>
  <c r="P24" i="78"/>
  <c r="F62" i="78"/>
  <c r="P23" i="79"/>
  <c r="AF24" i="31"/>
  <c r="AF23" i="31"/>
  <c r="P23" i="18"/>
  <c r="Q22" i="33"/>
  <c r="N22" i="78"/>
  <c r="N23" i="24"/>
  <c r="Q21" i="30"/>
  <c r="O22" i="32"/>
  <c r="Q24" i="23"/>
  <c r="N21" i="21"/>
  <c r="P24" i="24"/>
  <c r="P23" i="21"/>
  <c r="P24" i="22"/>
  <c r="Q20" i="29"/>
  <c r="O22" i="23"/>
  <c r="Z20" i="31"/>
  <c r="N21" i="28"/>
  <c r="P24" i="18"/>
  <c r="AF25" i="31"/>
  <c r="P24" i="79"/>
  <c r="F63" i="78"/>
  <c r="P25" i="78"/>
  <c r="Q23" i="33"/>
  <c r="N23" i="78"/>
  <c r="N23" i="22"/>
  <c r="N23" i="79"/>
  <c r="Q22" i="30"/>
  <c r="N24" i="24"/>
  <c r="P25" i="24"/>
  <c r="Q25" i="23"/>
  <c r="P25" i="22"/>
  <c r="N22" i="21"/>
  <c r="P24" i="21"/>
  <c r="N23" i="18"/>
  <c r="N24" i="18"/>
  <c r="Q21" i="29"/>
  <c r="O23" i="23"/>
  <c r="N22" i="28"/>
  <c r="Z21" i="31"/>
  <c r="P26" i="78"/>
  <c r="F64" i="78"/>
  <c r="P25" i="79"/>
  <c r="P25" i="18"/>
  <c r="Q24" i="33"/>
  <c r="N24" i="22"/>
  <c r="N24" i="78"/>
  <c r="O23" i="32"/>
  <c r="Q23" i="30"/>
  <c r="N25" i="18"/>
  <c r="N24" i="79"/>
  <c r="O24" i="32"/>
  <c r="Q26" i="23"/>
  <c r="P25" i="21"/>
  <c r="N23" i="21"/>
  <c r="P26" i="24"/>
  <c r="P26" i="22"/>
  <c r="Q22" i="29"/>
  <c r="O24" i="23"/>
  <c r="N23" i="28"/>
  <c r="Z22" i="31"/>
  <c r="P26" i="18"/>
  <c r="AF26" i="31"/>
  <c r="AF27" i="31"/>
  <c r="P26" i="79"/>
  <c r="F65" i="78"/>
  <c r="P27" i="78"/>
  <c r="Q25" i="33"/>
  <c r="N25" i="22"/>
  <c r="N25" i="78"/>
  <c r="N25" i="79"/>
  <c r="N25" i="24"/>
  <c r="Q24" i="30"/>
  <c r="Z5" i="30"/>
  <c r="AB5" i="30"/>
  <c r="P27" i="22"/>
  <c r="P26" i="21"/>
  <c r="N24" i="21"/>
  <c r="Q27" i="23"/>
  <c r="P27" i="24"/>
  <c r="N26" i="79"/>
  <c r="Q23" i="29"/>
  <c r="O25" i="23"/>
  <c r="O25" i="32"/>
  <c r="N24" i="28"/>
  <c r="Z23" i="31"/>
  <c r="P28" i="78"/>
  <c r="F66" i="78"/>
  <c r="P27" i="79"/>
  <c r="AF28" i="31"/>
  <c r="P27" i="18"/>
  <c r="Q26" i="33"/>
  <c r="N26" i="78"/>
  <c r="N26" i="24"/>
  <c r="N26" i="22"/>
  <c r="Q25" i="30"/>
  <c r="N26" i="18"/>
  <c r="N27" i="22"/>
  <c r="N25" i="21"/>
  <c r="P28" i="24"/>
  <c r="Q28" i="23"/>
  <c r="P28" i="22"/>
  <c r="P27" i="21"/>
  <c r="AA5" i="29"/>
  <c r="Q24" i="29"/>
  <c r="O26" i="23"/>
  <c r="Z24" i="31"/>
  <c r="AI4" i="31"/>
  <c r="N25" i="28"/>
  <c r="P28" i="18"/>
  <c r="AF29" i="31"/>
  <c r="P28" i="79"/>
  <c r="F67" i="78"/>
  <c r="P29" i="78"/>
  <c r="Q27" i="33"/>
  <c r="N27" i="78"/>
  <c r="O26" i="32"/>
  <c r="N28" i="22"/>
  <c r="N28" i="24"/>
  <c r="N27" i="24"/>
  <c r="Q26" i="30"/>
  <c r="O27" i="32"/>
  <c r="N27" i="79"/>
  <c r="P30" i="24"/>
  <c r="P29" i="22"/>
  <c r="Q29" i="23"/>
  <c r="N26" i="21"/>
  <c r="P29" i="24"/>
  <c r="P28" i="21"/>
  <c r="N27" i="18"/>
  <c r="N28" i="18"/>
  <c r="T51" i="29"/>
  <c r="AA6" i="29"/>
  <c r="Q25" i="29"/>
  <c r="O27" i="23"/>
  <c r="N26" i="28"/>
  <c r="Z25" i="31"/>
  <c r="AK4" i="31"/>
  <c r="AK5" i="31"/>
  <c r="AI5" i="31"/>
  <c r="P30" i="78"/>
  <c r="F68" i="78"/>
  <c r="P29" i="79"/>
  <c r="P29" i="18"/>
  <c r="Q28" i="33"/>
  <c r="N28" i="78"/>
  <c r="N29" i="24"/>
  <c r="Q27" i="30"/>
  <c r="N27" i="21"/>
  <c r="P30" i="22"/>
  <c r="P29" i="21"/>
  <c r="Q30" i="23"/>
  <c r="N28" i="79"/>
  <c r="N29" i="79"/>
  <c r="Q26" i="29"/>
  <c r="V51" i="29"/>
  <c r="V52" i="29"/>
  <c r="T52" i="29"/>
  <c r="O28" i="23"/>
  <c r="AJ5" i="31"/>
  <c r="N27" i="28"/>
  <c r="Z26" i="31"/>
  <c r="P30" i="18"/>
  <c r="AF30" i="31"/>
  <c r="P30" i="79"/>
  <c r="F69" i="78"/>
  <c r="P31" i="78"/>
  <c r="Q29" i="33"/>
  <c r="N29" i="78"/>
  <c r="N29" i="22"/>
  <c r="N30" i="24"/>
  <c r="O28" i="32"/>
  <c r="Q28" i="30"/>
  <c r="N30" i="79"/>
  <c r="N29" i="18"/>
  <c r="P31" i="22"/>
  <c r="AE4" i="22"/>
  <c r="AF4" i="22"/>
  <c r="Q31" i="23"/>
  <c r="N28" i="21"/>
  <c r="G33" i="24"/>
  <c r="P32" i="24"/>
  <c r="P31" i="24"/>
  <c r="P30" i="21"/>
  <c r="G27" i="12"/>
  <c r="U52" i="29"/>
  <c r="AB5" i="29"/>
  <c r="AC5" i="29"/>
  <c r="AC6" i="29"/>
  <c r="AB6" i="29"/>
  <c r="Q27" i="29"/>
  <c r="O29" i="23"/>
  <c r="AE3" i="78"/>
  <c r="G35" i="78"/>
  <c r="AE5" i="78"/>
  <c r="AF5" i="78"/>
  <c r="AE4" i="78"/>
  <c r="AF4" i="78"/>
  <c r="K35" i="33"/>
  <c r="Z27" i="31"/>
  <c r="N28" i="28"/>
  <c r="D57" i="49"/>
  <c r="F24" i="1"/>
  <c r="G24" i="1"/>
  <c r="M34" i="63"/>
  <c r="P32" i="78"/>
  <c r="P33" i="78"/>
  <c r="F70" i="78"/>
  <c r="P31" i="79"/>
  <c r="AF31" i="31"/>
  <c r="N43" i="63"/>
  <c r="C33" i="18"/>
  <c r="AF4" i="18"/>
  <c r="AG4" i="18"/>
  <c r="P31" i="18"/>
  <c r="Q30" i="33"/>
  <c r="N30" i="78"/>
  <c r="H33" i="24"/>
  <c r="H35" i="24"/>
  <c r="N31" i="24"/>
  <c r="S27" i="12"/>
  <c r="H35" i="22"/>
  <c r="N31" i="79"/>
  <c r="N30" i="18"/>
  <c r="Q29" i="30"/>
  <c r="N30" i="22"/>
  <c r="O29" i="32"/>
  <c r="O36" i="33"/>
  <c r="F33" i="24"/>
  <c r="N31" i="22"/>
  <c r="AE5" i="22"/>
  <c r="AF5" i="22"/>
  <c r="P33" i="24"/>
  <c r="G35" i="24"/>
  <c r="N29" i="21"/>
  <c r="Q32" i="23"/>
  <c r="Q33" i="23"/>
  <c r="P32" i="22"/>
  <c r="P33" i="22"/>
  <c r="J33" i="24"/>
  <c r="J43" i="24"/>
  <c r="I33" i="24"/>
  <c r="E33" i="24"/>
  <c r="E43" i="24"/>
  <c r="D27" i="12"/>
  <c r="K33" i="24"/>
  <c r="K43" i="24"/>
  <c r="C33" i="24"/>
  <c r="P31" i="21"/>
  <c r="AF5" i="23"/>
  <c r="AG5" i="23"/>
  <c r="AE5" i="79"/>
  <c r="AF5" i="79"/>
  <c r="Q28" i="29"/>
  <c r="D33" i="41"/>
  <c r="E33" i="41"/>
  <c r="D6" i="44"/>
  <c r="E6" i="44"/>
  <c r="D2" i="43"/>
  <c r="O29" i="63"/>
  <c r="R29" i="63"/>
  <c r="O30" i="23"/>
  <c r="E33" i="18"/>
  <c r="H33" i="18"/>
  <c r="H35" i="18"/>
  <c r="O43" i="63"/>
  <c r="R43" i="63"/>
  <c r="Q43" i="63"/>
  <c r="N44" i="63"/>
  <c r="AE4" i="79"/>
  <c r="AF4" i="79"/>
  <c r="G35" i="79"/>
  <c r="AE3" i="79"/>
  <c r="N22" i="63"/>
  <c r="Q22" i="63"/>
  <c r="C110" i="49"/>
  <c r="D110" i="49"/>
  <c r="B41" i="52"/>
  <c r="N11" i="63"/>
  <c r="G51" i="12"/>
  <c r="T50" i="12"/>
  <c r="I57" i="49"/>
  <c r="I58" i="49"/>
  <c r="D58" i="49"/>
  <c r="D60" i="49"/>
  <c r="D61" i="49"/>
  <c r="Z28" i="31"/>
  <c r="D13" i="12"/>
  <c r="T12" i="12"/>
  <c r="L35" i="78"/>
  <c r="H35" i="33"/>
  <c r="G79" i="49"/>
  <c r="G80" i="49"/>
  <c r="AF3" i="78"/>
  <c r="AF7" i="78"/>
  <c r="AE7" i="78"/>
  <c r="I33" i="18"/>
  <c r="J33" i="18"/>
  <c r="G33" i="18"/>
  <c r="J35" i="29"/>
  <c r="D37" i="49"/>
  <c r="D38" i="49"/>
  <c r="N29" i="28"/>
  <c r="D35" i="33"/>
  <c r="Y5" i="33"/>
  <c r="P32" i="18"/>
  <c r="P33" i="18"/>
  <c r="P32" i="79"/>
  <c r="P33" i="79"/>
  <c r="Q32" i="33"/>
  <c r="Q31" i="33"/>
  <c r="N31" i="78"/>
  <c r="AF3" i="24"/>
  <c r="AG3" i="24"/>
  <c r="P27" i="12"/>
  <c r="G20" i="49"/>
  <c r="G21" i="49"/>
  <c r="O30" i="32"/>
  <c r="B41" i="12"/>
  <c r="E41" i="12"/>
  <c r="N48" i="63"/>
  <c r="Q30" i="30"/>
  <c r="Y5" i="24"/>
  <c r="Q18" i="24"/>
  <c r="N45" i="63"/>
  <c r="Q45" i="63"/>
  <c r="X36" i="31"/>
  <c r="S35" i="31"/>
  <c r="N32" i="24"/>
  <c r="X5" i="22"/>
  <c r="Q30" i="22"/>
  <c r="H35" i="32"/>
  <c r="L35" i="79"/>
  <c r="N32" i="22"/>
  <c r="G8" i="49"/>
  <c r="G9" i="49"/>
  <c r="O31" i="32"/>
  <c r="L33" i="24"/>
  <c r="G82" i="49"/>
  <c r="G83" i="49"/>
  <c r="B42" i="52"/>
  <c r="N23" i="63"/>
  <c r="Q23" i="63"/>
  <c r="C112" i="49"/>
  <c r="D112" i="49"/>
  <c r="N10" i="63"/>
  <c r="C7" i="41"/>
  <c r="B31" i="52"/>
  <c r="AF4" i="24"/>
  <c r="AG4" i="24"/>
  <c r="C43" i="24"/>
  <c r="AF5" i="24"/>
  <c r="AG5" i="24"/>
  <c r="B32" i="52"/>
  <c r="C8" i="41"/>
  <c r="G35" i="23"/>
  <c r="AF3" i="23"/>
  <c r="N12" i="63"/>
  <c r="AF4" i="23"/>
  <c r="AG4" i="23"/>
  <c r="AE5" i="21"/>
  <c r="AF5" i="21"/>
  <c r="P32" i="21"/>
  <c r="P33" i="21"/>
  <c r="B28" i="52"/>
  <c r="C174" i="52"/>
  <c r="F174" i="52"/>
  <c r="N7" i="63"/>
  <c r="Q7" i="63"/>
  <c r="C4" i="41"/>
  <c r="C28" i="41"/>
  <c r="G35" i="22"/>
  <c r="AE3" i="22"/>
  <c r="D35" i="23"/>
  <c r="Z4" i="23"/>
  <c r="AB4" i="23"/>
  <c r="AE4" i="21"/>
  <c r="AF4" i="21"/>
  <c r="N30" i="21"/>
  <c r="N31" i="18"/>
  <c r="N32" i="79"/>
  <c r="Q29" i="29"/>
  <c r="O31" i="23"/>
  <c r="Z6" i="23"/>
  <c r="O32" i="23"/>
  <c r="D14" i="49"/>
  <c r="D15" i="49"/>
  <c r="AF5" i="18"/>
  <c r="AG5" i="18"/>
  <c r="G14" i="49"/>
  <c r="A31" i="12"/>
  <c r="C108" i="49"/>
  <c r="G25" i="49"/>
  <c r="G26" i="49"/>
  <c r="Q11" i="63"/>
  <c r="F146" i="52"/>
  <c r="H146" i="52"/>
  <c r="C176" i="52"/>
  <c r="F176" i="52"/>
  <c r="AE7" i="79"/>
  <c r="AF3" i="79"/>
  <c r="AF7" i="79"/>
  <c r="D35" i="29"/>
  <c r="H35" i="29"/>
  <c r="Q44" i="63"/>
  <c r="O44" i="63"/>
  <c r="R44" i="63"/>
  <c r="G76" i="49"/>
  <c r="B43" i="52"/>
  <c r="N24" i="63"/>
  <c r="Q24" i="63"/>
  <c r="C111" i="49"/>
  <c r="D111" i="49"/>
  <c r="B40" i="52"/>
  <c r="N21" i="63"/>
  <c r="C109" i="49"/>
  <c r="D109" i="49"/>
  <c r="F33" i="18"/>
  <c r="X5" i="18"/>
  <c r="N9" i="63"/>
  <c r="C6" i="41"/>
  <c r="B30" i="52"/>
  <c r="K33" i="18"/>
  <c r="C3" i="41"/>
  <c r="B27" i="52"/>
  <c r="N6" i="63"/>
  <c r="Y7" i="33"/>
  <c r="AA5" i="33"/>
  <c r="AA7" i="33"/>
  <c r="N30" i="28"/>
  <c r="AF3" i="18"/>
  <c r="G35" i="18"/>
  <c r="I79" i="49"/>
  <c r="I80" i="49"/>
  <c r="Z29" i="31"/>
  <c r="G37" i="49"/>
  <c r="G38" i="49"/>
  <c r="G85" i="49"/>
  <c r="G86" i="49"/>
  <c r="H13" i="12"/>
  <c r="T16" i="12"/>
  <c r="O36" i="29"/>
  <c r="N32" i="78"/>
  <c r="X5" i="78"/>
  <c r="G88" i="49"/>
  <c r="G89" i="49"/>
  <c r="P45" i="63"/>
  <c r="S45" i="63"/>
  <c r="D20" i="49"/>
  <c r="D21" i="49"/>
  <c r="M36" i="32"/>
  <c r="K23" i="12"/>
  <c r="T22" i="12"/>
  <c r="N49" i="63"/>
  <c r="Q49" i="63"/>
  <c r="X6" i="22"/>
  <c r="O32" i="32"/>
  <c r="Y6" i="24"/>
  <c r="D35" i="30"/>
  <c r="Z4" i="30"/>
  <c r="Q48" i="63"/>
  <c r="O48" i="63"/>
  <c r="R48" i="63"/>
  <c r="Q31" i="30"/>
  <c r="Q32" i="30"/>
  <c r="H35" i="30"/>
  <c r="O36" i="30"/>
  <c r="N51" i="63"/>
  <c r="Q51" i="63"/>
  <c r="AF7" i="24"/>
  <c r="N32" i="21"/>
  <c r="N31" i="21"/>
  <c r="X5" i="21"/>
  <c r="G35" i="32"/>
  <c r="D8" i="49"/>
  <c r="D9" i="49"/>
  <c r="G40" i="49"/>
  <c r="G41" i="49"/>
  <c r="D35" i="32"/>
  <c r="W4" i="32"/>
  <c r="C3" i="43"/>
  <c r="K17" i="12"/>
  <c r="N8" i="63"/>
  <c r="Q8" i="63"/>
  <c r="C5" i="41"/>
  <c r="C29" i="41"/>
  <c r="B29" i="52"/>
  <c r="Q12" i="63"/>
  <c r="O12" i="63"/>
  <c r="R12" i="63"/>
  <c r="N13" i="63"/>
  <c r="P13" i="63"/>
  <c r="S13" i="63"/>
  <c r="AG7" i="24"/>
  <c r="AE7" i="22"/>
  <c r="AF3" i="22"/>
  <c r="AF7" i="22"/>
  <c r="D19" i="91"/>
  <c r="G8" i="12"/>
  <c r="T7" i="12"/>
  <c r="G35" i="21"/>
  <c r="AE3" i="21"/>
  <c r="AG3" i="23"/>
  <c r="AG7" i="23"/>
  <c r="AF7" i="23"/>
  <c r="C32" i="41"/>
  <c r="E32" i="41"/>
  <c r="E8" i="41"/>
  <c r="C175" i="52"/>
  <c r="F175" i="52"/>
  <c r="D32" i="52"/>
  <c r="C31" i="41"/>
  <c r="E31" i="41"/>
  <c r="E7" i="41"/>
  <c r="C178" i="52"/>
  <c r="F178" i="52"/>
  <c r="D31" i="52"/>
  <c r="F147" i="52"/>
  <c r="H147" i="52"/>
  <c r="Q10" i="63"/>
  <c r="P10" i="63"/>
  <c r="S10" i="63"/>
  <c r="F145" i="52"/>
  <c r="H145" i="52"/>
  <c r="X5" i="79"/>
  <c r="Z5" i="79"/>
  <c r="Z6" i="79"/>
  <c r="N32" i="18"/>
  <c r="Z7" i="33"/>
  <c r="L33" i="18"/>
  <c r="Q30" i="29"/>
  <c r="Z7" i="23"/>
  <c r="AB6" i="23"/>
  <c r="AB7" i="23"/>
  <c r="I37" i="49"/>
  <c r="I38" i="49"/>
  <c r="Z30" i="31"/>
  <c r="C2" i="43"/>
  <c r="O17" i="12"/>
  <c r="N32" i="28"/>
  <c r="X5" i="28"/>
  <c r="N31" i="28"/>
  <c r="Q6" i="63"/>
  <c r="C27" i="41"/>
  <c r="C30" i="41"/>
  <c r="E30" i="41"/>
  <c r="E6" i="41"/>
  <c r="N25" i="63"/>
  <c r="P21" i="63"/>
  <c r="Q21" i="63"/>
  <c r="G77" i="49"/>
  <c r="G109" i="49"/>
  <c r="D31" i="49"/>
  <c r="I25" i="49"/>
  <c r="I26" i="49"/>
  <c r="D108" i="49"/>
  <c r="E108" i="49"/>
  <c r="D31" i="12"/>
  <c r="H36" i="12"/>
  <c r="I85" i="49"/>
  <c r="I86" i="49"/>
  <c r="AF7" i="18"/>
  <c r="AG3" i="18"/>
  <c r="AG7" i="18"/>
  <c r="D17" i="91"/>
  <c r="F143" i="52"/>
  <c r="H143" i="52"/>
  <c r="C170" i="52"/>
  <c r="F170" i="52"/>
  <c r="D30" i="52"/>
  <c r="C179" i="52"/>
  <c r="F179" i="52"/>
  <c r="F148" i="52"/>
  <c r="H148" i="52"/>
  <c r="P9" i="63"/>
  <c r="S9" i="63"/>
  <c r="Q9" i="63"/>
  <c r="N5" i="63"/>
  <c r="C2" i="41"/>
  <c r="B26" i="52"/>
  <c r="F142" i="52"/>
  <c r="H142" i="52"/>
  <c r="C169" i="52"/>
  <c r="F169" i="52"/>
  <c r="D40" i="52"/>
  <c r="G31" i="49"/>
  <c r="G32" i="49"/>
  <c r="N29" i="63"/>
  <c r="G15" i="49"/>
  <c r="Q31" i="22"/>
  <c r="S30" i="22"/>
  <c r="S31" i="22"/>
  <c r="Z5" i="78"/>
  <c r="Z6" i="78"/>
  <c r="X6" i="78"/>
  <c r="X6" i="18"/>
  <c r="Q17" i="18"/>
  <c r="S18" i="24"/>
  <c r="S19" i="24"/>
  <c r="Q19" i="24"/>
  <c r="O49" i="63"/>
  <c r="R49" i="63"/>
  <c r="G94" i="49"/>
  <c r="G95" i="49"/>
  <c r="P51" i="63"/>
  <c r="S51" i="63"/>
  <c r="D6" i="91"/>
  <c r="I20" i="49"/>
  <c r="I21" i="49"/>
  <c r="G17" i="49"/>
  <c r="G18" i="49"/>
  <c r="A37" i="12"/>
  <c r="C107" i="49"/>
  <c r="Z6" i="30"/>
  <c r="AB4" i="30"/>
  <c r="AB6" i="30"/>
  <c r="D17" i="49"/>
  <c r="D18" i="49"/>
  <c r="X6" i="79"/>
  <c r="Y6" i="79"/>
  <c r="I88" i="49"/>
  <c r="I89" i="49"/>
  <c r="I82" i="49"/>
  <c r="I83" i="49"/>
  <c r="I8" i="49"/>
  <c r="I9" i="49"/>
  <c r="C2" i="42"/>
  <c r="C8" i="42"/>
  <c r="C10" i="42"/>
  <c r="C15" i="42"/>
  <c r="G54" i="49"/>
  <c r="AF3" i="21"/>
  <c r="AF7" i="21"/>
  <c r="AE7" i="21"/>
  <c r="H19" i="91"/>
  <c r="Q19" i="91"/>
  <c r="T19" i="91"/>
  <c r="N19" i="91"/>
  <c r="E19" i="91"/>
  <c r="K19" i="91"/>
  <c r="C173" i="52"/>
  <c r="F173" i="52"/>
  <c r="F144" i="52"/>
  <c r="H144" i="52"/>
  <c r="E6" i="1"/>
  <c r="E7" i="1"/>
  <c r="D11" i="49"/>
  <c r="D12" i="49"/>
  <c r="G43" i="49"/>
  <c r="G44" i="49"/>
  <c r="W6" i="32"/>
  <c r="Y4" i="32"/>
  <c r="Y6" i="32"/>
  <c r="I40" i="49"/>
  <c r="I41" i="49"/>
  <c r="G11" i="49"/>
  <c r="Q13" i="21"/>
  <c r="X6" i="21"/>
  <c r="Q31" i="29"/>
  <c r="Q32" i="29"/>
  <c r="AA7" i="23"/>
  <c r="C26" i="52"/>
  <c r="C141" i="52"/>
  <c r="D141" i="52"/>
  <c r="D154" i="52"/>
  <c r="D74" i="52"/>
  <c r="C74" i="52"/>
  <c r="I14" i="49"/>
  <c r="I15" i="49"/>
  <c r="C168" i="52"/>
  <c r="B34" i="52"/>
  <c r="B75" i="52"/>
  <c r="F141" i="52"/>
  <c r="H141" i="52"/>
  <c r="H154" i="52"/>
  <c r="H17" i="91"/>
  <c r="T17" i="91"/>
  <c r="E17" i="91"/>
  <c r="K17" i="91"/>
  <c r="N17" i="91"/>
  <c r="Q17" i="91"/>
  <c r="D32" i="49"/>
  <c r="S21" i="63"/>
  <c r="P27" i="63"/>
  <c r="X6" i="28"/>
  <c r="Q11" i="28"/>
  <c r="N32" i="63"/>
  <c r="Q32" i="63"/>
  <c r="Q29" i="63"/>
  <c r="P29" i="63"/>
  <c r="I76" i="49"/>
  <c r="N2" i="12"/>
  <c r="G54" i="12"/>
  <c r="G55" i="12"/>
  <c r="C26" i="41"/>
  <c r="C45" i="41"/>
  <c r="C47" i="41"/>
  <c r="C10" i="41"/>
  <c r="A2" i="41"/>
  <c r="Q5" i="63"/>
  <c r="N14" i="63"/>
  <c r="M5" i="63"/>
  <c r="D3" i="91"/>
  <c r="H3" i="91"/>
  <c r="G108" i="49"/>
  <c r="Q25" i="63"/>
  <c r="M26" i="63"/>
  <c r="E2" i="43"/>
  <c r="C10" i="43"/>
  <c r="C12" i="43"/>
  <c r="C17" i="43"/>
  <c r="Z32" i="31"/>
  <c r="Z31" i="31"/>
  <c r="C5" i="44"/>
  <c r="M45" i="12"/>
  <c r="R31" i="22"/>
  <c r="Y5" i="22"/>
  <c r="Z5" i="22"/>
  <c r="Z6" i="22"/>
  <c r="Y6" i="22"/>
  <c r="J75" i="63"/>
  <c r="Y6" i="78"/>
  <c r="R19" i="24"/>
  <c r="Z5" i="24"/>
  <c r="AA5" i="24"/>
  <c r="AA6" i="24"/>
  <c r="Z6" i="24"/>
  <c r="Q18" i="18"/>
  <c r="S17" i="18"/>
  <c r="S18" i="18"/>
  <c r="O51" i="63"/>
  <c r="D46" i="49"/>
  <c r="D98" i="49"/>
  <c r="AA6" i="30"/>
  <c r="D107" i="49"/>
  <c r="G107" i="49"/>
  <c r="C115" i="49"/>
  <c r="I17" i="49"/>
  <c r="I18" i="49"/>
  <c r="J77" i="63"/>
  <c r="K77" i="63"/>
  <c r="P77" i="63"/>
  <c r="S77" i="63"/>
  <c r="D24" i="91"/>
  <c r="Q24" i="91"/>
  <c r="G12" i="49"/>
  <c r="G46" i="49"/>
  <c r="I54" i="49"/>
  <c r="Q14" i="21"/>
  <c r="S13" i="21"/>
  <c r="S14" i="21"/>
  <c r="X6" i="32"/>
  <c r="I43" i="49"/>
  <c r="I44" i="49"/>
  <c r="G55" i="49"/>
  <c r="G60" i="49"/>
  <c r="G61" i="49"/>
  <c r="O5" i="63"/>
  <c r="R5" i="63"/>
  <c r="D2" i="41"/>
  <c r="R51" i="63"/>
  <c r="N54" i="63"/>
  <c r="Q14" i="63"/>
  <c r="M16" i="63"/>
  <c r="N17" i="63"/>
  <c r="M7" i="63"/>
  <c r="M10" i="63"/>
  <c r="M13" i="63"/>
  <c r="M11" i="63"/>
  <c r="M8" i="63"/>
  <c r="M6" i="63"/>
  <c r="M9" i="63"/>
  <c r="D26" i="52"/>
  <c r="D34" i="52"/>
  <c r="F168" i="52"/>
  <c r="F193" i="52"/>
  <c r="C193" i="52"/>
  <c r="C12" i="41"/>
  <c r="C17" i="41"/>
  <c r="A4" i="41"/>
  <c r="A7" i="41"/>
  <c r="A8" i="41"/>
  <c r="A5" i="41"/>
  <c r="A3" i="41"/>
  <c r="A6" i="41"/>
  <c r="I94" i="49"/>
  <c r="I95" i="49"/>
  <c r="I77" i="49"/>
  <c r="S29" i="63"/>
  <c r="P32" i="63"/>
  <c r="Q12" i="28"/>
  <c r="S11" i="28"/>
  <c r="S12" i="28"/>
  <c r="O27" i="63"/>
  <c r="R27" i="63"/>
  <c r="S27" i="63"/>
  <c r="I31" i="49"/>
  <c r="D4" i="91"/>
  <c r="B76" i="52"/>
  <c r="B155" i="52"/>
  <c r="E75" i="52"/>
  <c r="C194" i="52"/>
  <c r="C21" i="57"/>
  <c r="D4" i="41"/>
  <c r="D28" i="41"/>
  <c r="O7" i="63"/>
  <c r="R7" i="63"/>
  <c r="C28" i="52"/>
  <c r="D28" i="52"/>
  <c r="C42" i="52"/>
  <c r="D42" i="52"/>
  <c r="R75" i="63"/>
  <c r="K75" i="63"/>
  <c r="P75" i="63"/>
  <c r="S75" i="63"/>
  <c r="R18" i="18"/>
  <c r="Y5" i="18"/>
  <c r="Z5" i="18"/>
  <c r="Z6" i="18"/>
  <c r="Y6" i="18"/>
  <c r="O11" i="63"/>
  <c r="J80" i="63"/>
  <c r="D35" i="41"/>
  <c r="E35" i="41"/>
  <c r="O22" i="63"/>
  <c r="C41" i="52"/>
  <c r="D47" i="49"/>
  <c r="R77" i="63"/>
  <c r="D5" i="91"/>
  <c r="P5" i="63"/>
  <c r="S5" i="63"/>
  <c r="T24" i="91"/>
  <c r="H24" i="91"/>
  <c r="E24" i="91"/>
  <c r="N24" i="91"/>
  <c r="K24" i="91"/>
  <c r="I11" i="49"/>
  <c r="I12" i="49"/>
  <c r="I60" i="49"/>
  <c r="I61" i="49"/>
  <c r="I55" i="49"/>
  <c r="G98" i="49"/>
  <c r="G47" i="49"/>
  <c r="R14" i="21"/>
  <c r="Y5" i="21"/>
  <c r="Z5" i="21"/>
  <c r="Z6" i="21"/>
  <c r="Y6" i="21"/>
  <c r="D7" i="91"/>
  <c r="O23" i="63"/>
  <c r="R23" i="63"/>
  <c r="C145" i="52"/>
  <c r="D145" i="52"/>
  <c r="D26" i="41"/>
  <c r="E26" i="41"/>
  <c r="E45" i="41"/>
  <c r="D45" i="41"/>
  <c r="E2" i="41"/>
  <c r="E10" i="41"/>
  <c r="R12" i="28"/>
  <c r="Y5" i="28"/>
  <c r="Z5" i="28"/>
  <c r="Z6" i="28"/>
  <c r="Y6" i="28"/>
  <c r="D20" i="91"/>
  <c r="T4" i="91"/>
  <c r="Q4" i="91"/>
  <c r="I32" i="49"/>
  <c r="P14" i="63"/>
  <c r="C195" i="52"/>
  <c r="C34" i="52"/>
  <c r="D75" i="52"/>
  <c r="N19" i="63"/>
  <c r="N27" i="63"/>
  <c r="M18" i="63"/>
  <c r="D99" i="49"/>
  <c r="D101" i="49"/>
  <c r="S32" i="63"/>
  <c r="O32" i="63"/>
  <c r="R32" i="63"/>
  <c r="O58" i="63"/>
  <c r="R58" i="63"/>
  <c r="O64" i="63"/>
  <c r="R64" i="63"/>
  <c r="O60" i="63"/>
  <c r="R60" i="63"/>
  <c r="O57" i="63"/>
  <c r="R57" i="63"/>
  <c r="O56" i="63"/>
  <c r="R56" i="63"/>
  <c r="O62" i="63"/>
  <c r="R62" i="63"/>
  <c r="M42" i="63"/>
  <c r="M57" i="63"/>
  <c r="O63" i="63"/>
  <c r="R63" i="63"/>
  <c r="N69" i="63"/>
  <c r="Q54" i="63"/>
  <c r="O61" i="63"/>
  <c r="R61" i="63"/>
  <c r="O55" i="63"/>
  <c r="R55" i="63"/>
  <c r="O59" i="63"/>
  <c r="R59" i="63"/>
  <c r="P7" i="63"/>
  <c r="S7" i="63"/>
  <c r="E4" i="41"/>
  <c r="E28" i="41"/>
  <c r="D36" i="41"/>
  <c r="E36" i="41"/>
  <c r="D41" i="52"/>
  <c r="C146" i="52"/>
  <c r="D146" i="52"/>
  <c r="P11" i="63"/>
  <c r="S11" i="63"/>
  <c r="R11" i="63"/>
  <c r="P22" i="63"/>
  <c r="S22" i="63"/>
  <c r="R22" i="63"/>
  <c r="K80" i="63"/>
  <c r="P80" i="63"/>
  <c r="S80" i="63"/>
  <c r="R80" i="63"/>
  <c r="D3" i="41"/>
  <c r="C43" i="52"/>
  <c r="D43" i="52"/>
  <c r="J74" i="63"/>
  <c r="C27" i="52"/>
  <c r="O6" i="63"/>
  <c r="I46" i="49"/>
  <c r="I98" i="49"/>
  <c r="K7" i="91"/>
  <c r="Q7" i="91"/>
  <c r="T7" i="91"/>
  <c r="D5" i="41"/>
  <c r="C44" i="52"/>
  <c r="D44" i="52"/>
  <c r="C29" i="52"/>
  <c r="O8" i="63"/>
  <c r="G101" i="49"/>
  <c r="G99" i="49"/>
  <c r="P23" i="63"/>
  <c r="S23" i="63"/>
  <c r="D10" i="41"/>
  <c r="E12" i="41"/>
  <c r="Q69" i="63"/>
  <c r="N98" i="63"/>
  <c r="N99" i="63"/>
  <c r="N71" i="63"/>
  <c r="N89" i="63"/>
  <c r="Q89" i="63"/>
  <c r="E10" i="1"/>
  <c r="H77" i="52"/>
  <c r="C75" i="52"/>
  <c r="S14" i="63"/>
  <c r="O14" i="63"/>
  <c r="R14" i="63"/>
  <c r="P54" i="63"/>
  <c r="N33" i="63"/>
  <c r="Q27" i="63"/>
  <c r="K20" i="91"/>
  <c r="Q20" i="91"/>
  <c r="N20" i="91"/>
  <c r="N25" i="91"/>
  <c r="N27" i="91"/>
  <c r="N28" i="91"/>
  <c r="E20" i="91"/>
  <c r="E25" i="91"/>
  <c r="E27" i="91"/>
  <c r="D27" i="91"/>
  <c r="H20" i="91"/>
  <c r="H25" i="91"/>
  <c r="H27" i="91"/>
  <c r="H28" i="91"/>
  <c r="T20" i="91"/>
  <c r="D27" i="52"/>
  <c r="C143" i="52"/>
  <c r="D143" i="52"/>
  <c r="R6" i="63"/>
  <c r="O24" i="63"/>
  <c r="P6" i="63"/>
  <c r="S6" i="63"/>
  <c r="R74" i="63"/>
  <c r="K74" i="63"/>
  <c r="D27" i="41"/>
  <c r="E3" i="41"/>
  <c r="I47" i="49"/>
  <c r="T25" i="91"/>
  <c r="T27" i="91"/>
  <c r="T28" i="91"/>
  <c r="Q25" i="91"/>
  <c r="Q27" i="91"/>
  <c r="Q28" i="91"/>
  <c r="K25" i="91"/>
  <c r="K27" i="91"/>
  <c r="K28" i="91"/>
  <c r="C144" i="52"/>
  <c r="D144" i="52"/>
  <c r="D29" i="52"/>
  <c r="E5" i="41"/>
  <c r="D29" i="41"/>
  <c r="E29" i="41"/>
  <c r="R8" i="63"/>
  <c r="P8" i="63"/>
  <c r="S8" i="63"/>
  <c r="E17" i="41"/>
  <c r="D17" i="41"/>
  <c r="D12" i="41"/>
  <c r="Q33" i="63"/>
  <c r="N36" i="63"/>
  <c r="Q36" i="63"/>
  <c r="S54" i="63"/>
  <c r="O54" i="63"/>
  <c r="P69" i="63"/>
  <c r="J77" i="52"/>
  <c r="K77" i="52"/>
  <c r="H87" i="52"/>
  <c r="H97" i="52"/>
  <c r="I99" i="49"/>
  <c r="I101" i="49"/>
  <c r="D21" i="57"/>
  <c r="C77" i="52"/>
  <c r="D77" i="52"/>
  <c r="D87" i="52"/>
  <c r="D97" i="52"/>
  <c r="N84" i="63"/>
  <c r="Q71" i="63"/>
  <c r="D37" i="41"/>
  <c r="E37" i="41"/>
  <c r="E27" i="41"/>
  <c r="R24" i="63"/>
  <c r="P24" i="63"/>
  <c r="S24" i="63"/>
  <c r="K82" i="63"/>
  <c r="P74" i="63"/>
  <c r="D19" i="41"/>
  <c r="D2" i="42"/>
  <c r="E2" i="42"/>
  <c r="E8" i="42"/>
  <c r="D3" i="43"/>
  <c r="E3" i="43"/>
  <c r="E10" i="43"/>
  <c r="Q84" i="63"/>
  <c r="N91" i="63"/>
  <c r="Q91" i="63"/>
  <c r="D23" i="57"/>
  <c r="E23" i="57"/>
  <c r="E21" i="57"/>
  <c r="R54" i="63"/>
  <c r="M54" i="63"/>
  <c r="M55" i="63"/>
  <c r="M56" i="63"/>
  <c r="P98" i="63"/>
  <c r="O69" i="63"/>
  <c r="R69" i="63"/>
  <c r="P71" i="63"/>
  <c r="S69" i="63"/>
  <c r="S74" i="63"/>
  <c r="P83" i="63"/>
  <c r="S82" i="63"/>
  <c r="U54" i="63"/>
  <c r="W54" i="63"/>
  <c r="D8" i="42"/>
  <c r="E10" i="42"/>
  <c r="D10" i="43"/>
  <c r="E12" i="43"/>
  <c r="S71" i="63"/>
  <c r="O71" i="63"/>
  <c r="R71" i="63"/>
  <c r="B31" i="2"/>
  <c r="B35" i="2"/>
  <c r="B62" i="2"/>
  <c r="B63" i="2"/>
  <c r="B68" i="2"/>
  <c r="D117" i="52"/>
  <c r="I93" i="52"/>
  <c r="J93" i="52"/>
  <c r="S83" i="63"/>
  <c r="P84" i="63"/>
  <c r="E17" i="43"/>
  <c r="D17" i="43"/>
  <c r="D12" i="43"/>
  <c r="D10" i="42"/>
  <c r="E15" i="42"/>
  <c r="D15" i="42"/>
  <c r="C117" i="52"/>
  <c r="C119" i="52"/>
  <c r="D121" i="52"/>
  <c r="C121" i="52"/>
  <c r="F77" i="52"/>
  <c r="F87" i="52"/>
  <c r="F97" i="52"/>
  <c r="E17" i="1"/>
  <c r="P91" i="63"/>
  <c r="O84" i="63"/>
  <c r="R84" i="63"/>
  <c r="P96" i="63"/>
  <c r="P89" i="63"/>
  <c r="P86" i="63"/>
  <c r="S86" i="63"/>
  <c r="S84" i="63"/>
  <c r="D2" i="45"/>
  <c r="E2" i="45"/>
  <c r="E8" i="45"/>
  <c r="D17" i="42"/>
  <c r="D2" i="44"/>
  <c r="D5" i="44"/>
  <c r="E5" i="44"/>
  <c r="D19" i="43"/>
  <c r="L12" i="58"/>
  <c r="G17" i="1"/>
  <c r="G25" i="1"/>
  <c r="G26" i="1"/>
  <c r="G27" i="1"/>
  <c r="E25" i="1"/>
  <c r="E26" i="1"/>
  <c r="U91" i="63"/>
  <c r="V91" i="63"/>
  <c r="W91" i="63"/>
  <c r="F50" i="57"/>
  <c r="E29" i="1"/>
  <c r="B72" i="2"/>
  <c r="B73" i="2"/>
  <c r="D26" i="57"/>
  <c r="E26" i="57"/>
  <c r="E36" i="57"/>
  <c r="D119" i="52"/>
  <c r="D120" i="52"/>
  <c r="D93" i="52"/>
  <c r="E93" i="52"/>
  <c r="E77" i="52"/>
  <c r="S89" i="63"/>
  <c r="O89" i="63"/>
  <c r="R89" i="63"/>
  <c r="S91" i="63"/>
  <c r="O91" i="63"/>
  <c r="R91" i="63"/>
  <c r="D7" i="44"/>
  <c r="E7" i="44"/>
  <c r="E2" i="44"/>
  <c r="E13" i="44"/>
  <c r="D3" i="44"/>
  <c r="E3" i="44"/>
  <c r="E10" i="45"/>
  <c r="D8" i="45"/>
  <c r="D36" i="57"/>
  <c r="E50" i="57"/>
  <c r="E30" i="1"/>
  <c r="E27" i="1"/>
  <c r="X12" i="58"/>
  <c r="K12" i="58"/>
  <c r="E87" i="52"/>
  <c r="E97" i="52"/>
  <c r="G77" i="52"/>
  <c r="G87" i="52"/>
  <c r="G97" i="52"/>
  <c r="E15" i="45"/>
  <c r="D15" i="45"/>
  <c r="D17" i="45"/>
  <c r="D10" i="45"/>
  <c r="D13" i="44"/>
  <c r="E15" i="44"/>
  <c r="E51" i="57"/>
  <c r="G50" i="57"/>
  <c r="D15" i="44"/>
  <c r="E20" i="44"/>
  <c r="D20" i="44"/>
  <c r="D22" i="44"/>
  <c r="B6" i="74" l="1"/>
  <c r="B12" i="74" s="1"/>
  <c r="K21" i="99"/>
  <c r="C10" i="99"/>
  <c r="D10" i="99" s="1"/>
  <c r="I14" i="99"/>
  <c r="C8" i="99"/>
  <c r="D8" i="99" s="1"/>
  <c r="I12" i="99"/>
  <c r="I13" i="99"/>
  <c r="D16" i="99" l="1"/>
  <c r="D6" i="74" s="1"/>
  <c r="D10" i="74" s="1"/>
  <c r="C22" i="74" s="1"/>
  <c r="B10" i="74"/>
  <c r="I21" i="99"/>
  <c r="D12" i="74" s="1"/>
  <c r="D15" i="74" s="1"/>
  <c r="C25" i="74" l="1"/>
  <c r="C24" i="74"/>
  <c r="C27" i="74"/>
  <c r="C23" i="74"/>
  <c r="C21" i="74"/>
  <c r="C6" i="74"/>
  <c r="D17" i="74"/>
  <c r="D28" i="74" s="1"/>
  <c r="C12" i="74"/>
  <c r="D19" i="74"/>
  <c r="C19" i="74" s="1"/>
  <c r="C17" i="74" l="1"/>
  <c r="C28" i="74"/>
  <c r="D37" i="74"/>
  <c r="D40" i="74" l="1"/>
  <c r="D42" i="74"/>
  <c r="C37" i="74"/>
  <c r="D43" i="74" l="1"/>
  <c r="C40" i="74"/>
</calcChain>
</file>

<file path=xl/sharedStrings.xml><?xml version="1.0" encoding="utf-8"?>
<sst xmlns="http://schemas.openxmlformats.org/spreadsheetml/2006/main" count="1541" uniqueCount="618">
  <si>
    <t>Sales</t>
  </si>
  <si>
    <t>Qty</t>
  </si>
  <si>
    <t>Rate</t>
  </si>
  <si>
    <t>Value</t>
  </si>
  <si>
    <t>Plastic Used Bags</t>
  </si>
  <si>
    <t>PP WOVEN BIG BAGS / SACKS</t>
  </si>
  <si>
    <t>PP Woven Fabrics(FG)</t>
  </si>
  <si>
    <t>PP Laminated Fabric</t>
  </si>
  <si>
    <t>REPROCESS GRANULES (FG)</t>
  </si>
  <si>
    <t>PP TAPE / YARN</t>
  </si>
  <si>
    <t>PP Fabric Wastage</t>
  </si>
  <si>
    <t>PP Tape Wastage</t>
  </si>
  <si>
    <t>PP WEBBING (FG)</t>
  </si>
  <si>
    <t>Filler</t>
  </si>
  <si>
    <t>Master Batch</t>
  </si>
  <si>
    <t>LLDPE GRANULES</t>
  </si>
  <si>
    <t>TOTAL SALE</t>
  </si>
  <si>
    <t>Raw Material Consumption</t>
  </si>
  <si>
    <t>Rate Ref</t>
  </si>
  <si>
    <t>For Tape Plant</t>
  </si>
  <si>
    <t>PP</t>
  </si>
  <si>
    <t>FIFO</t>
  </si>
  <si>
    <t>MB</t>
  </si>
  <si>
    <t>UV</t>
  </si>
  <si>
    <t>HDPE</t>
  </si>
  <si>
    <t>LLDPE</t>
  </si>
  <si>
    <t>RP</t>
  </si>
  <si>
    <t>Wastage</t>
  </si>
  <si>
    <t>TOTAL PLANT CONSUMPTION</t>
  </si>
  <si>
    <t>For Yarn</t>
  </si>
  <si>
    <t>Yarn</t>
  </si>
  <si>
    <t>For Lamination</t>
  </si>
  <si>
    <t>LDPE</t>
  </si>
  <si>
    <t>OUTSIDE PURCHASE</t>
  </si>
  <si>
    <t>Fabric UL</t>
  </si>
  <si>
    <t>FIBC</t>
  </si>
  <si>
    <t>Film</t>
  </si>
  <si>
    <t>Fabric Lam</t>
  </si>
  <si>
    <t>Liner Bags</t>
  </si>
  <si>
    <t>Special Tape</t>
  </si>
  <si>
    <t>Tape</t>
  </si>
  <si>
    <t>Webbing</t>
  </si>
  <si>
    <t>Job Consumption</t>
  </si>
  <si>
    <t>Pur Rate</t>
  </si>
  <si>
    <t>TOTAL RMC</t>
  </si>
  <si>
    <t>Value Addition on Sales</t>
  </si>
  <si>
    <t>Power</t>
  </si>
  <si>
    <t>Salary</t>
  </si>
  <si>
    <t>Consumables and Stores</t>
  </si>
  <si>
    <t>Job Charges</t>
  </si>
  <si>
    <t>Other</t>
  </si>
  <si>
    <t>Total Expenses</t>
  </si>
  <si>
    <t>Net Value Addition</t>
  </si>
  <si>
    <t>MEIS Benefit</t>
  </si>
  <si>
    <t>Income from Windmill</t>
  </si>
  <si>
    <t>Exchange Rate Benefit</t>
  </si>
  <si>
    <t>Stock Impact</t>
  </si>
  <si>
    <t>Other Income</t>
  </si>
  <si>
    <t>Net EBIDTA</t>
  </si>
  <si>
    <t>Op. Stock</t>
  </si>
  <si>
    <t>Cl. Stock</t>
  </si>
  <si>
    <t>Pur</t>
  </si>
  <si>
    <t>Sale</t>
  </si>
  <si>
    <t>OP. Stock</t>
  </si>
  <si>
    <t>Diff</t>
  </si>
  <si>
    <t>Export Sale</t>
  </si>
  <si>
    <t>Eligible Import</t>
  </si>
  <si>
    <t>Less: Actual Import</t>
  </si>
  <si>
    <t>UNLAMINATED FABRIC</t>
  </si>
  <si>
    <t>Item Name</t>
  </si>
  <si>
    <t>Opening Balance</t>
  </si>
  <si>
    <t>Inward</t>
  </si>
  <si>
    <t>Outward</t>
  </si>
  <si>
    <t>Closing Balance</t>
  </si>
  <si>
    <t>Qty At Job Worker</t>
  </si>
  <si>
    <t>Purchase</t>
  </si>
  <si>
    <t>Production</t>
  </si>
  <si>
    <t>Received Job IN</t>
  </si>
  <si>
    <t>Issue / Consumption</t>
  </si>
  <si>
    <t>Sent To Job OUT</t>
  </si>
  <si>
    <t>SF</t>
  </si>
  <si>
    <t>R.P. GRANULES</t>
  </si>
  <si>
    <t>PP/HD TAPE</t>
  </si>
  <si>
    <t>UL FABRIC</t>
  </si>
  <si>
    <t>LAMINETED FABRIC</t>
  </si>
  <si>
    <t>WEBBING</t>
  </si>
  <si>
    <t>TAPE WASTE</t>
  </si>
  <si>
    <t>PP WASTE</t>
  </si>
  <si>
    <t>FABRIC WASTE</t>
  </si>
  <si>
    <t>PP MF YARN</t>
  </si>
  <si>
    <t>Crimp Yarn (Texurise Yarn)</t>
  </si>
  <si>
    <t>PP FABRILATED YARN(TAPE)</t>
  </si>
  <si>
    <t>Filler Cord</t>
  </si>
  <si>
    <t>LLDPE Liner Bags</t>
  </si>
  <si>
    <t>LLDPE Film</t>
  </si>
  <si>
    <t>Total</t>
  </si>
  <si>
    <t>FG</t>
  </si>
  <si>
    <t>PP/ HDPE BAGS</t>
  </si>
  <si>
    <t>PP BAGS</t>
  </si>
  <si>
    <t>PP WOVEN BIG BAGS</t>
  </si>
  <si>
    <t>CN</t>
  </si>
  <si>
    <t>All Ink</t>
  </si>
  <si>
    <t>Thinner</t>
  </si>
  <si>
    <t>RM</t>
  </si>
  <si>
    <t>FILLER</t>
  </si>
  <si>
    <t>OTHER</t>
  </si>
  <si>
    <t>AS PER ERP</t>
  </si>
  <si>
    <t>AS PER WORKING</t>
  </si>
  <si>
    <t>DIFFERENCE</t>
  </si>
  <si>
    <t>DIFF</t>
  </si>
  <si>
    <t>LAMINATION</t>
  </si>
  <si>
    <t>LD</t>
  </si>
  <si>
    <t>WASTAGE</t>
  </si>
  <si>
    <t>OTHER WASTAGE</t>
  </si>
  <si>
    <t>PLANT</t>
  </si>
  <si>
    <t>LOOM</t>
  </si>
  <si>
    <t>NEEDLE</t>
  </si>
  <si>
    <t>TFO</t>
  </si>
  <si>
    <t>SN</t>
  </si>
  <si>
    <t>Particulars</t>
  </si>
  <si>
    <t>Budget</t>
  </si>
  <si>
    <t>Actual</t>
  </si>
  <si>
    <t>Upto Date</t>
  </si>
  <si>
    <t>Kg (in Ton)</t>
  </si>
  <si>
    <t>Rate per Kg</t>
  </si>
  <si>
    <t>A</t>
  </si>
  <si>
    <t>Quantitative Details - MT</t>
  </si>
  <si>
    <t>Capacity</t>
  </si>
  <si>
    <t>Quantity</t>
  </si>
  <si>
    <t>Amount</t>
  </si>
  <si>
    <t>Values</t>
  </si>
  <si>
    <t>Sum of Quantity</t>
  </si>
  <si>
    <t>Sum of Amount</t>
  </si>
  <si>
    <t>Utilization (%)</t>
  </si>
  <si>
    <t>Opening Stock</t>
  </si>
  <si>
    <t>Closing Stock</t>
  </si>
  <si>
    <t>B</t>
  </si>
  <si>
    <t>Revenue</t>
  </si>
  <si>
    <t xml:space="preserve">Sales </t>
  </si>
  <si>
    <t>Increase / Decrease in Stock</t>
  </si>
  <si>
    <t>C</t>
  </si>
  <si>
    <t>Eexpenses</t>
  </si>
  <si>
    <t>Raw Material</t>
  </si>
  <si>
    <t>Labour</t>
  </si>
  <si>
    <t>TOTAL</t>
  </si>
  <si>
    <t>Pp Wastage</t>
  </si>
  <si>
    <t>Stores</t>
  </si>
  <si>
    <t>Consumables</t>
  </si>
  <si>
    <t>Jobwork</t>
  </si>
  <si>
    <t>Other Expenses</t>
  </si>
  <si>
    <t>D</t>
  </si>
  <si>
    <t>EBIDTA</t>
  </si>
  <si>
    <t>EBIDTA Margin - %</t>
  </si>
  <si>
    <t>Grand Total</t>
  </si>
  <si>
    <t>JW</t>
  </si>
  <si>
    <t>WIP&amp;FG</t>
  </si>
  <si>
    <t>Amount Rs.</t>
  </si>
  <si>
    <t>Jul</t>
  </si>
  <si>
    <t>Aug</t>
  </si>
  <si>
    <t>Sale of finished goods</t>
  </si>
  <si>
    <t>Sale of traded goods</t>
  </si>
  <si>
    <t>Total Revenue from operations</t>
  </si>
  <si>
    <t>Sale of services</t>
  </si>
  <si>
    <t>Income from Jobwork charges</t>
  </si>
  <si>
    <t>Total Sales of services</t>
  </si>
  <si>
    <t>Other operating revenue</t>
  </si>
  <si>
    <t>Export incentives</t>
  </si>
  <si>
    <t>Stores sales</t>
  </si>
  <si>
    <t>Commission income</t>
  </si>
  <si>
    <t>Scrap sales</t>
  </si>
  <si>
    <t>Total Other operating revenue</t>
  </si>
  <si>
    <t>Other income</t>
  </si>
  <si>
    <t>Wind mill income</t>
  </si>
  <si>
    <t>Interest income:</t>
  </si>
  <si>
    <t>- on fixed deposits with Banks</t>
  </si>
  <si>
    <t>- from others</t>
  </si>
  <si>
    <t>Rent Income</t>
  </si>
  <si>
    <t>Advance License Utilization</t>
  </si>
  <si>
    <t>Profit on sale of fixed assets</t>
  </si>
  <si>
    <t>Profit on sale of investments</t>
  </si>
  <si>
    <t>Sundry balance written off</t>
  </si>
  <si>
    <t>Miscellaneous income</t>
  </si>
  <si>
    <t>Total Other income</t>
  </si>
  <si>
    <t>Total Turnover</t>
  </si>
  <si>
    <t>Cost of Goods</t>
  </si>
  <si>
    <t>Cost of materials consumed</t>
  </si>
  <si>
    <t>Purchase of stock-in-trade</t>
  </si>
  <si>
    <t>Changes in inventory of finished goods and work-in-progress</t>
  </si>
  <si>
    <t>Stores, Spares &amp; Consumables</t>
  </si>
  <si>
    <t xml:space="preserve">Total Cost of goods </t>
  </si>
  <si>
    <t>Employee benefit expenses</t>
  </si>
  <si>
    <t xml:space="preserve">Salaries, wages and  bonus </t>
  </si>
  <si>
    <t>Contribution to provident and other funds</t>
  </si>
  <si>
    <t>Gratuity Expenses</t>
  </si>
  <si>
    <t>Staff welfare expenses</t>
  </si>
  <si>
    <t>Labour charges</t>
  </si>
  <si>
    <t>Total Employee benefit expenses</t>
  </si>
  <si>
    <t>Manufacturing Expenses</t>
  </si>
  <si>
    <t>Power and fuel</t>
  </si>
  <si>
    <t xml:space="preserve">Jobwork charges </t>
  </si>
  <si>
    <t>Other Manufacturing Expenses</t>
  </si>
  <si>
    <t>Total Manufacturing Expenses</t>
  </si>
  <si>
    <t>Selling and Distribution Expenses</t>
  </si>
  <si>
    <t>Advertising and sales promotion expense</t>
  </si>
  <si>
    <t>Travelling expense</t>
  </si>
  <si>
    <t>Brokerage &amp; commission</t>
  </si>
  <si>
    <t>Conveyance, vehicle running and traveling expenses</t>
  </si>
  <si>
    <t>Freight Outward and C &amp; F Charges</t>
  </si>
  <si>
    <t>Total Selling and Distribution Expenses</t>
  </si>
  <si>
    <t>Administrative Expenses</t>
  </si>
  <si>
    <t>Insurance</t>
  </si>
  <si>
    <t>Miscellaneous Expense</t>
  </si>
  <si>
    <t>Other Administrative Expenses</t>
  </si>
  <si>
    <t>Common Expenses</t>
  </si>
  <si>
    <t>HO Expenses</t>
  </si>
  <si>
    <t>Total Administrative Expenses</t>
  </si>
  <si>
    <t>Total Cost of goods sold</t>
  </si>
  <si>
    <t>EBDITA</t>
  </si>
  <si>
    <t>Depreciation</t>
  </si>
  <si>
    <t>Interest</t>
  </si>
  <si>
    <t>On Term Loan</t>
  </si>
  <si>
    <t>On Working Capital</t>
  </si>
  <si>
    <t>PBT</t>
  </si>
  <si>
    <t>Cost of Materials Consumed</t>
  </si>
  <si>
    <t>Advance License Receivable</t>
  </si>
  <si>
    <t>TAPE</t>
  </si>
  <si>
    <t>Fabric</t>
  </si>
  <si>
    <t>Ink</t>
  </si>
  <si>
    <t>Liner</t>
  </si>
  <si>
    <t>Date</t>
  </si>
  <si>
    <t>Unit</t>
  </si>
  <si>
    <t>PP WOVEN FABRIC</t>
  </si>
  <si>
    <t>ChallanNo</t>
  </si>
  <si>
    <t>Lamination</t>
  </si>
  <si>
    <t>sysdate</t>
  </si>
  <si>
    <t>Company Name</t>
  </si>
  <si>
    <t>NatureProc</t>
  </si>
  <si>
    <t>DescriptionGoods</t>
  </si>
  <si>
    <t>Identification</t>
  </si>
  <si>
    <t>QtyDesc</t>
  </si>
  <si>
    <t>ItemUnit</t>
  </si>
  <si>
    <t>ItemQty</t>
  </si>
  <si>
    <t>ItemValue</t>
  </si>
  <si>
    <t>TotalAmt</t>
  </si>
  <si>
    <t>VehicalNo</t>
  </si>
  <si>
    <t>LRNo</t>
  </si>
  <si>
    <t>TransportName</t>
  </si>
  <si>
    <t>PP Laminated Fabrics</t>
  </si>
  <si>
    <t>Consumption</t>
  </si>
  <si>
    <t xml:space="preserve">RM+RP = </t>
  </si>
  <si>
    <t>WASTAGE
(U/L FABRIC)</t>
  </si>
  <si>
    <t>NEEDLE LOOM</t>
  </si>
  <si>
    <t>WASTAGE (TFO)</t>
  </si>
  <si>
    <t>YARN</t>
  </si>
  <si>
    <t>WASTAGE (NEEDLE LOOM)</t>
  </si>
  <si>
    <t>SALES</t>
  </si>
  <si>
    <t>JOB</t>
  </si>
  <si>
    <t>LAMINATION
U/L FABRIC</t>
  </si>
  <si>
    <t>LAMINATION
RM</t>
  </si>
  <si>
    <t>LAMINATED FABRIC</t>
  </si>
  <si>
    <t>SALE</t>
  </si>
  <si>
    <t>FIBC/SMALL BAGS
LAMI. FABRIC</t>
  </si>
  <si>
    <t>FIBC/SMALL BAGS
UNLAMI FABRIC</t>
  </si>
  <si>
    <t>FIBC/SMALL BAGS
WEBBING</t>
  </si>
  <si>
    <t>LINER / LLDPE BAGS</t>
  </si>
  <si>
    <t>FIBC BAGS/SMALL BAGS</t>
  </si>
  <si>
    <t>TOTAL WASTAGE</t>
  </si>
  <si>
    <t>TOTAL MATERIAL CONSUMPTION</t>
  </si>
  <si>
    <t>WASTAGE RATIO</t>
  </si>
  <si>
    <t>PP462S</t>
  </si>
  <si>
    <t>Filler TPT</t>
  </si>
  <si>
    <t>Filler Blue</t>
  </si>
  <si>
    <t>LD705</t>
  </si>
  <si>
    <t>LD1970</t>
  </si>
  <si>
    <t>Laminated Fabric</t>
  </si>
  <si>
    <t>Unlaminated Fabric</t>
  </si>
  <si>
    <t>Small Bags</t>
  </si>
  <si>
    <t>PP350SG</t>
  </si>
  <si>
    <t>Filer Soltex</t>
  </si>
  <si>
    <t>LLDPE Bags</t>
  </si>
  <si>
    <t>Difference</t>
  </si>
  <si>
    <t>Less: Closing Stock</t>
  </si>
  <si>
    <t>Less : Westage</t>
  </si>
  <si>
    <t>Tape Production</t>
  </si>
  <si>
    <t>Total Cost</t>
  </si>
  <si>
    <t>Others</t>
  </si>
  <si>
    <t>Bag Production</t>
  </si>
  <si>
    <t>Import Duty on Excess Material</t>
  </si>
  <si>
    <t>Pp Granuales</t>
  </si>
  <si>
    <t>THINNER</t>
  </si>
  <si>
    <t>PLASTENE INDIA LIMITED - UNIT II</t>
  </si>
  <si>
    <t>LLDPE BAGS (LINER)</t>
  </si>
  <si>
    <t>Less: Avg. RMC Cost of the Material Consumed</t>
  </si>
  <si>
    <t>Value Addition on Sales (A)</t>
  </si>
  <si>
    <t>Sock Impact</t>
  </si>
  <si>
    <t>Op. Stock Impact</t>
  </si>
  <si>
    <t>Current Month Proccessed Stock Impact</t>
  </si>
  <si>
    <t>RM Stock Impact</t>
  </si>
  <si>
    <t>Total Stock Impact (B)</t>
  </si>
  <si>
    <t>Total Expenses (C )</t>
  </si>
  <si>
    <t>Net EBIDTA (A+B-C)</t>
  </si>
  <si>
    <t>PLASTENE INDIA LIMITED UNIT - II</t>
  </si>
  <si>
    <t>LLD</t>
  </si>
  <si>
    <t>Budget till Date</t>
  </si>
  <si>
    <t>Avg. Rate</t>
  </si>
  <si>
    <t>RMC</t>
  </si>
  <si>
    <t>NET ADDITION</t>
  </si>
  <si>
    <t>Export Expenses</t>
  </si>
  <si>
    <t>Exchange Rate Differences</t>
  </si>
  <si>
    <t>TOTAL EXPENSE</t>
  </si>
  <si>
    <t>NET EBDITA</t>
  </si>
  <si>
    <t>Variance</t>
  </si>
  <si>
    <t>Monthly Budget</t>
  </si>
  <si>
    <t>Trading Sale</t>
  </si>
  <si>
    <t>Trading Purchase</t>
  </si>
  <si>
    <t>Inter Unit Sale</t>
  </si>
  <si>
    <t>LDPE GRANULES</t>
  </si>
  <si>
    <t>LDPE GRANUALES</t>
  </si>
  <si>
    <t>Inter Unit Purchase</t>
  </si>
  <si>
    <t>Other Sales</t>
  </si>
  <si>
    <t>Other RMC</t>
  </si>
  <si>
    <t>Inter Co. Purchase</t>
  </si>
  <si>
    <t>Inter Co. Sale</t>
  </si>
  <si>
    <t>RM Price Reduction Impact</t>
  </si>
  <si>
    <t>Oswal MEIS Benefit</t>
  </si>
  <si>
    <t>Total Impact of Above</t>
  </si>
  <si>
    <t>RP-Purchase</t>
  </si>
  <si>
    <t>RP-Self</t>
  </si>
  <si>
    <t>Tape waste</t>
  </si>
  <si>
    <t>Net Plant Production</t>
  </si>
  <si>
    <t>Weaving wastage</t>
  </si>
  <si>
    <t>Net Fabric Production</t>
  </si>
  <si>
    <t>Lamination-PP</t>
  </si>
  <si>
    <t>Lamination-RMC</t>
  </si>
  <si>
    <t>Total After Lamination</t>
  </si>
  <si>
    <t>Other RM</t>
  </si>
  <si>
    <t>Total After Other RM</t>
  </si>
  <si>
    <t>FIBC wastage</t>
  </si>
  <si>
    <t>Net After All wastage</t>
  </si>
  <si>
    <t>Plant Waste</t>
  </si>
  <si>
    <t>Looms Waste</t>
  </si>
  <si>
    <t>Lamination Waste</t>
  </si>
  <si>
    <t>Fibc Waste</t>
  </si>
  <si>
    <t>Total Waste</t>
  </si>
  <si>
    <t>Sale of waste</t>
  </si>
  <si>
    <t>Send to RP</t>
  </si>
  <si>
    <t>FIBC Sale</t>
  </si>
  <si>
    <t>Fabric Sale</t>
  </si>
  <si>
    <t>Total Inflow</t>
  </si>
  <si>
    <t>Outflows</t>
  </si>
  <si>
    <t>Other Fix</t>
  </si>
  <si>
    <t>Export Expense</t>
  </si>
  <si>
    <t>MEIS Benefits</t>
  </si>
  <si>
    <t>Exchage Rate Diff</t>
  </si>
  <si>
    <t>Net EBDITA</t>
  </si>
  <si>
    <t>Export</t>
  </si>
  <si>
    <t>Actual Import</t>
  </si>
  <si>
    <t>* FIBC Wastage includes wastage of 980 Kg of Liner wastage</t>
  </si>
  <si>
    <t>* RM Consu and Plast Wastage include Sweeping Wastage of 4613 kg. (Nov-1550, Dec-3063)</t>
  </si>
  <si>
    <t>* FIBC Wastage includes wastage of 10578 Kg of Fabric wastage trf. From RMD Dept.</t>
  </si>
  <si>
    <t>Custom Duty on RM Pur</t>
  </si>
  <si>
    <t>Advance License Income</t>
  </si>
  <si>
    <t>Job Work Consumption</t>
  </si>
  <si>
    <t>Advance Lic. Benefit on Trading Trx.</t>
  </si>
  <si>
    <t>RM Inter Co. PUR Exp.</t>
  </si>
  <si>
    <t>Trading Impact</t>
  </si>
  <si>
    <t>Till Date Budget</t>
  </si>
  <si>
    <t>Wastage Purchase</t>
  </si>
  <si>
    <t>FIBC Purchase</t>
  </si>
  <si>
    <t>Fabric Purchase</t>
  </si>
  <si>
    <t>Advance License Accrued</t>
  </si>
  <si>
    <t>Plastene India Limited Unit - II (PIA)</t>
  </si>
  <si>
    <t>RM Sales - Purchase</t>
  </si>
  <si>
    <t>Profit / (Loss) on Account of RM</t>
  </si>
  <si>
    <t>Total EBDITA</t>
  </si>
  <si>
    <t>Purchase / Stock Price</t>
  </si>
  <si>
    <t>Increase / (Decrese) in Closing Stock</t>
  </si>
  <si>
    <t>Net EBDITA Stock Impact</t>
  </si>
  <si>
    <t>EBDITA from 1st Dec 2019 to 14th Dec 2019</t>
  </si>
  <si>
    <t>Income From Windmill</t>
  </si>
  <si>
    <t>Profit / (Loss)</t>
  </si>
  <si>
    <t>Cl. Rate</t>
  </si>
  <si>
    <t>Jan-20</t>
  </si>
  <si>
    <t>Profit / (Loss) on Stock Valuation</t>
  </si>
  <si>
    <t>Pp Woven Bgas(FG)</t>
  </si>
  <si>
    <t>29-02-2020</t>
  </si>
  <si>
    <t>OP</t>
  </si>
  <si>
    <t>Cons</t>
  </si>
  <si>
    <t>Sales/Job Out</t>
  </si>
  <si>
    <t>Pur/Prod/Job In</t>
  </si>
  <si>
    <t>Total Income</t>
  </si>
  <si>
    <t>Salary(inc Pf and all)</t>
  </si>
  <si>
    <t>Stores &amp; Consumables</t>
  </si>
  <si>
    <t>Net EBIDATA</t>
  </si>
  <si>
    <t>EBIDATA/kg</t>
  </si>
  <si>
    <t>Finanace Cost</t>
  </si>
  <si>
    <t>Net PBT</t>
  </si>
  <si>
    <t>PBT/kg</t>
  </si>
  <si>
    <t>LLDPE FILM</t>
  </si>
  <si>
    <t>Filler cord</t>
  </si>
  <si>
    <t>Rop</t>
  </si>
  <si>
    <t>GroupName</t>
  </si>
  <si>
    <t>LoginName</t>
  </si>
  <si>
    <t>PP 30SG</t>
  </si>
  <si>
    <t>Loom</t>
  </si>
  <si>
    <t>PP 462</t>
  </si>
  <si>
    <t>Itemcode</t>
  </si>
  <si>
    <t>Itemname</t>
  </si>
  <si>
    <t>Deptt</t>
  </si>
  <si>
    <t>Job Income</t>
  </si>
  <si>
    <t>Delta</t>
  </si>
  <si>
    <t>Exchange Rate Difference</t>
  </si>
  <si>
    <t>Total Direct Expenses</t>
  </si>
  <si>
    <t>Cost of goods sold of traded goods</t>
  </si>
  <si>
    <t xml:space="preserve">Total </t>
  </si>
  <si>
    <t>OIL</t>
  </si>
  <si>
    <t>Multiliyer Laminated Film</t>
  </si>
  <si>
    <t>Traded Delta Margin %</t>
  </si>
  <si>
    <t>Process Delta Margin %</t>
  </si>
  <si>
    <t>Factory Rent Expense</t>
  </si>
  <si>
    <t>Gross Margin</t>
  </si>
  <si>
    <t>Administrative &amp; Selling Expense</t>
  </si>
  <si>
    <t>Freight outward expense</t>
  </si>
  <si>
    <t>Other Admin Expense</t>
  </si>
  <si>
    <t>Total Admin &amp; Selling Expense</t>
  </si>
  <si>
    <t>Plasten India Limited (Unit - 1)</t>
  </si>
  <si>
    <t>Job work Charges</t>
  </si>
  <si>
    <t>SubGroupName</t>
  </si>
  <si>
    <t>Traded goods</t>
  </si>
  <si>
    <t>MFG Goods</t>
  </si>
  <si>
    <t>Compname</t>
  </si>
  <si>
    <t>QtyInKgs</t>
  </si>
  <si>
    <t>IssueTo</t>
  </si>
  <si>
    <t>Subdept</t>
  </si>
  <si>
    <t>PP Webbing</t>
  </si>
  <si>
    <t>FIBC Bags</t>
  </si>
  <si>
    <t>PP Filament Yarn</t>
  </si>
  <si>
    <t>PP Tape</t>
  </si>
  <si>
    <t>PP Fabric</t>
  </si>
  <si>
    <t>BOPP Bags</t>
  </si>
  <si>
    <t>PP Granule</t>
  </si>
  <si>
    <t>LDPE Granule</t>
  </si>
  <si>
    <t>LLDPE Granule</t>
  </si>
  <si>
    <t>RP Granule</t>
  </si>
  <si>
    <t>BOPP Film</t>
  </si>
  <si>
    <t>Craft Paper</t>
  </si>
  <si>
    <t>HDPE Granule</t>
  </si>
  <si>
    <t>Plastene India Limited</t>
  </si>
  <si>
    <t>Pcs</t>
  </si>
  <si>
    <t>Circ Looms</t>
  </si>
  <si>
    <t>Adhesive Tapes</t>
  </si>
  <si>
    <t>PCS</t>
  </si>
  <si>
    <t>Stores/Spares</t>
  </si>
  <si>
    <t>LOO01284</t>
  </si>
  <si>
    <t>White Oil:- 12 No</t>
  </si>
  <si>
    <t>Ltr</t>
  </si>
  <si>
    <t>Oil &amp; Greases</t>
  </si>
  <si>
    <t>OTH00163</t>
  </si>
  <si>
    <t>Blade Prabhat</t>
  </si>
  <si>
    <t>Pkts</t>
  </si>
  <si>
    <t>Cutter Blades</t>
  </si>
  <si>
    <t>OTH00168</t>
  </si>
  <si>
    <t>Brown Tape W-2" X L-65 Mtr</t>
  </si>
  <si>
    <t>Kgs</t>
  </si>
  <si>
    <t>Printing &amp; Stationery</t>
  </si>
  <si>
    <t>Stationery Items</t>
  </si>
  <si>
    <t>Hardware Items</t>
  </si>
  <si>
    <t>Stitching Spares</t>
  </si>
  <si>
    <t>STITCHING</t>
  </si>
  <si>
    <t>inder</t>
  </si>
  <si>
    <t>Circular Loom Spares</t>
  </si>
  <si>
    <t>OTH00202</t>
  </si>
  <si>
    <t>Cotton Waste</t>
  </si>
  <si>
    <t>Housekeeping Material</t>
  </si>
  <si>
    <t>LTR</t>
  </si>
  <si>
    <t>PAC00377</t>
  </si>
  <si>
    <t>Alfa Blade For Sdi Cutter Knife. Size;-18mm No.1404H</t>
  </si>
  <si>
    <t>KGS</t>
  </si>
  <si>
    <t>Liner/Film</t>
  </si>
  <si>
    <t>LINER</t>
  </si>
  <si>
    <t>Utility/Maint</t>
  </si>
  <si>
    <t>RM Consumables</t>
  </si>
  <si>
    <t>MF Yarn/Twisting</t>
  </si>
  <si>
    <t>MFY</t>
  </si>
  <si>
    <t>Needle Loom</t>
  </si>
  <si>
    <t>BOPP</t>
  </si>
  <si>
    <t>Office/General</t>
  </si>
  <si>
    <t>OTH00255</t>
  </si>
  <si>
    <t>Nirma Powder</t>
  </si>
  <si>
    <t>OTH00527</t>
  </si>
  <si>
    <t>Diesel</t>
  </si>
  <si>
    <t>WORK SHOP</t>
  </si>
  <si>
    <t>OTH00820</t>
  </si>
  <si>
    <t>Permanent Marker Pen</t>
  </si>
  <si>
    <t>Rolls</t>
  </si>
  <si>
    <t>PVC Fittings</t>
  </si>
  <si>
    <t>Tape Plant</t>
  </si>
  <si>
    <t>TAPE PLANT</t>
  </si>
  <si>
    <t>MUL04482</t>
  </si>
  <si>
    <t>Topaz Blade</t>
  </si>
  <si>
    <t>GEN00057</t>
  </si>
  <si>
    <t>White Sheet Felt 07 mm +/- 1 mm</t>
  </si>
  <si>
    <t>LAM00180</t>
  </si>
  <si>
    <t>Double Side Tape  20 mm</t>
  </si>
  <si>
    <t>ROLLS</t>
  </si>
  <si>
    <t>OTH00177</t>
  </si>
  <si>
    <t>Cello Tape W-2" Natural X L-65 Mtr</t>
  </si>
  <si>
    <t>RMC00276</t>
  </si>
  <si>
    <t>Fabric Tape 96 mm x 50 mtr Blue Antistat</t>
  </si>
  <si>
    <t>RMC00277</t>
  </si>
  <si>
    <t>Fabric Tape 96 mm x 50 mtr Yellow Antistat</t>
  </si>
  <si>
    <t>Packing Material</t>
  </si>
  <si>
    <t>FORK LIFT</t>
  </si>
  <si>
    <t>Tape Plant Spares</t>
  </si>
  <si>
    <t>UTILITY</t>
  </si>
  <si>
    <t>GEN00881</t>
  </si>
  <si>
    <t>Phenyl</t>
  </si>
  <si>
    <t>EBDITA SUMMERY FOR THE PERIOD OF 20th Aug 2026</t>
  </si>
  <si>
    <t xml:space="preserve"> 20th Aug-26</t>
  </si>
  <si>
    <t>LOO00010</t>
  </si>
  <si>
    <t>Heddle Belt Upper 230X122 - 12 Hole</t>
  </si>
  <si>
    <t>LOO00011</t>
  </si>
  <si>
    <t>Heddle Belt Lower 472X122 - 12 Hole</t>
  </si>
  <si>
    <t>LOO00444</t>
  </si>
  <si>
    <t>Compensator Hook</t>
  </si>
  <si>
    <t>OTH00356</t>
  </si>
  <si>
    <t>Allen Bolt 10X30 mm-2</t>
  </si>
  <si>
    <t>OTH00929</t>
  </si>
  <si>
    <t>Hex Nut 10 mm</t>
  </si>
  <si>
    <t>OTH01130</t>
  </si>
  <si>
    <t>Hex Bolt 10X20 mm</t>
  </si>
  <si>
    <t>OTH01430</t>
  </si>
  <si>
    <t>Key Bar 6X6X300 mm</t>
  </si>
  <si>
    <t>OTH01930</t>
  </si>
  <si>
    <t>Bearing 6300 Zz</t>
  </si>
  <si>
    <t>Bearings</t>
  </si>
  <si>
    <t>FIB03442</t>
  </si>
  <si>
    <t>FIB03443</t>
  </si>
  <si>
    <t>Cross Looper For Double Lock Stitch   (81311 B)</t>
  </si>
  <si>
    <t>FIB19158</t>
  </si>
  <si>
    <t>Thread Hook 81310</t>
  </si>
  <si>
    <t>OTH01546</t>
  </si>
  <si>
    <t>Rotor ( For Motor Stitching )</t>
  </si>
  <si>
    <t>STI00450</t>
  </si>
  <si>
    <t>Feed Dog # 502J122</t>
  </si>
  <si>
    <t>GEN00259</t>
  </si>
  <si>
    <t>Scissor Plastic Handle</t>
  </si>
  <si>
    <t>Fusion</t>
  </si>
  <si>
    <t>FUSION</t>
  </si>
  <si>
    <t>LAM00246</t>
  </si>
  <si>
    <t>Ptfe Coated Glass Cloth Of 10 Mil Thickness/3 Width/10 Meter Length</t>
  </si>
  <si>
    <t>MUL07658</t>
  </si>
  <si>
    <t>Stretch Film 300mmx29Mic</t>
  </si>
  <si>
    <t>Stretch Film</t>
  </si>
  <si>
    <t>ELE04926</t>
  </si>
  <si>
    <t>Pencil Heater Dia 16 mm X L 150 mm 450 Watt</t>
  </si>
  <si>
    <t>Heaters</t>
  </si>
  <si>
    <t>OTH00326</t>
  </si>
  <si>
    <t>Allen Bolt 05X16 mm</t>
  </si>
  <si>
    <t>WOR01296</t>
  </si>
  <si>
    <t>Grub Screw 6 X 20 mm</t>
  </si>
  <si>
    <t>CIV01336</t>
  </si>
  <si>
    <t>A Pvc Valve 1"</t>
  </si>
  <si>
    <t>CON00048</t>
  </si>
  <si>
    <t>Spin Finish Oil - 9000M</t>
  </si>
  <si>
    <t>MMU00075</t>
  </si>
  <si>
    <t>Silicon Spray</t>
  </si>
  <si>
    <t>HK</t>
  </si>
  <si>
    <t>OTH00770</t>
  </si>
  <si>
    <t>Water Bottle</t>
  </si>
  <si>
    <t>Office</t>
  </si>
  <si>
    <t>CON00102</t>
  </si>
  <si>
    <t>Filters for Extrusion</t>
  </si>
  <si>
    <t>MMU00196</t>
  </si>
  <si>
    <t>Allen Bolt 04X08 mm</t>
  </si>
  <si>
    <t>OTH00490</t>
  </si>
  <si>
    <t>Washer Plain 05 mm</t>
  </si>
  <si>
    <t>R.P00286</t>
  </si>
  <si>
    <t>R.P00287</t>
  </si>
  <si>
    <t>R.P00292</t>
  </si>
  <si>
    <t>RP M/c Spares</t>
  </si>
  <si>
    <t>R.P00390</t>
  </si>
  <si>
    <t>MUL02874</t>
  </si>
  <si>
    <t>Bearing</t>
  </si>
  <si>
    <t>OTH00695</t>
  </si>
  <si>
    <t>Bearing 1208 Tv Skf</t>
  </si>
  <si>
    <t>UTI01777</t>
  </si>
  <si>
    <t>Bearing 6202 Zz C3 Skf</t>
  </si>
  <si>
    <t>CAP02167</t>
  </si>
  <si>
    <t>Cheese Winder Model Lfw-200 Cm</t>
  </si>
  <si>
    <t>Capex</t>
  </si>
  <si>
    <t>Winders</t>
  </si>
  <si>
    <t>TAP00130</t>
  </si>
  <si>
    <t>Rubber Housing 93091179 (20801120)</t>
  </si>
  <si>
    <t>TAPE  PLANT</t>
  </si>
  <si>
    <t>TAP00172</t>
  </si>
  <si>
    <t>V- Guide Pulley ( Guide Roller) Ls20403103</t>
  </si>
  <si>
    <t>TAP00178</t>
  </si>
  <si>
    <t>Roller Plate Ls20403101</t>
  </si>
  <si>
    <t>TAP00229</t>
  </si>
  <si>
    <t>U-Guide Pulley</t>
  </si>
  <si>
    <t>TAP00279</t>
  </si>
  <si>
    <t>Roller Bracket ( Inner ) Ls20801121</t>
  </si>
  <si>
    <t>TAP00280</t>
  </si>
  <si>
    <t>Roller Bracket ( Outer ) Ls20801124</t>
  </si>
  <si>
    <t>GEN00178</t>
  </si>
  <si>
    <t>Trolly Wheel With Bearing Revolving 4" ( Movement Trolley )</t>
  </si>
  <si>
    <t>other Spares</t>
  </si>
  <si>
    <t>OTH01974</t>
  </si>
  <si>
    <t>Pu Connector 8mm</t>
  </si>
  <si>
    <t>UTI03437</t>
  </si>
  <si>
    <t>Pu Tee Connector - 8 mm</t>
  </si>
  <si>
    <t>Spreader Upper For Overedge Stitching  (81507)</t>
  </si>
  <si>
    <t>Ss Screen Mesh Dia.148 mm 120 Mesh</t>
  </si>
  <si>
    <t>Ss Screen Mesh Dia.148 mm Multimesh 24X110</t>
  </si>
  <si>
    <t>Ss Screen Mesh Dia.148 mm 20 Mesh</t>
  </si>
  <si>
    <t>Pelletizing Knife0.9mm/17 Degree ( Item No.A-05085-08013-V01)</t>
  </si>
  <si>
    <t>Ss Screen Mesh Dia.148 mm40 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</si>
</sst>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 * #,##0_ ;_ * \-#,##0_ ;_ * &quot;-&quot;??_ ;_ @_ "/>
    <numFmt numFmtId="167" formatCode="[$-409]d/mmm/yyyy;@"/>
    <numFmt numFmtId="168" formatCode="m/d/yyyy;@"/>
    <numFmt numFmtId="169" formatCode="[$-409]d\-mmm\-yyyy;@"/>
    <numFmt numFmtId="170" formatCode="[$-409]d\-mmm\-yy;@"/>
    <numFmt numFmtId="171" formatCode="_(* #,##0_);_(* \(#,##0\);_(* &quot;-&quot;??_);_(@_)"/>
    <numFmt numFmtId="172" formatCode="_(* #,##0.00_);_(* \(#,##0.00\);_(* &quot;-&quot;_);_(@_)"/>
  </numFmts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i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Trebuchet MS"/>
      <family val="2"/>
    </font>
    <font>
      <sz val="9"/>
      <color theme="1"/>
      <name val="Calibri"/>
      <family val="2"/>
      <scheme val="minor"/>
    </font>
    <font>
      <b/>
      <sz val="9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165" fontId="3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/>
    <xf numFmtId="0" fontId="6" fillId="0" borderId="0"/>
    <xf numFmtId="165" fontId="5" fillId="0" borderId="0" applyFont="0" applyFill="0" applyBorder="0" applyAlignment="0" applyProtection="0"/>
  </cellStyleXfs>
  <cellXfs count="406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/>
    <xf numFmtId="43" fontId="0" fillId="0" borderId="0" xfId="0" applyNumberFormat="1" applyFill="1" applyAlignment="1"/>
    <xf numFmtId="43" fontId="0" fillId="0" borderId="0" xfId="0" applyNumberFormat="1" applyFill="1" applyAlignment="1">
      <alignment vertical="center"/>
    </xf>
    <xf numFmtId="165" fontId="0" fillId="0" borderId="0" xfId="0" applyNumberFormat="1" applyFill="1" applyAlignment="1"/>
    <xf numFmtId="10" fontId="0" fillId="0" borderId="0" xfId="0" applyNumberFormat="1" applyFill="1" applyAlignment="1">
      <alignment vertical="center"/>
    </xf>
    <xf numFmtId="165" fontId="0" fillId="0" borderId="0" xfId="0" applyNumberFormat="1" applyFill="1" applyAlignment="1">
      <alignment vertical="center"/>
    </xf>
    <xf numFmtId="165" fontId="0" fillId="0" borderId="0" xfId="0" applyNumberFormat="1" applyFont="1" applyFill="1" applyAlignment="1"/>
    <xf numFmtId="0" fontId="15" fillId="0" borderId="0" xfId="0" applyFont="1" applyAlignment="1">
      <alignment horizontal="center"/>
    </xf>
    <xf numFmtId="0" fontId="16" fillId="0" borderId="0" xfId="0" applyFont="1"/>
    <xf numFmtId="0" fontId="15" fillId="0" borderId="1" xfId="0" applyFont="1" applyBorder="1" applyAlignment="1">
      <alignment horizontal="center"/>
    </xf>
    <xf numFmtId="0" fontId="16" fillId="0" borderId="1" xfId="0" applyFont="1" applyBorder="1"/>
    <xf numFmtId="43" fontId="16" fillId="0" borderId="1" xfId="0" applyNumberFormat="1" applyFont="1" applyBorder="1"/>
    <xf numFmtId="43" fontId="16" fillId="0" borderId="0" xfId="0" applyNumberFormat="1" applyFont="1"/>
    <xf numFmtId="0" fontId="15" fillId="0" borderId="0" xfId="0" applyFont="1" applyAlignment="1">
      <alignment horizontal="center" vertical="center"/>
    </xf>
    <xf numFmtId="43" fontId="16" fillId="0" borderId="1" xfId="0" applyNumberFormat="1" applyFont="1" applyFill="1" applyBorder="1" applyAlignment="1"/>
    <xf numFmtId="43" fontId="16" fillId="0" borderId="0" xfId="0" applyNumberFormat="1" applyFont="1" applyFill="1" applyAlignment="1">
      <alignment vertical="center"/>
    </xf>
    <xf numFmtId="168" fontId="16" fillId="0" borderId="0" xfId="0" applyNumberFormat="1" applyFont="1"/>
    <xf numFmtId="43" fontId="16" fillId="0" borderId="0" xfId="0" applyNumberFormat="1" applyFont="1" applyAlignment="1"/>
    <xf numFmtId="43" fontId="16" fillId="0" borderId="0" xfId="0" applyNumberFormat="1" applyFont="1" applyFill="1" applyBorder="1" applyAlignment="1">
      <alignment vertical="center"/>
    </xf>
    <xf numFmtId="0" fontId="15" fillId="0" borderId="0" xfId="0" applyFont="1"/>
    <xf numFmtId="14" fontId="16" fillId="0" borderId="0" xfId="0" applyNumberFormat="1" applyFont="1"/>
    <xf numFmtId="14" fontId="16" fillId="0" borderId="0" xfId="0" applyNumberFormat="1" applyFont="1" applyFill="1" applyAlignment="1">
      <alignment vertical="center"/>
    </xf>
    <xf numFmtId="169" fontId="16" fillId="0" borderId="0" xfId="0" applyNumberFormat="1" applyFont="1"/>
    <xf numFmtId="0" fontId="15" fillId="0" borderId="0" xfId="0" applyFont="1" applyAlignment="1">
      <alignment horizontal="center" vertical="center" wrapText="1"/>
    </xf>
    <xf numFmtId="14" fontId="16" fillId="0" borderId="0" xfId="0" applyNumberFormat="1" applyFont="1" applyFill="1" applyBorder="1" applyAlignment="1">
      <alignment vertical="center"/>
    </xf>
    <xf numFmtId="14" fontId="16" fillId="0" borderId="0" xfId="0" applyNumberFormat="1" applyFont="1" applyAlignment="1"/>
    <xf numFmtId="165" fontId="15" fillId="0" borderId="0" xfId="0" applyNumberFormat="1" applyFont="1" applyAlignment="1">
      <alignment horizontal="center" vertical="center"/>
    </xf>
    <xf numFmtId="165" fontId="15" fillId="0" borderId="0" xfId="0" applyNumberFormat="1" applyFont="1"/>
    <xf numFmtId="165" fontId="16" fillId="0" borderId="0" xfId="0" applyNumberFormat="1" applyFont="1"/>
    <xf numFmtId="169" fontId="16" fillId="0" borderId="0" xfId="0" applyNumberFormat="1" applyFont="1" applyFill="1" applyBorder="1" applyAlignment="1">
      <alignment vertical="center"/>
    </xf>
    <xf numFmtId="169" fontId="16" fillId="0" borderId="0" xfId="0" applyNumberFormat="1" applyFont="1" applyFill="1" applyAlignment="1">
      <alignment vertical="center"/>
    </xf>
    <xf numFmtId="0" fontId="16" fillId="0" borderId="0" xfId="0" applyFont="1" applyAlignment="1"/>
    <xf numFmtId="167" fontId="16" fillId="0" borderId="0" xfId="0" applyNumberFormat="1" applyFont="1"/>
    <xf numFmtId="43" fontId="15" fillId="0" borderId="0" xfId="0" applyNumberFormat="1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/>
    <xf numFmtId="41" fontId="16" fillId="0" borderId="0" xfId="0" applyNumberFormat="1" applyFont="1"/>
    <xf numFmtId="41" fontId="16" fillId="0" borderId="0" xfId="0" applyNumberFormat="1" applyFont="1" applyFill="1"/>
    <xf numFmtId="43" fontId="15" fillId="0" borderId="0" xfId="0" applyNumberFormat="1" applyFont="1"/>
    <xf numFmtId="0" fontId="16" fillId="0" borderId="0" xfId="0" applyFont="1" applyFill="1" applyAlignment="1">
      <alignment vertical="center"/>
    </xf>
    <xf numFmtId="0" fontId="15" fillId="0" borderId="0" xfId="0" applyFont="1" applyFill="1" applyBorder="1" applyAlignment="1">
      <alignment vertical="center" wrapText="1"/>
    </xf>
    <xf numFmtId="0" fontId="15" fillId="0" borderId="12" xfId="0" applyFont="1" applyFill="1" applyBorder="1" applyAlignment="1">
      <alignment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3" fontId="15" fillId="0" borderId="15" xfId="0" applyNumberFormat="1" applyFont="1" applyFill="1" applyBorder="1" applyAlignment="1">
      <alignment horizontal="center" vertical="center" wrapText="1"/>
    </xf>
    <xf numFmtId="3" fontId="15" fillId="0" borderId="0" xfId="0" applyNumberFormat="1" applyFont="1" applyFill="1" applyBorder="1" applyAlignment="1">
      <alignment horizontal="center" vertical="center" wrapText="1"/>
    </xf>
    <xf numFmtId="3" fontId="15" fillId="0" borderId="14" xfId="0" applyNumberFormat="1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14" xfId="0" applyNumberFormat="1" applyFont="1" applyFill="1" applyBorder="1" applyAlignment="1">
      <alignment vertical="center" wrapText="1"/>
    </xf>
    <xf numFmtId="0" fontId="15" fillId="0" borderId="14" xfId="0" applyFont="1" applyFill="1" applyBorder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15" xfId="0" applyFont="1" applyFill="1" applyBorder="1" applyAlignment="1">
      <alignment vertical="center" wrapText="1"/>
    </xf>
    <xf numFmtId="0" fontId="15" fillId="0" borderId="18" xfId="0" applyFont="1" applyFill="1" applyBorder="1" applyAlignment="1">
      <alignment vertical="center" wrapText="1"/>
    </xf>
    <xf numFmtId="0" fontId="15" fillId="0" borderId="16" xfId="0" applyFont="1" applyFill="1" applyBorder="1" applyAlignment="1">
      <alignment vertical="center" wrapText="1"/>
    </xf>
    <xf numFmtId="0" fontId="15" fillId="0" borderId="13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10" fontId="15" fillId="0" borderId="0" xfId="0" applyNumberFormat="1" applyFont="1" applyFill="1" applyBorder="1" applyAlignment="1">
      <alignment vertical="center" wrapText="1"/>
    </xf>
    <xf numFmtId="3" fontId="15" fillId="0" borderId="18" xfId="0" applyNumberFormat="1" applyFont="1" applyFill="1" applyBorder="1" applyAlignment="1">
      <alignment horizontal="center" vertical="center" wrapText="1"/>
    </xf>
    <xf numFmtId="3" fontId="15" fillId="0" borderId="0" xfId="0" applyNumberFormat="1" applyFont="1" applyFill="1" applyAlignment="1">
      <alignment vertical="center" wrapText="1"/>
    </xf>
    <xf numFmtId="0" fontId="15" fillId="0" borderId="16" xfId="0" applyFont="1" applyFill="1" applyBorder="1" applyAlignment="1">
      <alignment vertical="center"/>
    </xf>
    <xf numFmtId="0" fontId="15" fillId="0" borderId="0" xfId="0" applyFont="1" applyFill="1" applyAlignment="1">
      <alignment horizontal="center" vertical="center"/>
    </xf>
    <xf numFmtId="164" fontId="16" fillId="0" borderId="0" xfId="0" applyNumberFormat="1" applyFont="1" applyFill="1" applyAlignment="1">
      <alignment vertical="center"/>
    </xf>
    <xf numFmtId="0" fontId="18" fillId="0" borderId="0" xfId="0" applyFont="1" applyFill="1" applyAlignment="1">
      <alignment vertical="center"/>
    </xf>
    <xf numFmtId="166" fontId="21" fillId="0" borderId="21" xfId="1" applyNumberFormat="1" applyFont="1" applyBorder="1" applyAlignment="1"/>
    <xf numFmtId="164" fontId="21" fillId="0" borderId="21" xfId="1" applyNumberFormat="1" applyFont="1" applyBorder="1" applyAlignment="1"/>
    <xf numFmtId="166" fontId="22" fillId="4" borderId="21" xfId="1" applyNumberFormat="1" applyFont="1" applyFill="1" applyBorder="1" applyAlignment="1"/>
    <xf numFmtId="164" fontId="22" fillId="4" borderId="21" xfId="1" applyNumberFormat="1" applyFont="1" applyFill="1" applyBorder="1" applyAlignment="1"/>
    <xf numFmtId="166" fontId="23" fillId="4" borderId="21" xfId="1" applyNumberFormat="1" applyFont="1" applyFill="1" applyBorder="1" applyAlignment="1"/>
    <xf numFmtId="164" fontId="23" fillId="4" borderId="21" xfId="1" applyNumberFormat="1" applyFont="1" applyFill="1" applyBorder="1" applyAlignment="1"/>
    <xf numFmtId="166" fontId="16" fillId="0" borderId="21" xfId="1" applyNumberFormat="1" applyFont="1" applyBorder="1" applyAlignment="1"/>
    <xf numFmtId="164" fontId="16" fillId="0" borderId="21" xfId="1" applyNumberFormat="1" applyFont="1" applyBorder="1" applyAlignment="1"/>
    <xf numFmtId="166" fontId="24" fillId="0" borderId="21" xfId="1" applyNumberFormat="1" applyFont="1" applyBorder="1" applyAlignment="1">
      <alignment horizontal="left" indent="1"/>
    </xf>
    <xf numFmtId="164" fontId="24" fillId="0" borderId="21" xfId="1" applyNumberFormat="1" applyFont="1" applyBorder="1" applyAlignment="1">
      <alignment horizontal="left" indent="1"/>
    </xf>
    <xf numFmtId="164" fontId="25" fillId="0" borderId="0" xfId="0" applyNumberFormat="1" applyFont="1" applyFill="1" applyAlignment="1">
      <alignment vertical="center"/>
    </xf>
    <xf numFmtId="166" fontId="21" fillId="0" borderId="21" xfId="1" applyNumberFormat="1" applyFont="1" applyFill="1" applyBorder="1" applyAlignment="1"/>
    <xf numFmtId="164" fontId="21" fillId="0" borderId="21" xfId="1" applyNumberFormat="1" applyFont="1" applyFill="1" applyBorder="1" applyAlignment="1"/>
    <xf numFmtId="166" fontId="22" fillId="4" borderId="22" xfId="1" applyNumberFormat="1" applyFont="1" applyFill="1" applyBorder="1" applyAlignment="1"/>
    <xf numFmtId="164" fontId="22" fillId="4" borderId="22" xfId="1" applyNumberFormat="1" applyFont="1" applyFill="1" applyBorder="1" applyAlignment="1"/>
    <xf numFmtId="0" fontId="22" fillId="0" borderId="1" xfId="0" applyFont="1" applyFill="1" applyBorder="1" applyAlignment="1">
      <alignment horizontal="center" vertical="top" wrapText="1"/>
    </xf>
    <xf numFmtId="0" fontId="22" fillId="0" borderId="1" xfId="0" applyFont="1" applyFill="1" applyBorder="1" applyAlignment="1">
      <alignment horizontal="center" vertical="top"/>
    </xf>
    <xf numFmtId="0" fontId="22" fillId="0" borderId="1" xfId="0" applyFont="1" applyFill="1" applyBorder="1" applyAlignment="1">
      <alignment vertical="top"/>
    </xf>
    <xf numFmtId="0" fontId="21" fillId="0" borderId="19" xfId="0" applyFont="1" applyFill="1" applyBorder="1" applyAlignment="1">
      <alignment vertical="top" wrapText="1"/>
    </xf>
    <xf numFmtId="0" fontId="21" fillId="0" borderId="1" xfId="0" applyFont="1" applyFill="1" applyBorder="1" applyAlignment="1">
      <alignment horizontal="center" vertical="top"/>
    </xf>
    <xf numFmtId="0" fontId="21" fillId="0" borderId="1" xfId="0" applyFont="1" applyFill="1" applyBorder="1" applyAlignment="1">
      <alignment vertical="top"/>
    </xf>
    <xf numFmtId="0" fontId="21" fillId="0" borderId="1" xfId="0" applyFont="1" applyFill="1" applyBorder="1" applyAlignment="1">
      <alignment vertical="top" wrapText="1"/>
    </xf>
    <xf numFmtId="165" fontId="21" fillId="0" borderId="1" xfId="0" applyNumberFormat="1" applyFont="1" applyFill="1" applyBorder="1" applyAlignment="1">
      <alignment vertical="top" wrapText="1"/>
    </xf>
    <xf numFmtId="9" fontId="21" fillId="0" borderId="1" xfId="0" applyNumberFormat="1" applyFont="1" applyFill="1" applyBorder="1" applyAlignment="1">
      <alignment vertical="top" wrapText="1"/>
    </xf>
    <xf numFmtId="0" fontId="21" fillId="0" borderId="1" xfId="0" applyNumberFormat="1" applyFont="1" applyFill="1" applyBorder="1" applyAlignment="1">
      <alignment vertical="top" wrapText="1"/>
    </xf>
    <xf numFmtId="0" fontId="22" fillId="0" borderId="1" xfId="0" applyFont="1" applyFill="1" applyBorder="1" applyAlignment="1">
      <alignment vertical="top" wrapText="1"/>
    </xf>
    <xf numFmtId="2" fontId="21" fillId="0" borderId="1" xfId="0" applyNumberFormat="1" applyFont="1" applyFill="1" applyBorder="1" applyAlignment="1">
      <alignment vertical="top" wrapText="1"/>
    </xf>
    <xf numFmtId="2" fontId="22" fillId="0" borderId="1" xfId="0" applyNumberFormat="1" applyFont="1" applyFill="1" applyBorder="1" applyAlignment="1">
      <alignment vertical="top" wrapText="1"/>
    </xf>
    <xf numFmtId="165" fontId="21" fillId="0" borderId="0" xfId="0" applyNumberFormat="1" applyFont="1" applyFill="1" applyAlignment="1">
      <alignment vertical="top" wrapText="1"/>
    </xf>
    <xf numFmtId="165" fontId="16" fillId="0" borderId="1" xfId="0" applyNumberFormat="1" applyFont="1" applyBorder="1"/>
    <xf numFmtId="0" fontId="16" fillId="0" borderId="2" xfId="0" applyFont="1" applyBorder="1"/>
    <xf numFmtId="165" fontId="16" fillId="0" borderId="2" xfId="0" applyNumberFormat="1" applyFont="1" applyBorder="1"/>
    <xf numFmtId="0" fontId="15" fillId="0" borderId="27" xfId="0" applyFont="1" applyBorder="1"/>
    <xf numFmtId="165" fontId="15" fillId="0" borderId="27" xfId="0" applyNumberFormat="1" applyFont="1" applyBorder="1"/>
    <xf numFmtId="0" fontId="25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27" fillId="0" borderId="1" xfId="0" applyFont="1" applyBorder="1" applyAlignment="1">
      <alignment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wrapText="1"/>
    </xf>
    <xf numFmtId="0" fontId="17" fillId="0" borderId="0" xfId="0" applyFont="1" applyFill="1" applyBorder="1"/>
    <xf numFmtId="0" fontId="29" fillId="0" borderId="0" xfId="0" applyFont="1" applyFill="1" applyBorder="1"/>
    <xf numFmtId="0" fontId="26" fillId="0" borderId="1" xfId="0" applyFont="1" applyBorder="1" applyAlignment="1">
      <alignment horizontal="center" vertical="center" wrapText="1"/>
    </xf>
    <xf numFmtId="43" fontId="27" fillId="0" borderId="1" xfId="0" applyNumberFormat="1" applyFont="1" applyBorder="1" applyAlignment="1">
      <alignment wrapText="1"/>
    </xf>
    <xf numFmtId="0" fontId="26" fillId="0" borderId="1" xfId="0" applyFont="1" applyBorder="1" applyAlignment="1"/>
    <xf numFmtId="43" fontId="28" fillId="0" borderId="1" xfId="0" applyNumberFormat="1" applyFont="1" applyBorder="1" applyAlignment="1"/>
    <xf numFmtId="0" fontId="28" fillId="0" borderId="1" xfId="0" applyFont="1" applyBorder="1" applyAlignment="1"/>
    <xf numFmtId="43" fontId="28" fillId="0" borderId="1" xfId="0" applyNumberFormat="1" applyFont="1" applyBorder="1" applyAlignment="1">
      <alignment horizontal="right"/>
    </xf>
    <xf numFmtId="0" fontId="28" fillId="2" borderId="1" xfId="0" applyFont="1" applyFill="1" applyBorder="1" applyAlignment="1"/>
    <xf numFmtId="43" fontId="28" fillId="2" borderId="1" xfId="0" applyNumberFormat="1" applyFont="1" applyFill="1" applyBorder="1" applyAlignment="1">
      <alignment horizontal="right"/>
    </xf>
    <xf numFmtId="43" fontId="28" fillId="6" borderId="1" xfId="0" applyNumberFormat="1" applyFont="1" applyFill="1" applyBorder="1" applyAlignment="1">
      <alignment horizontal="right"/>
    </xf>
    <xf numFmtId="43" fontId="28" fillId="7" borderId="1" xfId="0" applyNumberFormat="1" applyFont="1" applyFill="1" applyBorder="1" applyAlignment="1">
      <alignment horizontal="right"/>
    </xf>
    <xf numFmtId="43" fontId="26" fillId="0" borderId="1" xfId="0" applyNumberFormat="1" applyFont="1" applyBorder="1" applyAlignment="1">
      <alignment horizontal="right"/>
    </xf>
    <xf numFmtId="43" fontId="16" fillId="0" borderId="30" xfId="0" applyNumberFormat="1" applyFont="1" applyBorder="1" applyAlignment="1">
      <alignment wrapText="1"/>
    </xf>
    <xf numFmtId="43" fontId="16" fillId="0" borderId="0" xfId="0" applyNumberFormat="1" applyFont="1" applyAlignment="1">
      <alignment wrapText="1"/>
    </xf>
    <xf numFmtId="43" fontId="16" fillId="0" borderId="0" xfId="0" applyNumberFormat="1" applyFont="1" applyFill="1"/>
    <xf numFmtId="0" fontId="22" fillId="0" borderId="1" xfId="0" quotePrefix="1" applyFont="1" applyFill="1" applyBorder="1" applyAlignment="1">
      <alignment horizontal="center" vertical="top" wrapText="1"/>
    </xf>
    <xf numFmtId="14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0" fontId="16" fillId="0" borderId="0" xfId="0" applyNumberFormat="1" applyFont="1" applyAlignment="1">
      <alignment vertical="center"/>
    </xf>
    <xf numFmtId="170" fontId="16" fillId="0" borderId="0" xfId="0" applyNumberFormat="1" applyFont="1"/>
    <xf numFmtId="0" fontId="16" fillId="0" borderId="0" xfId="0" applyFont="1" applyAlignment="1">
      <alignment horizontal="left" indent="2"/>
    </xf>
    <xf numFmtId="0" fontId="26" fillId="0" borderId="1" xfId="0" applyFont="1" applyBorder="1" applyAlignment="1">
      <alignment horizontal="left" wrapText="1"/>
    </xf>
    <xf numFmtId="43" fontId="0" fillId="0" borderId="0" xfId="0" applyNumberFormat="1"/>
    <xf numFmtId="43" fontId="16" fillId="0" borderId="0" xfId="0" applyNumberFormat="1" applyFont="1" applyAlignment="1">
      <alignment horizontal="left" indent="2"/>
    </xf>
    <xf numFmtId="0" fontId="16" fillId="0" borderId="0" xfId="0" applyFont="1" applyAlignment="1">
      <alignment horizontal="left" indent="4"/>
    </xf>
    <xf numFmtId="0" fontId="15" fillId="0" borderId="31" xfId="0" applyFont="1" applyBorder="1"/>
    <xf numFmtId="43" fontId="15" fillId="0" borderId="31" xfId="0" applyNumberFormat="1" applyFont="1" applyBorder="1"/>
    <xf numFmtId="0" fontId="18" fillId="0" borderId="0" xfId="0" applyFont="1"/>
    <xf numFmtId="0" fontId="16" fillId="0" borderId="0" xfId="0" applyFont="1" applyAlignment="1">
      <alignment horizontal="left" indent="1"/>
    </xf>
    <xf numFmtId="0" fontId="15" fillId="0" borderId="31" xfId="0" applyFont="1" applyBorder="1" applyAlignment="1">
      <alignment horizontal="left"/>
    </xf>
    <xf numFmtId="0" fontId="16" fillId="0" borderId="0" xfId="0" applyFont="1" applyFill="1"/>
    <xf numFmtId="164" fontId="16" fillId="0" borderId="0" xfId="0" applyNumberFormat="1" applyFont="1" applyFill="1" applyAlignment="1">
      <alignment vertical="center"/>
    </xf>
    <xf numFmtId="0" fontId="16" fillId="0" borderId="0" xfId="0" applyNumberFormat="1" applyFont="1"/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1" fontId="0" fillId="0" borderId="0" xfId="0" applyNumberFormat="1" applyAlignment="1">
      <alignment vertical="center"/>
    </xf>
    <xf numFmtId="41" fontId="0" fillId="0" borderId="6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1" fontId="0" fillId="0" borderId="10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0" fontId="14" fillId="0" borderId="21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2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2" xfId="0" applyFont="1" applyBorder="1" applyAlignment="1">
      <alignment vertical="center"/>
    </xf>
    <xf numFmtId="41" fontId="19" fillId="0" borderId="7" xfId="0" applyNumberFormat="1" applyFont="1" applyBorder="1" applyAlignment="1">
      <alignment vertical="center"/>
    </xf>
    <xf numFmtId="43" fontId="19" fillId="0" borderId="8" xfId="0" applyNumberFormat="1" applyFont="1" applyBorder="1" applyAlignment="1">
      <alignment vertical="center"/>
    </xf>
    <xf numFmtId="41" fontId="19" fillId="0" borderId="11" xfId="0" applyNumberFormat="1" applyFont="1" applyBorder="1" applyAlignment="1">
      <alignment vertical="center"/>
    </xf>
    <xf numFmtId="43" fontId="19" fillId="0" borderId="0" xfId="0" applyNumberFormat="1" applyFont="1" applyAlignment="1">
      <alignment vertical="center"/>
    </xf>
    <xf numFmtId="43" fontId="0" fillId="0" borderId="6" xfId="0" applyNumberFormat="1" applyBorder="1" applyAlignment="1">
      <alignment vertical="center"/>
    </xf>
    <xf numFmtId="0" fontId="12" fillId="0" borderId="21" xfId="0" applyFont="1" applyBorder="1" applyAlignment="1">
      <alignment vertical="center"/>
    </xf>
    <xf numFmtId="43" fontId="0" fillId="0" borderId="34" xfId="0" applyNumberFormat="1" applyBorder="1" applyAlignment="1">
      <alignment vertical="center"/>
    </xf>
    <xf numFmtId="0" fontId="19" fillId="0" borderId="21" xfId="0" applyFont="1" applyBorder="1" applyAlignment="1">
      <alignment vertical="center"/>
    </xf>
    <xf numFmtId="41" fontId="19" fillId="0" borderId="6" xfId="0" applyNumberFormat="1" applyFont="1" applyBorder="1" applyAlignment="1">
      <alignment vertical="center"/>
    </xf>
    <xf numFmtId="43" fontId="19" fillId="0" borderId="1" xfId="0" applyNumberFormat="1" applyFont="1" applyBorder="1" applyAlignment="1">
      <alignment vertical="center"/>
    </xf>
    <xf numFmtId="41" fontId="19" fillId="0" borderId="10" xfId="0" applyNumberFormat="1" applyFont="1" applyBorder="1" applyAlignment="1">
      <alignment vertical="center"/>
    </xf>
    <xf numFmtId="43" fontId="19" fillId="0" borderId="34" xfId="0" applyNumberFormat="1" applyFont="1" applyBorder="1" applyAlignment="1">
      <alignment vertical="center"/>
    </xf>
    <xf numFmtId="0" fontId="13" fillId="0" borderId="21" xfId="0" applyFont="1" applyBorder="1" applyAlignment="1">
      <alignment horizontal="left" vertical="center" indent="2"/>
    </xf>
    <xf numFmtId="0" fontId="12" fillId="0" borderId="21" xfId="0" applyFont="1" applyBorder="1" applyAlignment="1">
      <alignment horizontal="left" vertical="center" indent="2"/>
    </xf>
    <xf numFmtId="0" fontId="11" fillId="0" borderId="0" xfId="0" applyFont="1" applyAlignment="1">
      <alignment vertical="center"/>
    </xf>
    <xf numFmtId="41" fontId="19" fillId="0" borderId="0" xfId="0" applyNumberFormat="1" applyFont="1" applyAlignment="1">
      <alignment vertical="center"/>
    </xf>
    <xf numFmtId="41" fontId="11" fillId="0" borderId="0" xfId="0" applyNumberFormat="1" applyFont="1" applyAlignment="1">
      <alignment vertical="center"/>
    </xf>
    <xf numFmtId="165" fontId="15" fillId="0" borderId="1" xfId="0" applyNumberFormat="1" applyFont="1" applyBorder="1"/>
    <xf numFmtId="0" fontId="10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0" xfId="0" applyFont="1" applyAlignment="1">
      <alignment vertical="center"/>
    </xf>
    <xf numFmtId="171" fontId="19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65" fontId="16" fillId="6" borderId="1" xfId="0" applyNumberFormat="1" applyFont="1" applyFill="1" applyBorder="1"/>
    <xf numFmtId="0" fontId="34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 wrapText="1"/>
    </xf>
    <xf numFmtId="0" fontId="25" fillId="0" borderId="0" xfId="0" applyFont="1" applyFill="1" applyAlignment="1">
      <alignment vertical="center"/>
    </xf>
    <xf numFmtId="0" fontId="7" fillId="0" borderId="21" xfId="0" applyFont="1" applyBorder="1" applyAlignment="1">
      <alignment vertical="center"/>
    </xf>
    <xf numFmtId="0" fontId="16" fillId="0" borderId="0" xfId="0" applyFont="1" applyFill="1" applyAlignment="1">
      <alignment wrapText="1"/>
    </xf>
    <xf numFmtId="43" fontId="16" fillId="0" borderId="0" xfId="0" applyNumberFormat="1" applyFont="1" applyFill="1" applyAlignment="1">
      <alignment wrapText="1"/>
    </xf>
    <xf numFmtId="43" fontId="15" fillId="0" borderId="0" xfId="0" applyNumberFormat="1" applyFont="1" applyFill="1"/>
    <xf numFmtId="0" fontId="16" fillId="0" borderId="0" xfId="0" applyFont="1" applyFill="1" applyAlignment="1">
      <alignment vertical="center"/>
    </xf>
    <xf numFmtId="170" fontId="16" fillId="0" borderId="0" xfId="0" applyNumberFormat="1" applyFont="1" applyFill="1" applyAlignment="1">
      <alignment vertical="center"/>
    </xf>
    <xf numFmtId="0" fontId="18" fillId="0" borderId="0" xfId="0" applyFont="1" applyFill="1"/>
    <xf numFmtId="171" fontId="16" fillId="0" borderId="0" xfId="1" applyNumberFormat="1" applyFont="1" applyFill="1" applyAlignment="1"/>
    <xf numFmtId="165" fontId="16" fillId="0" borderId="0" xfId="1" applyFont="1" applyFill="1" applyAlignment="1"/>
    <xf numFmtId="171" fontId="15" fillId="0" borderId="0" xfId="1" applyNumberFormat="1" applyFont="1" applyFill="1" applyAlignment="1"/>
    <xf numFmtId="0" fontId="15" fillId="0" borderId="0" xfId="0" applyFont="1" applyFill="1"/>
    <xf numFmtId="0" fontId="15" fillId="0" borderId="0" xfId="0" applyFont="1" applyFill="1" applyAlignment="1"/>
    <xf numFmtId="165" fontId="15" fillId="0" borderId="0" xfId="1" applyFont="1" applyFill="1" applyAlignment="1"/>
    <xf numFmtId="0" fontId="16" fillId="0" borderId="36" xfId="0" applyFont="1" applyFill="1" applyBorder="1"/>
    <xf numFmtId="10" fontId="16" fillId="0" borderId="36" xfId="0" applyNumberFormat="1" applyFont="1" applyFill="1" applyBorder="1"/>
    <xf numFmtId="171" fontId="16" fillId="0" borderId="36" xfId="1" applyNumberFormat="1" applyFont="1" applyFill="1" applyBorder="1" applyAlignment="1"/>
    <xf numFmtId="165" fontId="16" fillId="0" borderId="36" xfId="1" applyFont="1" applyFill="1" applyBorder="1" applyAlignment="1"/>
    <xf numFmtId="41" fontId="16" fillId="0" borderId="36" xfId="0" applyNumberFormat="1" applyFont="1" applyFill="1" applyBorder="1"/>
    <xf numFmtId="43" fontId="16" fillId="0" borderId="0" xfId="1" applyNumberFormat="1" applyFont="1" applyFill="1" applyBorder="1" applyAlignment="1"/>
    <xf numFmtId="41" fontId="16" fillId="0" borderId="0" xfId="1" applyNumberFormat="1" applyFont="1" applyFill="1" applyBorder="1" applyAlignment="1"/>
    <xf numFmtId="0" fontId="16" fillId="0" borderId="39" xfId="0" applyFont="1" applyFill="1" applyBorder="1"/>
    <xf numFmtId="10" fontId="16" fillId="0" borderId="39" xfId="0" applyNumberFormat="1" applyFont="1" applyFill="1" applyBorder="1"/>
    <xf numFmtId="165" fontId="16" fillId="0" borderId="39" xfId="1" applyFont="1" applyFill="1" applyBorder="1" applyAlignment="1"/>
    <xf numFmtId="171" fontId="16" fillId="0" borderId="39" xfId="1" applyNumberFormat="1" applyFont="1" applyFill="1" applyBorder="1" applyAlignment="1"/>
    <xf numFmtId="41" fontId="16" fillId="0" borderId="39" xfId="0" applyNumberFormat="1" applyFont="1" applyFill="1" applyBorder="1"/>
    <xf numFmtId="171" fontId="16" fillId="0" borderId="0" xfId="1" applyNumberFormat="1" applyFont="1" applyFill="1" applyBorder="1" applyAlignment="1"/>
    <xf numFmtId="171" fontId="15" fillId="0" borderId="31" xfId="1" applyNumberFormat="1" applyFont="1" applyFill="1" applyBorder="1" applyAlignment="1"/>
    <xf numFmtId="171" fontId="15" fillId="0" borderId="0" xfId="1" applyNumberFormat="1" applyFont="1" applyFill="1" applyBorder="1" applyAlignment="1"/>
    <xf numFmtId="9" fontId="16" fillId="0" borderId="36" xfId="4" applyFont="1" applyFill="1" applyBorder="1"/>
    <xf numFmtId="10" fontId="16" fillId="0" borderId="36" xfId="1" applyNumberFormat="1" applyFont="1" applyFill="1" applyBorder="1" applyAlignment="1"/>
    <xf numFmtId="41" fontId="16" fillId="0" borderId="36" xfId="1" applyNumberFormat="1" applyFont="1" applyFill="1" applyBorder="1" applyAlignment="1"/>
    <xf numFmtId="9" fontId="16" fillId="0" borderId="39" xfId="4" applyFont="1" applyFill="1" applyBorder="1"/>
    <xf numFmtId="10" fontId="16" fillId="0" borderId="39" xfId="1" applyNumberFormat="1" applyFont="1" applyFill="1" applyBorder="1" applyAlignment="1"/>
    <xf numFmtId="43" fontId="16" fillId="0" borderId="39" xfId="1" applyNumberFormat="1" applyFont="1" applyFill="1" applyBorder="1" applyAlignment="1"/>
    <xf numFmtId="41" fontId="16" fillId="0" borderId="39" xfId="1" applyNumberFormat="1" applyFont="1" applyFill="1" applyBorder="1" applyAlignment="1"/>
    <xf numFmtId="171" fontId="16" fillId="0" borderId="31" xfId="1" applyNumberFormat="1" applyFont="1" applyFill="1" applyBorder="1" applyAlignment="1"/>
    <xf numFmtId="171" fontId="16" fillId="5" borderId="36" xfId="1" applyNumberFormat="1" applyFont="1" applyFill="1" applyBorder="1" applyAlignment="1"/>
    <xf numFmtId="9" fontId="16" fillId="0" borderId="39" xfId="0" applyNumberFormat="1" applyFont="1" applyFill="1" applyBorder="1"/>
    <xf numFmtId="171" fontId="15" fillId="0" borderId="39" xfId="1" applyNumberFormat="1" applyFont="1" applyFill="1" applyBorder="1" applyAlignment="1"/>
    <xf numFmtId="10" fontId="16" fillId="0" borderId="0" xfId="1" applyNumberFormat="1" applyFont="1" applyFill="1" applyAlignment="1"/>
    <xf numFmtId="0" fontId="16" fillId="0" borderId="31" xfId="0" applyFont="1" applyFill="1" applyBorder="1"/>
    <xf numFmtId="165" fontId="16" fillId="0" borderId="31" xfId="1" applyFont="1" applyFill="1" applyBorder="1" applyAlignment="1"/>
    <xf numFmtId="43" fontId="16" fillId="0" borderId="36" xfId="1" applyNumberFormat="1" applyFont="1" applyFill="1" applyBorder="1" applyAlignment="1"/>
    <xf numFmtId="171" fontId="16" fillId="0" borderId="36" xfId="1" applyNumberFormat="1" applyFont="1" applyFill="1" applyBorder="1" applyAlignment="1">
      <alignment vertical="center"/>
    </xf>
    <xf numFmtId="171" fontId="16" fillId="0" borderId="39" xfId="1" applyNumberFormat="1" applyFont="1" applyFill="1" applyBorder="1" applyAlignment="1">
      <alignment vertical="center"/>
    </xf>
    <xf numFmtId="0" fontId="15" fillId="0" borderId="31" xfId="0" applyFont="1" applyFill="1" applyBorder="1"/>
    <xf numFmtId="165" fontId="15" fillId="0" borderId="31" xfId="1" applyFont="1" applyFill="1" applyBorder="1" applyAlignment="1"/>
    <xf numFmtId="0" fontId="16" fillId="0" borderId="36" xfId="1" applyNumberFormat="1" applyFont="1" applyFill="1" applyBorder="1" applyAlignment="1"/>
    <xf numFmtId="41" fontId="15" fillId="0" borderId="36" xfId="1" applyNumberFormat="1" applyFont="1" applyFill="1" applyBorder="1" applyAlignment="1"/>
    <xf numFmtId="43" fontId="16" fillId="0" borderId="36" xfId="0" applyNumberFormat="1" applyFont="1" applyFill="1" applyBorder="1"/>
    <xf numFmtId="0" fontId="16" fillId="0" borderId="37" xfId="0" applyFont="1" applyFill="1" applyBorder="1"/>
    <xf numFmtId="171" fontId="16" fillId="0" borderId="37" xfId="1" applyNumberFormat="1" applyFont="1" applyFill="1" applyBorder="1" applyAlignment="1"/>
    <xf numFmtId="165" fontId="16" fillId="0" borderId="37" xfId="1" applyFont="1" applyFill="1" applyBorder="1" applyAlignment="1"/>
    <xf numFmtId="171" fontId="15" fillId="0" borderId="31" xfId="0" applyNumberFormat="1" applyFont="1" applyFill="1" applyBorder="1"/>
    <xf numFmtId="43" fontId="15" fillId="0" borderId="31" xfId="0" applyNumberFormat="1" applyFont="1" applyFill="1" applyBorder="1"/>
    <xf numFmtId="41" fontId="15" fillId="0" borderId="31" xfId="0" applyNumberFormat="1" applyFont="1" applyFill="1" applyBorder="1"/>
    <xf numFmtId="171" fontId="16" fillId="0" borderId="0" xfId="0" applyNumberFormat="1" applyFont="1" applyFill="1"/>
    <xf numFmtId="10" fontId="15" fillId="0" borderId="39" xfId="1" applyNumberFormat="1" applyFont="1" applyFill="1" applyBorder="1" applyAlignment="1"/>
    <xf numFmtId="0" fontId="15" fillId="0" borderId="0" xfId="0" applyFont="1" applyFill="1" applyAlignment="1">
      <alignment horizontal="center"/>
    </xf>
    <xf numFmtId="171" fontId="16" fillId="0" borderId="36" xfId="1" applyNumberFormat="1" applyFont="1" applyFill="1" applyBorder="1" applyAlignment="1">
      <alignment horizontal="center" vertical="center"/>
    </xf>
    <xf numFmtId="0" fontId="26" fillId="0" borderId="33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171" fontId="16" fillId="7" borderId="0" xfId="1" applyNumberFormat="1" applyFont="1" applyFill="1" applyAlignment="1"/>
    <xf numFmtId="171" fontId="16" fillId="7" borderId="36" xfId="1" applyNumberFormat="1" applyFont="1" applyFill="1" applyBorder="1" applyAlignment="1"/>
    <xf numFmtId="171" fontId="16" fillId="7" borderId="39" xfId="1" applyNumberFormat="1" applyFont="1" applyFill="1" applyBorder="1" applyAlignment="1"/>
    <xf numFmtId="0" fontId="16" fillId="0" borderId="0" xfId="0" applyFont="1" applyAlignment="1">
      <alignment horizontal="center" vertical="center"/>
    </xf>
    <xf numFmtId="0" fontId="28" fillId="0" borderId="33" xfId="0" applyFont="1" applyBorder="1" applyAlignment="1">
      <alignment horizontal="left" vertical="center"/>
    </xf>
    <xf numFmtId="0" fontId="26" fillId="0" borderId="33" xfId="0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43" fontId="28" fillId="0" borderId="33" xfId="0" applyNumberFormat="1" applyFont="1" applyBorder="1" applyAlignment="1">
      <alignment horizontal="right" vertical="center"/>
    </xf>
    <xf numFmtId="43" fontId="26" fillId="0" borderId="33" xfId="0" applyNumberFormat="1" applyFont="1" applyBorder="1" applyAlignment="1">
      <alignment horizontal="right" vertical="center"/>
    </xf>
    <xf numFmtId="43" fontId="28" fillId="0" borderId="33" xfId="0" applyNumberFormat="1" applyFont="1" applyBorder="1" applyAlignment="1">
      <alignment vertical="center"/>
    </xf>
    <xf numFmtId="43" fontId="0" fillId="0" borderId="0" xfId="0" applyNumberFormat="1" applyFont="1"/>
    <xf numFmtId="0" fontId="35" fillId="0" borderId="23" xfId="0" applyFont="1" applyBorder="1"/>
    <xf numFmtId="0" fontId="35" fillId="0" borderId="23" xfId="0" pivotButton="1" applyFont="1" applyBorder="1"/>
    <xf numFmtId="0" fontId="35" fillId="0" borderId="32" xfId="0" applyFont="1" applyBorder="1"/>
    <xf numFmtId="0" fontId="35" fillId="0" borderId="24" xfId="0" applyFont="1" applyBorder="1"/>
    <xf numFmtId="0" fontId="35" fillId="0" borderId="24" xfId="0" applyNumberFormat="1" applyFont="1" applyBorder="1"/>
    <xf numFmtId="0" fontId="35" fillId="0" borderId="25" xfId="0" applyFont="1" applyBorder="1"/>
    <xf numFmtId="0" fontId="35" fillId="0" borderId="25" xfId="0" applyNumberFormat="1" applyFont="1" applyBorder="1"/>
    <xf numFmtId="0" fontId="35" fillId="0" borderId="26" xfId="0" applyNumberFormat="1" applyFont="1" applyBorder="1"/>
    <xf numFmtId="0" fontId="35" fillId="0" borderId="28" xfId="0" applyFont="1" applyBorder="1"/>
    <xf numFmtId="0" fontId="35" fillId="0" borderId="28" xfId="0" applyNumberFormat="1" applyFont="1" applyBorder="1"/>
    <xf numFmtId="0" fontId="35" fillId="0" borderId="29" xfId="0" applyNumberFormat="1" applyFont="1" applyBorder="1"/>
    <xf numFmtId="0" fontId="36" fillId="0" borderId="25" xfId="0" applyNumberFormat="1" applyFont="1" applyBorder="1"/>
    <xf numFmtId="0" fontId="35" fillId="2" borderId="23" xfId="0" applyNumberFormat="1" applyFont="1" applyFill="1" applyBorder="1"/>
    <xf numFmtId="43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0" fillId="0" borderId="1" xfId="0" applyFill="1" applyBorder="1"/>
    <xf numFmtId="0" fontId="38" fillId="0" borderId="0" xfId="0" applyFont="1"/>
    <xf numFmtId="0" fontId="39" fillId="8" borderId="1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 wrapText="1"/>
    </xf>
    <xf numFmtId="0" fontId="39" fillId="0" borderId="1" xfId="0" applyFont="1" applyBorder="1"/>
    <xf numFmtId="41" fontId="37" fillId="0" borderId="1" xfId="0" applyNumberFormat="1" applyFont="1" applyBorder="1"/>
    <xf numFmtId="0" fontId="38" fillId="0" borderId="6" xfId="0" applyFont="1" applyBorder="1" applyAlignment="1">
      <alignment horizontal="left" vertical="center" indent="1"/>
    </xf>
    <xf numFmtId="166" fontId="38" fillId="0" borderId="30" xfId="1" applyNumberFormat="1" applyFont="1" applyFill="1" applyBorder="1" applyAlignment="1">
      <alignment horizontal="left" vertical="center" indent="1"/>
    </xf>
    <xf numFmtId="165" fontId="38" fillId="0" borderId="30" xfId="1" applyFont="1" applyFill="1" applyBorder="1" applyAlignment="1">
      <alignment horizontal="left" vertical="center" indent="1"/>
    </xf>
    <xf numFmtId="0" fontId="38" fillId="0" borderId="30" xfId="0" applyFont="1" applyBorder="1" applyAlignment="1">
      <alignment horizontal="left" vertical="center" indent="1"/>
    </xf>
    <xf numFmtId="165" fontId="38" fillId="0" borderId="30" xfId="0" applyNumberFormat="1" applyFont="1" applyBorder="1" applyAlignment="1">
      <alignment horizontal="left" vertical="center" indent="1"/>
    </xf>
    <xf numFmtId="165" fontId="39" fillId="0" borderId="1" xfId="0" applyNumberFormat="1" applyFont="1" applyBorder="1"/>
    <xf numFmtId="0" fontId="39" fillId="12" borderId="1" xfId="0" applyFont="1" applyFill="1" applyBorder="1"/>
    <xf numFmtId="41" fontId="39" fillId="12" borderId="1" xfId="0" applyNumberFormat="1" applyFont="1" applyFill="1" applyBorder="1"/>
    <xf numFmtId="165" fontId="39" fillId="12" borderId="1" xfId="0" applyNumberFormat="1" applyFont="1" applyFill="1" applyBorder="1"/>
    <xf numFmtId="166" fontId="38" fillId="0" borderId="30" xfId="0" applyNumberFormat="1" applyFont="1" applyBorder="1" applyAlignment="1">
      <alignment horizontal="left" vertical="center" indent="1"/>
    </xf>
    <xf numFmtId="41" fontId="39" fillId="0" borderId="1" xfId="0" applyNumberFormat="1" applyFont="1" applyBorder="1"/>
    <xf numFmtId="0" fontId="39" fillId="0" borderId="2" xfId="0" applyFont="1" applyBorder="1"/>
    <xf numFmtId="165" fontId="39" fillId="0" borderId="2" xfId="0" applyNumberFormat="1" applyFont="1" applyBorder="1"/>
    <xf numFmtId="41" fontId="37" fillId="0" borderId="2" xfId="0" applyNumberFormat="1" applyFont="1" applyBorder="1"/>
    <xf numFmtId="0" fontId="39" fillId="12" borderId="43" xfId="0" applyFont="1" applyFill="1" applyBorder="1"/>
    <xf numFmtId="9" fontId="39" fillId="12" borderId="43" xfId="0" applyNumberFormat="1" applyFont="1" applyFill="1" applyBorder="1"/>
    <xf numFmtId="41" fontId="39" fillId="12" borderId="43" xfId="0" applyNumberFormat="1" applyFont="1" applyFill="1" applyBorder="1"/>
    <xf numFmtId="0" fontId="37" fillId="11" borderId="19" xfId="0" applyFont="1" applyFill="1" applyBorder="1"/>
    <xf numFmtId="9" fontId="37" fillId="11" borderId="19" xfId="0" applyNumberFormat="1" applyFont="1" applyFill="1" applyBorder="1"/>
    <xf numFmtId="41" fontId="37" fillId="11" borderId="19" xfId="0" applyNumberFormat="1" applyFont="1" applyFill="1" applyBorder="1"/>
    <xf numFmtId="0" fontId="37" fillId="11" borderId="1" xfId="0" applyFont="1" applyFill="1" applyBorder="1"/>
    <xf numFmtId="9" fontId="37" fillId="11" borderId="1" xfId="0" applyNumberFormat="1" applyFont="1" applyFill="1" applyBorder="1"/>
    <xf numFmtId="41" fontId="37" fillId="11" borderId="1" xfId="0" applyNumberFormat="1" applyFont="1" applyFill="1" applyBorder="1"/>
    <xf numFmtId="0" fontId="39" fillId="0" borderId="19" xfId="0" applyFont="1" applyBorder="1"/>
    <xf numFmtId="9" fontId="39" fillId="0" borderId="19" xfId="0" applyNumberFormat="1" applyFont="1" applyBorder="1"/>
    <xf numFmtId="0" fontId="37" fillId="0" borderId="1" xfId="0" applyFont="1" applyBorder="1"/>
    <xf numFmtId="9" fontId="37" fillId="0" borderId="1" xfId="0" applyNumberFormat="1" applyFont="1" applyBorder="1"/>
    <xf numFmtId="0" fontId="39" fillId="13" borderId="1" xfId="0" applyFont="1" applyFill="1" applyBorder="1"/>
    <xf numFmtId="9" fontId="39" fillId="13" borderId="1" xfId="0" applyNumberFormat="1" applyFont="1" applyFill="1" applyBorder="1"/>
    <xf numFmtId="41" fontId="39" fillId="13" borderId="1" xfId="0" applyNumberFormat="1" applyFont="1" applyFill="1" applyBorder="1"/>
    <xf numFmtId="0" fontId="39" fillId="12" borderId="2" xfId="0" applyFont="1" applyFill="1" applyBorder="1"/>
    <xf numFmtId="9" fontId="39" fillId="12" borderId="2" xfId="0" applyNumberFormat="1" applyFont="1" applyFill="1" applyBorder="1"/>
    <xf numFmtId="0" fontId="37" fillId="0" borderId="2" xfId="0" applyFont="1" applyBorder="1" applyAlignment="1">
      <alignment horizontal="left" indent="2"/>
    </xf>
    <xf numFmtId="0" fontId="37" fillId="0" borderId="2" xfId="0" applyFont="1" applyBorder="1"/>
    <xf numFmtId="0" fontId="39" fillId="13" borderId="2" xfId="0" applyFont="1" applyFill="1" applyBorder="1"/>
    <xf numFmtId="0" fontId="39" fillId="0" borderId="43" xfId="0" applyFont="1" applyBorder="1"/>
    <xf numFmtId="0" fontId="37" fillId="0" borderId="19" xfId="0" applyFont="1" applyBorder="1"/>
    <xf numFmtId="0" fontId="39" fillId="8" borderId="43" xfId="0" applyFont="1" applyFill="1" applyBorder="1"/>
    <xf numFmtId="9" fontId="39" fillId="8" borderId="43" xfId="0" applyNumberFormat="1" applyFont="1" applyFill="1" applyBorder="1"/>
    <xf numFmtId="41" fontId="39" fillId="8" borderId="43" xfId="0" applyNumberFormat="1" applyFont="1" applyFill="1" applyBorder="1"/>
    <xf numFmtId="41" fontId="39" fillId="0" borderId="19" xfId="0" applyNumberFormat="1" applyFont="1" applyBorder="1"/>
    <xf numFmtId="0" fontId="39" fillId="11" borderId="19" xfId="0" applyFont="1" applyFill="1" applyBorder="1"/>
    <xf numFmtId="9" fontId="39" fillId="11" borderId="19" xfId="0" applyNumberFormat="1" applyFont="1" applyFill="1" applyBorder="1"/>
    <xf numFmtId="172" fontId="37" fillId="11" borderId="19" xfId="0" applyNumberFormat="1" applyFont="1" applyFill="1" applyBorder="1"/>
    <xf numFmtId="0" fontId="39" fillId="11" borderId="1" xfId="0" applyFont="1" applyFill="1" applyBorder="1"/>
    <xf numFmtId="9" fontId="39" fillId="11" borderId="1" xfId="0" applyNumberFormat="1" applyFont="1" applyFill="1" applyBorder="1"/>
    <xf numFmtId="172" fontId="37" fillId="11" borderId="1" xfId="0" applyNumberFormat="1" applyFont="1" applyFill="1" applyBorder="1"/>
    <xf numFmtId="0" fontId="16" fillId="0" borderId="44" xfId="0" applyFont="1" applyBorder="1"/>
    <xf numFmtId="0" fontId="15" fillId="0" borderId="43" xfId="0" applyFont="1" applyBorder="1"/>
    <xf numFmtId="166" fontId="15" fillId="0" borderId="43" xfId="1" applyNumberFormat="1" applyFont="1" applyBorder="1" applyAlignment="1"/>
    <xf numFmtId="166" fontId="16" fillId="0" borderId="0" xfId="1" applyNumberFormat="1" applyFont="1" applyAlignment="1"/>
    <xf numFmtId="0" fontId="15" fillId="9" borderId="1" xfId="0" applyFont="1" applyFill="1" applyBorder="1" applyAlignment="1">
      <alignment horizontal="center" vertical="center"/>
    </xf>
    <xf numFmtId="166" fontId="15" fillId="9" borderId="1" xfId="1" applyNumberFormat="1" applyFont="1" applyFill="1" applyBorder="1" applyAlignment="1">
      <alignment horizontal="center" vertical="center"/>
    </xf>
    <xf numFmtId="166" fontId="15" fillId="10" borderId="34" xfId="1" applyNumberFormat="1" applyFont="1" applyFill="1" applyBorder="1" applyAlignment="1"/>
    <xf numFmtId="166" fontId="15" fillId="10" borderId="1" xfId="1" applyNumberFormat="1" applyFont="1" applyFill="1" applyBorder="1" applyAlignment="1"/>
    <xf numFmtId="166" fontId="16" fillId="0" borderId="2" xfId="1" applyNumberFormat="1" applyFont="1" applyBorder="1" applyAlignment="1"/>
    <xf numFmtId="166" fontId="16" fillId="0" borderId="14" xfId="1" applyNumberFormat="1" applyFont="1" applyBorder="1" applyAlignment="1"/>
    <xf numFmtId="166" fontId="16" fillId="0" borderId="44" xfId="1" applyNumberFormat="1" applyFont="1" applyBorder="1" applyAlignment="1"/>
    <xf numFmtId="166" fontId="15" fillId="0" borderId="2" xfId="1" applyNumberFormat="1" applyFont="1" applyBorder="1" applyAlignment="1"/>
    <xf numFmtId="166" fontId="15" fillId="0" borderId="1" xfId="1" applyNumberFormat="1" applyFont="1" applyBorder="1" applyAlignment="1"/>
    <xf numFmtId="9" fontId="0" fillId="0" borderId="0" xfId="0" applyNumberFormat="1"/>
    <xf numFmtId="165" fontId="38" fillId="0" borderId="30" xfId="1" applyNumberFormat="1" applyFont="1" applyFill="1" applyBorder="1" applyAlignment="1">
      <alignment horizontal="left" vertical="center" indent="1"/>
    </xf>
    <xf numFmtId="0" fontId="40" fillId="0" borderId="0" xfId="0" applyFont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2" fontId="19" fillId="2" borderId="0" xfId="0" applyNumberFormat="1" applyFont="1" applyFill="1"/>
    <xf numFmtId="0" fontId="19" fillId="2" borderId="0" xfId="0" applyFont="1" applyFill="1"/>
    <xf numFmtId="0" fontId="19" fillId="0" borderId="1" xfId="0" applyFont="1" applyBorder="1"/>
    <xf numFmtId="0" fontId="4" fillId="0" borderId="0" xfId="0" applyFont="1"/>
    <xf numFmtId="0" fontId="0" fillId="0" borderId="0" xfId="0" applyAlignment="1"/>
    <xf numFmtId="0" fontId="3" fillId="0" borderId="1" xfId="0" applyFont="1" applyBorder="1"/>
    <xf numFmtId="0" fontId="2" fillId="0" borderId="1" xfId="0" applyFont="1" applyBorder="1"/>
    <xf numFmtId="0" fontId="19" fillId="2" borderId="1" xfId="0" applyFont="1" applyFill="1" applyBorder="1"/>
    <xf numFmtId="4" fontId="0" fillId="0" borderId="0" xfId="0" applyNumberFormat="1" applyAlignment="1">
      <alignment vertical="center"/>
    </xf>
    <xf numFmtId="0" fontId="41" fillId="2" borderId="0" xfId="0" applyFont="1" applyFill="1" applyAlignment="1"/>
    <xf numFmtId="171" fontId="16" fillId="0" borderId="38" xfId="1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171" fontId="16" fillId="0" borderId="36" xfId="1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6" fillId="0" borderId="2" xfId="0" applyFont="1" applyBorder="1" applyAlignment="1">
      <alignment horizontal="left" wrapText="1"/>
    </xf>
    <xf numFmtId="0" fontId="26" fillId="0" borderId="19" xfId="0" applyFont="1" applyBorder="1" applyAlignment="1">
      <alignment horizontal="left" wrapText="1"/>
    </xf>
    <xf numFmtId="0" fontId="26" fillId="0" borderId="34" xfId="0" applyFont="1" applyBorder="1" applyAlignment="1">
      <alignment horizontal="left" wrapText="1"/>
    </xf>
    <xf numFmtId="0" fontId="26" fillId="0" borderId="35" xfId="0" applyFont="1" applyBorder="1" applyAlignment="1">
      <alignment horizontal="left" wrapText="1"/>
    </xf>
    <xf numFmtId="0" fontId="26" fillId="0" borderId="30" xfId="0" applyFont="1" applyBorder="1" applyAlignment="1">
      <alignment horizontal="left" wrapText="1"/>
    </xf>
    <xf numFmtId="0" fontId="27" fillId="0" borderId="41" xfId="0" quotePrefix="1" applyFont="1" applyBorder="1" applyAlignment="1">
      <alignment wrapText="1"/>
    </xf>
    <xf numFmtId="0" fontId="27" fillId="0" borderId="40" xfId="0" quotePrefix="1" applyFont="1" applyBorder="1" applyAlignment="1">
      <alignment wrapText="1"/>
    </xf>
    <xf numFmtId="0" fontId="27" fillId="0" borderId="42" xfId="0" quotePrefix="1" applyFont="1" applyBorder="1" applyAlignment="1">
      <alignment wrapText="1"/>
    </xf>
    <xf numFmtId="0" fontId="15" fillId="0" borderId="2" xfId="0" applyFont="1" applyBorder="1" applyAlignment="1">
      <alignment horizontal="center"/>
    </xf>
    <xf numFmtId="0" fontId="22" fillId="0" borderId="2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166" fontId="15" fillId="3" borderId="20" xfId="1" quotePrefix="1" applyNumberFormat="1" applyFont="1" applyFill="1" applyBorder="1" applyAlignment="1">
      <alignment horizontal="center" vertical="center" wrapText="1"/>
    </xf>
    <xf numFmtId="166" fontId="15" fillId="3" borderId="21" xfId="1" applyNumberFormat="1" applyFont="1" applyFill="1" applyBorder="1" applyAlignment="1">
      <alignment horizontal="center" vertical="center" wrapText="1"/>
    </xf>
    <xf numFmtId="166" fontId="15" fillId="3" borderId="20" xfId="1" applyNumberFormat="1" applyFont="1" applyFill="1" applyBorder="1" applyAlignment="1">
      <alignment horizontal="center" vertical="center" wrapText="1"/>
    </xf>
    <xf numFmtId="166" fontId="15" fillId="14" borderId="34" xfId="1" applyNumberFormat="1" applyFont="1" applyFill="1" applyBorder="1" applyAlignment="1">
      <alignment horizontal="center"/>
    </xf>
    <xf numFmtId="166" fontId="15" fillId="14" borderId="30" xfId="1" applyNumberFormat="1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3" fontId="15" fillId="0" borderId="15" xfId="0" applyNumberFormat="1" applyFont="1" applyFill="1" applyBorder="1" applyAlignment="1">
      <alignment horizontal="center" vertical="center" wrapText="1"/>
    </xf>
    <xf numFmtId="3" fontId="15" fillId="0" borderId="16" xfId="0" applyNumberFormat="1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vertical="center" wrapText="1"/>
    </xf>
    <xf numFmtId="169" fontId="15" fillId="0" borderId="0" xfId="0" applyNumberFormat="1" applyFont="1" applyFill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10" fontId="15" fillId="0" borderId="14" xfId="0" applyNumberFormat="1" applyFont="1" applyFill="1" applyBorder="1" applyAlignment="1">
      <alignment horizontal="center" vertical="center" wrapText="1"/>
    </xf>
    <xf numFmtId="10" fontId="15" fillId="0" borderId="3" xfId="0" applyNumberFormat="1" applyFont="1" applyFill="1" applyBorder="1" applyAlignment="1">
      <alignment horizontal="center" vertical="center" wrapText="1"/>
    </xf>
    <xf numFmtId="10" fontId="15" fillId="0" borderId="3" xfId="0" applyNumberFormat="1" applyFont="1" applyFill="1" applyBorder="1" applyAlignment="1">
      <alignment vertical="center" wrapText="1"/>
    </xf>
    <xf numFmtId="3" fontId="15" fillId="0" borderId="16" xfId="0" applyNumberFormat="1" applyFont="1" applyFill="1" applyBorder="1" applyAlignment="1">
      <alignment vertical="center" wrapText="1"/>
    </xf>
    <xf numFmtId="37" fontId="15" fillId="0" borderId="15" xfId="0" applyNumberFormat="1" applyFont="1" applyFill="1" applyBorder="1" applyAlignment="1">
      <alignment horizontal="center" vertical="center" wrapText="1"/>
    </xf>
    <xf numFmtId="37" fontId="15" fillId="0" borderId="16" xfId="0" applyNumberFormat="1" applyFont="1" applyFill="1" applyBorder="1" applyAlignment="1">
      <alignment horizontal="center" vertical="center" wrapText="1"/>
    </xf>
    <xf numFmtId="3" fontId="15" fillId="0" borderId="14" xfId="0" applyNumberFormat="1" applyFont="1" applyFill="1" applyBorder="1" applyAlignment="1">
      <alignment horizontal="center" vertical="center" wrapText="1"/>
    </xf>
    <xf numFmtId="3" fontId="15" fillId="0" borderId="3" xfId="0" applyNumberFormat="1" applyFont="1" applyFill="1" applyBorder="1" applyAlignment="1">
      <alignment horizontal="center" vertical="center" wrapText="1"/>
    </xf>
    <xf numFmtId="38" fontId="15" fillId="0" borderId="15" xfId="0" applyNumberFormat="1" applyFont="1" applyFill="1" applyBorder="1" applyAlignment="1">
      <alignment horizontal="center" vertical="center" wrapText="1"/>
    </xf>
    <xf numFmtId="38" fontId="15" fillId="0" borderId="16" xfId="0" applyNumberFormat="1" applyFont="1" applyFill="1" applyBorder="1" applyAlignment="1">
      <alignment horizontal="center" vertical="center" wrapText="1"/>
    </xf>
    <xf numFmtId="3" fontId="15" fillId="0" borderId="17" xfId="0" applyNumberFormat="1" applyFont="1" applyFill="1" applyBorder="1" applyAlignment="1">
      <alignment horizontal="left" vertical="center"/>
    </xf>
    <xf numFmtId="3" fontId="15" fillId="0" borderId="18" xfId="0" applyNumberFormat="1" applyFont="1" applyFill="1" applyBorder="1" applyAlignment="1">
      <alignment horizontal="left" vertical="center"/>
    </xf>
    <xf numFmtId="0" fontId="15" fillId="0" borderId="12" xfId="0" quotePrefix="1" applyFont="1" applyFill="1" applyBorder="1" applyAlignment="1">
      <alignment horizontal="right" vertical="center" wrapText="1"/>
    </xf>
    <xf numFmtId="0" fontId="15" fillId="0" borderId="17" xfId="0" applyFont="1" applyFill="1" applyBorder="1" applyAlignment="1">
      <alignment horizontal="right" vertical="center" wrapText="1"/>
    </xf>
    <xf numFmtId="0" fontId="15" fillId="0" borderId="15" xfId="0" applyFont="1" applyFill="1" applyBorder="1" applyAlignment="1">
      <alignment horizontal="right" vertical="center" wrapText="1"/>
    </xf>
    <xf numFmtId="0" fontId="15" fillId="0" borderId="18" xfId="0" applyFont="1" applyFill="1" applyBorder="1" applyAlignment="1">
      <alignment horizontal="right" vertical="center" wrapText="1"/>
    </xf>
    <xf numFmtId="0" fontId="1" fillId="0" borderId="1" xfId="0" applyFont="1" applyBorder="1"/>
  </cellXfs>
  <cellStyles count="7">
    <cellStyle name="Comma" xfId="1" builtinId="3"/>
    <cellStyle name="Comma 2" xfId="6"/>
    <cellStyle name="Excel Built-in Normal" xfId="3"/>
    <cellStyle name="Normal" xfId="0" builtinId="0"/>
    <cellStyle name="Normal 2" xfId="2"/>
    <cellStyle name="Normal 3" xfId="5"/>
    <cellStyle name="Percent" xfId="4" builtinId="5"/>
  </cellStyles>
  <dxfs count="7"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"/>
        <scheme val="none"/>
      </font>
    </dxf>
    <dxf>
      <font>
        <sz val="10"/>
      </font>
    </dxf>
  </dxfs>
  <tableStyles count="0" defaultTableStyle="TableStyleMedium2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itesh/AppData/Local/Microsoft/Windows/Temporary%20Internet%20Files/Content.Outlook/S8Z4BR5E/PPL%201TO%2022%20AUG%20-%20202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HUL SHAH" refreshedDate="43904.755549421294" createdVersion="5" refreshedVersion="5" minRefreshableVersion="3" recordCount="482">
  <cacheSource type="worksheet">
    <worksheetSource ref="A20:Y82" sheet="Sales" r:id="rId2"/>
  </cacheSource>
  <cacheFields count="25">
    <cacheField name="Date" numFmtId="0">
      <sharedItems containsDate="1" containsBlank="1" containsMixedTypes="1" minDate="2020-03-01T00:00:00" maxDate="2020-03-14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 containsMixedTypes="1" containsNumber="1" containsInteger="1" minValue="619" maxValue="682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Date="1" containsBlank="1" containsMixedTypes="1" minDate="2020-03-01T00:00:00" maxDate="2020-03-14T00:00:00"/>
    </cacheField>
    <cacheField name="Item Name" numFmtId="0">
      <sharedItems containsBlank="1" containsMixedTypes="1" containsNumber="1" minValue="-154847.29999999999" maxValue="733967.7" count="20">
        <s v="PP WEBBING (FG)"/>
        <s v="PP WOVEN BIG BAGS / SACKS"/>
        <s v="PP Laminated Fabric"/>
        <s v="PP Woven Fabrics(FG)"/>
        <m/>
        <n v="-154847.29999999999"/>
        <s v="Item Name"/>
        <s v="Filler"/>
        <s v="Pp Granuales"/>
        <s v="LLDPE GRANULES"/>
        <s v="Pp Wastage"/>
        <s v="Pp Woven Bgas(FG)"/>
        <s v="Master Batch"/>
        <s v="REPROCESS GRANULES (FG)"/>
        <n v="-85645.2" u="1"/>
        <n v="-118662.5" u="1"/>
        <n v="183459.89999999979" u="1"/>
        <n v="266510.19999999984" u="1"/>
        <n v="304290.89999999985" u="1"/>
        <n v="733967.7" u="1"/>
      </sharedItems>
    </cacheField>
    <cacheField name="Quantity" numFmtId="0">
      <sharedItems containsBlank="1" containsMixedTypes="1" containsNumber="1" minValue="30.8" maxValue="154847.29999999999"/>
    </cacheField>
    <cacheField name="Amount" numFmtId="0">
      <sharedItems containsBlank="1" containsMixedTypes="1" containsNumber="1" minValue="153.97985447599021" maxValue="23843364.719999999"/>
    </cacheField>
    <cacheField name="Avg Rate" numFmtId="0">
      <sharedItems containsBlank="1" containsMixedTypes="1" containsNumber="1" minValue="15" maxValue="295.0075642965204"/>
    </cacheField>
    <cacheField name="Item Desc" numFmtId="0">
      <sharedItems containsBlank="1" containsMixedTypes="1" containsNumber="1" minValue="153.97985447599021" maxValue="153.97985447599021"/>
    </cacheField>
    <cacheField name="Bill Amount" numFmtId="0">
      <sharedItems containsBlank="1" containsMixedTypes="1" containsNumber="1" minValue="0" maxValue="4148409"/>
    </cacheField>
    <cacheField name="CGST Rate" numFmtId="0">
      <sharedItems containsBlank="1" containsMixedTypes="1" containsNumber="1" minValue="0" maxValue="9"/>
    </cacheField>
    <cacheField name="CGST Amt" numFmtId="0">
      <sharedItems containsBlank="1" containsMixedTypes="1" containsNumber="1" minValue="0" maxValue="270462.2"/>
    </cacheField>
    <cacheField name="SGST Rate" numFmtId="0">
      <sharedItems containsBlank="1" containsMixedTypes="1" containsNumber="1" minValue="0" maxValue="9"/>
    </cacheField>
    <cacheField name="SGST Amt" numFmtId="0">
      <sharedItems containsBlank="1" containsMixedTypes="1" containsNumber="1" minValue="0" maxValue="270462.2"/>
    </cacheField>
    <cacheField name="IGST Rate" numFmtId="0">
      <sharedItems containsBlank="1" containsMixedTypes="1" containsNumber="1" containsInteger="1" minValue="0" maxValue="18"/>
    </cacheField>
    <cacheField name="IGST Amt" numFmtId="0">
      <sharedItems containsBlank="1" containsMixedTypes="1" containsNumber="1" minValue="0" maxValue="126360"/>
    </cacheField>
    <cacheField name="Total GST" numFmtId="0">
      <sharedItems containsBlank="1" containsMixedTypes="1" containsNumber="1" minValue="0" maxValue="540924.4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Blank="1" containsMixedTypes="1" containsNumber="1" containsInteger="1" minValue="3901" maxValue="39269080"/>
    </cacheField>
    <cacheField name="Currencty" numFmtId="0">
      <sharedItems containsBlank="1"/>
    </cacheField>
    <cacheField name="Exc.Rate" numFmtId="0">
      <sharedItems containsBlank="1" containsMixedTypes="1" containsNumber="1" minValue="1" maxValue="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2">
  <r>
    <d v="2020-03-02T00:00:00"/>
    <s v="Oswal Extrusion Ltd-KASEZ"/>
    <s v="Export Sales"/>
    <s v="PIL2/E/602/19-20"/>
    <s v="Sales - Kasez - Mfg - U/B"/>
    <s v="PIL2/E/602/19-20"/>
    <d v="2020-03-02T00:00:00"/>
    <x v="0"/>
    <n v="114.3"/>
    <n v="22860"/>
    <n v="200"/>
    <s v="PP WEBBING NET BAFFLE TAI 45CM/40GPM"/>
    <n v="22860"/>
    <n v="0"/>
    <n v="0"/>
    <n v="0"/>
    <n v="0"/>
    <n v="0"/>
    <n v="0"/>
    <n v="0"/>
    <s v="24AAACO7290H4ZB"/>
    <s v="KGS"/>
    <n v="39269080"/>
    <s v="Rs."/>
    <n v="1"/>
  </r>
  <r>
    <d v="2020-03-02T00:00:00"/>
    <s v="SATUCESA"/>
    <s v="Export Sales"/>
    <s v="PIL2/E/603/19-20"/>
    <s v="Sales - Export  - U/B"/>
    <s v="PIL2/E/603/19-20"/>
    <d v="2020-03-02T00:00:00"/>
    <x v="1"/>
    <n v="19079"/>
    <n v="2483052.27"/>
    <n v="130.14582892185126"/>
    <s v="PP WOVEN BIG BAGS"/>
    <n v="2555280"/>
    <n v="0"/>
    <n v="0"/>
    <n v="0"/>
    <n v="0"/>
    <n v="0"/>
    <n v="0"/>
    <n v="0"/>
    <s v="N.A."/>
    <s v="KGS"/>
    <n v="39232990"/>
    <m/>
    <n v="76.05"/>
  </r>
  <r>
    <d v="2020-03-03T00:00:00"/>
    <s v="JMJ BULK PACKAGING"/>
    <s v="Export Sales"/>
    <s v="PIL2/E/604/19-20"/>
    <s v="Sales - Export  - U/B"/>
    <s v="PIL2/E/604/19-20"/>
    <d v="2020-03-03T00:00:00"/>
    <x v="1"/>
    <n v="17415"/>
    <n v="2832208.47"/>
    <n v="162.6304031007752"/>
    <s v="PP WOVEN BIG BAGS"/>
    <n v="2910999"/>
    <n v="0"/>
    <n v="0"/>
    <n v="0"/>
    <n v="0"/>
    <n v="0"/>
    <n v="0"/>
    <n v="0"/>
    <s v="N.A."/>
    <s v="KGS"/>
    <n v="39232990"/>
    <s v="GBP"/>
    <n v="91"/>
  </r>
  <r>
    <d v="2020-03-03T00:00:00"/>
    <s v="Oswal Extrusion Ltd-KASEZ"/>
    <s v="Export Sales"/>
    <s v="PIL2/E/605/19-20"/>
    <s v="Sales - Kasez - Mfg - U/B"/>
    <s v="PIL2/E/605/19-20"/>
    <d v="2020-03-03T00:00:00"/>
    <x v="0"/>
    <n v="30.8"/>
    <n v="6160"/>
    <n v="200"/>
    <s v="PP WEBBING NET BAFFLE TAIE45CM/40GPM"/>
    <n v="6160"/>
    <n v="0"/>
    <n v="0"/>
    <n v="0"/>
    <n v="0"/>
    <n v="0"/>
    <n v="0"/>
    <n v="0"/>
    <s v="24AAACO7290H4ZB"/>
    <s v="KGS"/>
    <n v="39269080"/>
    <s v="Rs."/>
    <n v="1"/>
  </r>
  <r>
    <d v="2020-03-06T00:00:00"/>
    <s v="SOMLO-ZSAK KENDER-JUTA Kft"/>
    <s v="Export Sales"/>
    <s v="PIL2/E/607/19-20"/>
    <s v="Sales - Export  - U/B"/>
    <s v="PIL2/E/607/19-20"/>
    <d v="2020-03-06T00:00:00"/>
    <x v="2"/>
    <n v="18930.2"/>
    <n v="2331996.66"/>
    <n v="123.18922462520206"/>
    <s v="PP WOVEN FABRIC LAMINATED COATED"/>
    <n v="2331996.66"/>
    <n v="0"/>
    <n v="0"/>
    <n v="0"/>
    <n v="0"/>
    <n v="0"/>
    <n v="0"/>
    <n v="0"/>
    <s v="N.A."/>
    <s v="KGS"/>
    <n v="39269080"/>
    <s v="$"/>
    <n v="70.95"/>
  </r>
  <r>
    <d v="2020-03-07T00:00:00"/>
    <s v="CONITEX SONOCO USA"/>
    <s v="Export Sales"/>
    <s v="PIL2/E/608/19-20"/>
    <s v="Sales - Export  - U/B"/>
    <s v="PIL2/E/608/19-20"/>
    <d v="2020-03-07T00:00:00"/>
    <x v="1"/>
    <n v="19397"/>
    <n v="3416234.4"/>
    <n v="176.12179202969531"/>
    <s v="PP WOVEN BIG BAGS"/>
    <n v="3416234.4"/>
    <n v="0"/>
    <n v="0"/>
    <n v="0"/>
    <n v="0"/>
    <n v="0"/>
    <n v="0"/>
    <n v="0"/>
    <s v="N.A."/>
    <s v="KGS"/>
    <n v="39232990"/>
    <s v="$"/>
    <n v="72.55"/>
  </r>
  <r>
    <d v="2020-03-08T00:00:00"/>
    <s v="Flexibox Container Gmbh"/>
    <s v="Export Sales"/>
    <s v="PIL2/E/610/19-20"/>
    <s v="Sales - Export  - U/B"/>
    <s v="PIL2/E/610/19-20"/>
    <d v="2020-03-08T00:00:00"/>
    <x v="1"/>
    <n v="10597"/>
    <n v="1857556.38"/>
    <n v="175.29077852222326"/>
    <s v="PP WOVEN BIG BAGS"/>
    <n v="1931108.72"/>
    <n v="0"/>
    <n v="0"/>
    <n v="0"/>
    <n v="0"/>
    <n v="0"/>
    <n v="0"/>
    <n v="0"/>
    <s v="N.A."/>
    <s v="KGS"/>
    <n v="39232990"/>
    <m/>
    <n v="80.25"/>
  </r>
  <r>
    <d v="2020-03-08T00:00:00"/>
    <s v="Oswal Extrusion Ltd-KASEZ"/>
    <s v="Export Sales"/>
    <s v="PIL2/E/609/19-20"/>
    <s v="Sales - Kasez - Mfg - U/B"/>
    <s v="PIL2/E/609/19-20"/>
    <d v="2020-03-08T00:00:00"/>
    <x v="0"/>
    <n v="81.900000000000006"/>
    <n v="16380"/>
    <n v="200"/>
    <s v="PP WEBBING NET BAFFLE TAIE 45CM/40 GPM"/>
    <n v="16380"/>
    <n v="0"/>
    <n v="0"/>
    <n v="0"/>
    <n v="0"/>
    <n v="0"/>
    <n v="0"/>
    <n v="0"/>
    <s v="24AAACO7290H4ZB"/>
    <s v="KGS"/>
    <n v="39269080"/>
    <s v="Rs."/>
    <n v="1"/>
  </r>
  <r>
    <d v="2020-03-09T00:00:00"/>
    <s v="TECHNOPAC GMBH"/>
    <s v="Export Sales"/>
    <s v="PIL2/E/611/19-20"/>
    <s v="Sales - Export  - U/B"/>
    <s v="PIL2/E/611/19-20"/>
    <d v="2020-03-09T00:00:00"/>
    <x v="1"/>
    <n v="17548"/>
    <n v="2603374.2000000002"/>
    <n v="148.35731707317075"/>
    <s v="PP WOVEN BIG BAGS"/>
    <n v="2710925.25"/>
    <n v="0"/>
    <n v="0"/>
    <n v="0"/>
    <n v="0"/>
    <n v="0"/>
    <n v="0"/>
    <n v="0"/>
    <s v="N.A."/>
    <s v="KGS"/>
    <n v="39232990"/>
    <m/>
    <n v="80.25"/>
  </r>
  <r>
    <d v="2020-03-11T00:00:00"/>
    <s v="El-Fedawy Pack for import and export"/>
    <s v="Export Sales"/>
    <s v="PIL2/E/613/19-20"/>
    <s v="Sales - Export  - U/B"/>
    <s v="PIL2/E/613/19-20"/>
    <d v="2020-03-11T00:00:00"/>
    <x v="3"/>
    <n v="15261.3"/>
    <n v="1967503.76"/>
    <n v="128.92111156978763"/>
    <s v="PP WOVEN SULZER FABRIC"/>
    <n v="2048333.17"/>
    <n v="0"/>
    <n v="0"/>
    <n v="0"/>
    <n v="0"/>
    <n v="0"/>
    <n v="0"/>
    <n v="0"/>
    <s v="N.A."/>
    <s v="KGS"/>
    <n v="39269080"/>
    <s v="$"/>
    <n v="72.55"/>
  </r>
  <r>
    <d v="2020-03-11T00:00:00"/>
    <s v="Oswal Extrusion Ltd-KASEZ"/>
    <s v="Export Sales"/>
    <s v="PIL2/E/612/19-20"/>
    <s v="Sales - Kasez - Mfg - U/B"/>
    <s v="PIL2/E/612/19-20"/>
    <d v="2020-03-11T00:00:00"/>
    <x v="0"/>
    <n v="208"/>
    <n v="41600"/>
    <n v="200"/>
    <s v="PP WEBBING NET BAFFLE TAIE 45 CM 40 GPM"/>
    <n v="41600"/>
    <n v="0"/>
    <n v="0"/>
    <n v="0"/>
    <n v="0"/>
    <n v="0"/>
    <n v="0"/>
    <n v="0"/>
    <s v="24AAACO7290H4ZB"/>
    <s v="KGS"/>
    <n v="39269080"/>
    <s v="Rs."/>
    <n v="1"/>
  </r>
  <r>
    <d v="2020-03-12T00:00:00"/>
    <s v="CONDEPOLS, S.A."/>
    <s v="Export Sales"/>
    <s v="PIL2/E/614/19-20"/>
    <s v="Sales - Export  - U/B"/>
    <s v="PIL2/E/614/19-20"/>
    <d v="2020-03-12T00:00:00"/>
    <x v="1"/>
    <n v="11881"/>
    <n v="1644962.43"/>
    <n v="138.45319670061443"/>
    <s v="30 BALES ON PALLETS"/>
    <n v="1644962.43"/>
    <n v="0"/>
    <n v="0"/>
    <n v="0"/>
    <n v="0"/>
    <n v="0"/>
    <n v="0"/>
    <n v="0"/>
    <s v="N.A."/>
    <s v="KGS"/>
    <n v="39232990"/>
    <s v="$"/>
    <n v="72.55"/>
  </r>
  <r>
    <d v="2020-03-12T00:00:00"/>
    <s v="CONDEPOLS, S.A."/>
    <s v="Export Sales"/>
    <s v="PIL2/E/615/19-20"/>
    <s v="Sales - Export  - U/B"/>
    <s v="PIL2/E/615/19-20"/>
    <d v="2020-03-12T00:00:00"/>
    <x v="3"/>
    <n v="3532"/>
    <n v="471067.15"/>
    <n v="133.37122027180069"/>
    <s v="PP WOVEN CIRCULAR FABRIC"/>
    <n v="471067.15"/>
    <n v="0"/>
    <n v="0"/>
    <n v="0"/>
    <n v="0"/>
    <n v="0"/>
    <n v="0"/>
    <n v="0"/>
    <s v="N.A."/>
    <s v="KGS"/>
    <n v="39269080"/>
    <s v="$"/>
    <n v="72.55"/>
  </r>
  <r>
    <d v="2020-03-13T00:00:00"/>
    <s v="Western Grain Trading Inc"/>
    <s v="Export Sales"/>
    <s v="PIL2/E/616/19-20"/>
    <s v="Sales - Export  - U/B"/>
    <s v="PIL2/E/616/19-20"/>
    <d v="2020-03-13T00:00:00"/>
    <x v="1"/>
    <n v="20771.8"/>
    <n v="4148409"/>
    <n v="199.71350581076268"/>
    <s v="PP WOVEN BIG BAGS"/>
    <n v="4148409"/>
    <n v="0"/>
    <n v="0"/>
    <n v="0"/>
    <n v="0"/>
    <n v="0"/>
    <n v="0"/>
    <n v="0"/>
    <s v="N.A."/>
    <s v="KGS"/>
    <n v="39232990"/>
    <s v="$"/>
    <n v="72.55"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n v="154847.29999999999"/>
    <n v="23843364.719999999"/>
    <m/>
    <m/>
    <m/>
    <m/>
    <m/>
    <m/>
    <m/>
    <m/>
    <m/>
    <m/>
    <m/>
    <m/>
    <m/>
    <m/>
    <m/>
  </r>
  <r>
    <m/>
    <m/>
    <m/>
    <m/>
    <m/>
    <m/>
    <m/>
    <x v="5"/>
    <n v="154847.29999999999"/>
    <n v="23843364.719999999"/>
    <m/>
    <n v="153.97985447599021"/>
    <m/>
    <m/>
    <m/>
    <m/>
    <m/>
    <m/>
    <m/>
    <m/>
    <m/>
    <m/>
    <m/>
    <m/>
    <m/>
  </r>
  <r>
    <m/>
    <m/>
    <m/>
    <m/>
    <m/>
    <m/>
    <m/>
    <x v="4"/>
    <m/>
    <n v="153.97985447599021"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s v="Date"/>
    <s v="Particular"/>
    <s v="Voucher Type"/>
    <s v="Voucher No"/>
    <s v="Type"/>
    <s v="Invoice No"/>
    <s v="Invoice Date"/>
    <x v="6"/>
    <s v="Quantity"/>
    <s v="Amount"/>
    <s v="Avg Rate"/>
    <s v="Item Desc"/>
    <s v="Bill Amount"/>
    <s v="CGST Rate"/>
    <s v="CGST Amt"/>
    <s v="SGST Rate"/>
    <s v="SGST Amt"/>
    <s v="IGST Rate"/>
    <s v="IGST Amt"/>
    <s v="Total GST"/>
    <s v="GST-IN"/>
    <s v="Unit"/>
    <s v="HSN Code"/>
    <s v="Currencty"/>
    <s v="Exc.Rate"/>
  </r>
  <r>
    <d v="2020-03-01T00:00:00"/>
    <s v="PLASTENE INDIA LIMITED"/>
    <s v="Branch Transfer Out"/>
    <s v="PIL2/DC/818"/>
    <s v="Branch Transfer Out - Material"/>
    <s v="PIL2/DC/818"/>
    <d v="2020-03-01T00:00:00"/>
    <x v="7"/>
    <n v="3000"/>
    <n v="88500"/>
    <n v="29.5"/>
    <s v="MW"/>
    <n v="577240"/>
    <n v="0"/>
    <n v="0"/>
    <n v="0"/>
    <n v="0"/>
    <n v="0"/>
    <n v="0"/>
    <n v="0"/>
    <s v="24AAACO3087C1ZT"/>
    <s v="KGS"/>
    <n v="32041990"/>
    <s v="Rs."/>
    <n v="1"/>
  </r>
  <r>
    <d v="2020-03-01T00:00:00"/>
    <s v="PLASTENE INDIA LIMITED"/>
    <s v="Branch Transfer Out"/>
    <s v="PIL2/DC/818"/>
    <s v="Branch Transfer Out - Material"/>
    <s v="PIL2/DC/818"/>
    <d v="2020-03-01T00:00:00"/>
    <x v="8"/>
    <n v="7000"/>
    <n v="488740"/>
    <n v="69.819999999999993"/>
    <s v="GRANUALS"/>
    <n v="0"/>
    <n v="0"/>
    <n v="0"/>
    <n v="0"/>
    <n v="0"/>
    <n v="0"/>
    <n v="0"/>
    <n v="0"/>
    <s v="24AAACO3087C1ZT"/>
    <s v="KGS"/>
    <n v="39021000"/>
    <s v="Rs."/>
    <n v="1"/>
  </r>
  <r>
    <d v="2020-03-01T00:00:00"/>
    <s v="Plastene Polyflims Limited"/>
    <s v="Sales"/>
    <n v="620"/>
    <s v="Sales  - Within State  Manufactured Goods"/>
    <s v="PIL2/D/620"/>
    <d v="2020-03-01T00:00:00"/>
    <x v="1"/>
    <n v="16722"/>
    <n v="2805116"/>
    <n v="167.75002990072957"/>
    <s v="BAGS"/>
    <n v="3310037"/>
    <n v="9"/>
    <n v="252460.4"/>
    <n v="9"/>
    <n v="252460.4"/>
    <n v="0"/>
    <n v="0"/>
    <n v="504920.8"/>
    <s v="24AAFCP2956A1ZR"/>
    <s v="KGS"/>
    <n v="39232990"/>
    <s v="Rs."/>
    <n v="1"/>
  </r>
  <r>
    <d v="2020-03-01T00:00:00"/>
    <s v="UPL LIMITED - Jhagadia"/>
    <s v="Sales"/>
    <n v="619"/>
    <s v="Sales  - Within State  Manufactured Goods"/>
    <s v="PIL2/D/619"/>
    <d v="2020-03-01T00:00:00"/>
    <x v="1"/>
    <n v="5428.4"/>
    <n v="1170000"/>
    <n v="215.5331220985926"/>
    <s v="BAGS"/>
    <n v="1380600"/>
    <n v="9"/>
    <n v="105300"/>
    <n v="9"/>
    <n v="105300"/>
    <n v="0"/>
    <n v="0"/>
    <n v="210600"/>
    <s v="24AABCS1698G3Z9"/>
    <s v="KGS"/>
    <n v="39232990"/>
    <s v="Rs."/>
    <n v="1"/>
  </r>
  <r>
    <d v="2020-03-02T00:00:00"/>
    <s v="Oswal Extrusion Limited - Unit 3"/>
    <s v="Sales"/>
    <n v="622"/>
    <s v="Sales  - Within State  Manufactured Goods"/>
    <s v="PIL2/D/622"/>
    <d v="2020-03-02T00:00:00"/>
    <x v="1"/>
    <n v="20247.400000000001"/>
    <n v="3000867"/>
    <n v="148.20999239408516"/>
    <s v="BAGS"/>
    <n v="3541023"/>
    <n v="9"/>
    <n v="270078.03999999998"/>
    <n v="9"/>
    <n v="270078.03999999998"/>
    <n v="0"/>
    <n v="0"/>
    <n v="540156.07999999996"/>
    <s v="24AAACO7290H2ZD"/>
    <s v="KGS"/>
    <n v="39232990"/>
    <s v="Rs."/>
    <n v="1"/>
  </r>
  <r>
    <d v="2020-03-02T00:00:00"/>
    <s v="Oswal Extrusion Limited - Unit 3"/>
    <s v="Sales"/>
    <n v="623"/>
    <s v="Sales  - Within State  Manufactured Goods"/>
    <s v="PIL2/D/623"/>
    <d v="2020-03-02T00:00:00"/>
    <x v="1"/>
    <n v="20276.2"/>
    <n v="3005136"/>
    <n v="148.21001962892456"/>
    <s v="BAGS"/>
    <n v="3546060"/>
    <n v="9"/>
    <n v="270462.2"/>
    <n v="9"/>
    <n v="270462.2"/>
    <n v="0"/>
    <n v="0"/>
    <n v="540924.4"/>
    <s v="24AAACO7290H2ZD"/>
    <s v="KGS"/>
    <n v="39232990"/>
    <s v="Rs."/>
    <n v="1"/>
  </r>
  <r>
    <d v="2020-03-02T00:00:00"/>
    <s v="Oswal Overseas"/>
    <s v="Sales"/>
    <n v="624"/>
    <s v="Sales  - Within State  Manufactured Goods"/>
    <s v="PIL2/D/624"/>
    <d v="2020-03-02T00:00:00"/>
    <x v="2"/>
    <n v="4825"/>
    <n v="413471"/>
    <n v="85.693471502590668"/>
    <s v="LAMINATED"/>
    <n v="487895"/>
    <n v="9"/>
    <n v="37212.36"/>
    <n v="9"/>
    <n v="37212.36"/>
    <n v="0"/>
    <n v="0"/>
    <n v="74424.72"/>
    <s v="24AAAFO9978R1Z8"/>
    <s v="KGS"/>
    <n v="39269080"/>
    <s v="Rs."/>
    <n v="1"/>
  </r>
  <r>
    <d v="2020-03-02T00:00:00"/>
    <s v="Oswal Overseas"/>
    <s v="Sales"/>
    <n v="625"/>
    <s v="Sales  - Within State  Manufactured Goods"/>
    <s v="PIL2/D/625"/>
    <d v="2020-03-02T00:00:00"/>
    <x v="3"/>
    <n v="2888"/>
    <n v="247483"/>
    <n v="85.69355955678671"/>
    <s v="MW"/>
    <n v="292030"/>
    <n v="9"/>
    <n v="22273.43"/>
    <n v="9"/>
    <n v="22273.43"/>
    <n v="0"/>
    <n v="0"/>
    <n v="44546.86"/>
    <s v="24AAAFO9978R1Z8"/>
    <s v="KGS"/>
    <n v="39269080"/>
    <s v="Rs."/>
    <n v="1"/>
  </r>
  <r>
    <d v="2020-03-02T00:00:00"/>
    <s v="PLASTENE INDIA LIMITED"/>
    <s v="Branch Transfer Out"/>
    <s v="PIL2/DC/819"/>
    <s v="Branch Transfer Out - Material"/>
    <s v="PIL2/DC/819"/>
    <d v="2020-03-02T00:00:00"/>
    <x v="9"/>
    <n v="125"/>
    <n v="8531"/>
    <n v="68.248000000000005"/>
    <s v="."/>
    <n v="8531"/>
    <n v="0"/>
    <n v="0"/>
    <n v="0"/>
    <n v="0"/>
    <n v="0"/>
    <n v="0"/>
    <n v="0"/>
    <s v="24AAACO3087C1ZT"/>
    <s v="KGS"/>
    <n v="3901"/>
    <s v="Rs."/>
    <n v="1"/>
  </r>
  <r>
    <d v="2020-03-02T00:00:00"/>
    <s v="SHUBHALAKSHMI POLYESTERS LIMITED"/>
    <s v="Sales"/>
    <n v="621"/>
    <s v="Sales  - Within State  Manufactured Goods"/>
    <s v="PIL2/D/621"/>
    <d v="2020-03-02T00:00:00"/>
    <x v="1"/>
    <n v="6752"/>
    <n v="950280"/>
    <n v="140.74052132701422"/>
    <s v="95X95X135"/>
    <n v="1121330"/>
    <n v="9"/>
    <n v="85525.2"/>
    <n v="9"/>
    <n v="85525.2"/>
    <n v="0"/>
    <n v="0"/>
    <n v="171050.4"/>
    <s v="24AAJCS2757C1ZH"/>
    <s v="KGS"/>
    <n v="39232990"/>
    <s v="Rs."/>
    <n v="1"/>
  </r>
  <r>
    <d v="2020-03-03T00:00:00"/>
    <s v="Hoganas India Pvt.Ltd."/>
    <s v="Sales"/>
    <n v="630"/>
    <s v="Sales - Interstate - Manufactured Goods"/>
    <s v="PIL2/D/630"/>
    <d v="2020-03-03T00:00:00"/>
    <x v="1"/>
    <n v="443"/>
    <n v="130000"/>
    <n v="293.45372460496611"/>
    <s v="60X60X90"/>
    <n v="153400"/>
    <n v="0"/>
    <n v="0"/>
    <n v="0"/>
    <n v="0"/>
    <n v="18"/>
    <n v="23400"/>
    <n v="23400"/>
    <s v="27AAACH5156K1ZF"/>
    <s v="KGS"/>
    <n v="39232990"/>
    <s v="Rs."/>
    <n v="1"/>
  </r>
  <r>
    <d v="2020-03-03T00:00:00"/>
    <s v="Oswal Overseas"/>
    <s v="Sales"/>
    <n v="628"/>
    <s v="Sales  - Within State  Manufactured Goods"/>
    <s v="PIL2/D/628"/>
    <d v="2020-03-03T00:00:00"/>
    <x v="2"/>
    <n v="4093.6"/>
    <n v="350795"/>
    <n v="85.693521594684384"/>
    <s v="."/>
    <n v="413938"/>
    <n v="9"/>
    <n v="31571.51"/>
    <n v="9"/>
    <n v="31571.51"/>
    <n v="0"/>
    <n v="0"/>
    <n v="63143.02"/>
    <s v="24AAAFO9978R1Z8"/>
    <s v="KGS"/>
    <n v="39269080"/>
    <s v="Rs."/>
    <n v="1"/>
  </r>
  <r>
    <d v="2020-03-03T00:00:00"/>
    <s v="Oswal Overseas"/>
    <s v="Sales"/>
    <n v="629"/>
    <s v="Sales  - Within State  Manufactured Goods"/>
    <s v="PIL2/D/629"/>
    <d v="2020-03-03T00:00:00"/>
    <x v="3"/>
    <n v="2107"/>
    <n v="180556"/>
    <n v="85.693402942572376"/>
    <s v="MW"/>
    <n v="213056"/>
    <n v="9"/>
    <n v="16250.04"/>
    <n v="9"/>
    <n v="16250.04"/>
    <n v="0"/>
    <n v="0"/>
    <n v="32500.080000000002"/>
    <s v="24AAAFO9978R1Z8"/>
    <s v="KGS"/>
    <n v="39269080"/>
    <s v="Rs."/>
    <n v="1"/>
  </r>
  <r>
    <d v="2020-03-03T00:00:00"/>
    <s v="Plastene India Limited - Unit 8"/>
    <s v="Branch Transfer Out"/>
    <s v="PIL2/DC/821"/>
    <s v="Branch Transfer Out - Material"/>
    <s v="PIL2/DC/821"/>
    <d v="2020-03-03T00:00:00"/>
    <x v="10"/>
    <n v="1655"/>
    <n v="24825"/>
    <n v="15"/>
    <s v="."/>
    <n v="24825"/>
    <n v="0"/>
    <n v="0"/>
    <n v="0"/>
    <n v="0"/>
    <n v="0"/>
    <n v="0"/>
    <n v="0"/>
    <s v="24AAACO3087C1ZT"/>
    <s v="KGS"/>
    <n v="39159029"/>
    <s v="Rs."/>
    <n v="1"/>
  </r>
  <r>
    <d v="2020-03-04T00:00:00"/>
    <s v="ALANKAR AUTOMOTIVES PVT. LTD."/>
    <s v="Sales"/>
    <n v="637"/>
    <s v="Sales  - Within State  Manufactured Goods"/>
    <s v="PIL2/D/637"/>
    <d v="2020-03-04T00:00:00"/>
    <x v="2"/>
    <n v="3919.8"/>
    <n v="325343"/>
    <n v="82.999897953977239"/>
    <s v="."/>
    <n v="383905"/>
    <n v="9"/>
    <n v="29280.91"/>
    <n v="9"/>
    <n v="29280.91"/>
    <n v="0"/>
    <n v="0"/>
    <n v="58561.82"/>
    <s v="24AACCS2046P1Z7"/>
    <s v="KGS"/>
    <n v="39269080"/>
    <s v="Rs."/>
    <n v="1"/>
  </r>
  <r>
    <d v="2020-03-04T00:00:00"/>
    <s v="Oswal Overseas"/>
    <s v="Sales"/>
    <n v="635"/>
    <s v="Sales  - Within State  Manufactured Goods"/>
    <s v="PIL2/D/635"/>
    <d v="2020-03-04T00:00:00"/>
    <x v="1"/>
    <n v="5932"/>
    <n v="808333"/>
    <n v="136.26652056641942"/>
    <s v="."/>
    <n v="953833"/>
    <n v="9"/>
    <n v="72750"/>
    <n v="9"/>
    <n v="72750"/>
    <n v="0"/>
    <n v="0"/>
    <n v="145500"/>
    <s v="24AAAFO9978R1Z8"/>
    <s v="KGS"/>
    <n v="39232990"/>
    <s v="Rs."/>
    <n v="1"/>
  </r>
  <r>
    <d v="2020-03-05T00:00:00"/>
    <s v="Oswal Overseas"/>
    <s v="Sales"/>
    <n v="641"/>
    <s v="Sales  - Within State  Manufactured Goods"/>
    <s v="PIL2/D/641"/>
    <d v="2020-03-05T00:00:00"/>
    <x v="1"/>
    <n v="9072"/>
    <n v="1236210"/>
    <n v="136.26653439153438"/>
    <s v="."/>
    <n v="1458728"/>
    <n v="9"/>
    <n v="111258.93"/>
    <n v="9"/>
    <n v="111258.93"/>
    <n v="0"/>
    <n v="0"/>
    <n v="222517.86"/>
    <s v="24AAAFO9978R1Z8"/>
    <s v="KGS"/>
    <n v="39232990"/>
    <s v="Rs."/>
    <n v="1"/>
  </r>
  <r>
    <d v="2020-03-05T00:00:00"/>
    <s v="Paramount Rice Pvt Ltd"/>
    <s v="Sales"/>
    <n v="640"/>
    <s v="Sales - Interstate - Manufactured Goods"/>
    <s v="PIL2/D/640"/>
    <d v="2020-03-05T00:00:00"/>
    <x v="11"/>
    <n v="1531.5"/>
    <n v="328109"/>
    <n v="214.24028730003263"/>
    <s v="351 ROZANA"/>
    <n v="387168"/>
    <n v="0"/>
    <n v="0"/>
    <n v="0"/>
    <n v="0"/>
    <n v="18"/>
    <n v="59059.54"/>
    <n v="59059.54"/>
    <s v="08AACCP1119J1ZK"/>
    <s v="KGS"/>
    <n v="39232990"/>
    <s v="Rs."/>
    <n v="1"/>
  </r>
  <r>
    <d v="2020-03-05T00:00:00"/>
    <s v="PLASTENE INDIA LIMITED"/>
    <s v="Branch Transfer Out"/>
    <s v="PIL2/DC/825"/>
    <s v="Branch Transfer Out - Material"/>
    <s v="PIL2/DC/825"/>
    <d v="2020-03-05T00:00:00"/>
    <x v="1"/>
    <n v="4298.8999999999996"/>
    <n v="638258"/>
    <n v="148.47007373979392"/>
    <s v="."/>
    <n v="945398"/>
    <n v="0"/>
    <n v="0"/>
    <n v="0"/>
    <n v="0"/>
    <n v="0"/>
    <n v="0"/>
    <n v="0"/>
    <s v="24AAACO3087C1ZT"/>
    <s v="KGS"/>
    <n v="39232990"/>
    <s v="Rs."/>
    <n v="1"/>
  </r>
  <r>
    <d v="2020-03-05T00:00:00"/>
    <s v="PLASTENE INDIA LIMITED"/>
    <s v="Branch Transfer Out"/>
    <s v="PIL2/DC/825"/>
    <s v="Branch Transfer Out - Material"/>
    <s v="PIL2/DC/825"/>
    <d v="2020-03-05T00:00:00"/>
    <x v="1"/>
    <n v="2116.6"/>
    <n v="307140"/>
    <n v="145.11008220731361"/>
    <s v="."/>
    <n v="0"/>
    <n v="0"/>
    <n v="0"/>
    <n v="0"/>
    <n v="0"/>
    <n v="0"/>
    <n v="0"/>
    <n v="0"/>
    <s v="24AAACO3087C1ZT"/>
    <s v="KGS"/>
    <n v="39232990"/>
    <s v="Rs."/>
    <n v="1"/>
  </r>
  <r>
    <d v="2020-03-05T00:00:00"/>
    <s v="Plastene Polyflims Limited"/>
    <s v="Sales"/>
    <n v="644"/>
    <s v="Sales  - Within State  Manufactured Goods"/>
    <s v="PIL2/D/644"/>
    <d v="2020-03-05T00:00:00"/>
    <x v="0"/>
    <n v="1438.7"/>
    <n v="142759"/>
    <n v="99.227775074720228"/>
    <s v="MW"/>
    <n v="617966"/>
    <n v="9"/>
    <n v="12848.34"/>
    <n v="9"/>
    <n v="12848.34"/>
    <n v="0"/>
    <n v="0"/>
    <n v="25696.68"/>
    <s v="24AAFCP2956A1ZR"/>
    <s v="KGS"/>
    <n v="39269080"/>
    <s v="Rs."/>
    <n v="1"/>
  </r>
  <r>
    <d v="2020-03-05T00:00:00"/>
    <s v="Plastene Polyflims Limited"/>
    <s v="Sales"/>
    <n v="644"/>
    <s v="Sales  - Within State  Manufactured Goods"/>
    <s v="PIL2/D/644"/>
    <d v="2020-03-05T00:00:00"/>
    <x v="3"/>
    <n v="1126"/>
    <n v="115109"/>
    <n v="102.22824156305506"/>
    <s v="COLOUR"/>
    <n v="0"/>
    <n v="9"/>
    <n v="10359.790000000001"/>
    <n v="9"/>
    <n v="10359.790000000001"/>
    <n v="0"/>
    <n v="0"/>
    <n v="20719.580000000002"/>
    <s v="24AAFCP2956A1ZR"/>
    <s v="KGS"/>
    <n v="39269080"/>
    <s v="Rs."/>
    <n v="1"/>
  </r>
  <r>
    <d v="2020-03-05T00:00:00"/>
    <s v="Plastene Polyflims Limited"/>
    <s v="Sales"/>
    <n v="644"/>
    <s v="Sales  - Within State  Manufactured Goods"/>
    <s v="PIL2/D/644"/>
    <d v="2020-03-05T00:00:00"/>
    <x v="3"/>
    <n v="2679"/>
    <n v="265832"/>
    <n v="99.228070175438603"/>
    <s v="MW"/>
    <n v="0"/>
    <n v="9"/>
    <n v="23924.86"/>
    <n v="9"/>
    <n v="23924.86"/>
    <n v="0"/>
    <n v="0"/>
    <n v="47849.72"/>
    <s v="24AAFCP2956A1ZR"/>
    <s v="KGS"/>
    <n v="39269080"/>
    <s v="Rs."/>
    <n v="1"/>
  </r>
  <r>
    <d v="2020-03-06T00:00:00"/>
    <s v="Oswal Overseas"/>
    <s v="Sales"/>
    <n v="646"/>
    <s v="Sales  - Within State  Manufactured Goods"/>
    <s v="PIL2/D/646"/>
    <d v="2020-03-06T00:00:00"/>
    <x v="3"/>
    <n v="729"/>
    <n v="62470"/>
    <n v="85.692729766803836"/>
    <s v="MW"/>
    <n v="73715"/>
    <n v="9"/>
    <n v="5622.34"/>
    <n v="9"/>
    <n v="5622.34"/>
    <n v="0"/>
    <n v="0"/>
    <n v="11244.68"/>
    <s v="24AAAFO9978R1Z8"/>
    <s v="KGS"/>
    <n v="39269080"/>
    <s v="Rs."/>
    <n v="1"/>
  </r>
  <r>
    <d v="2020-03-06T00:00:00"/>
    <s v="Oswal Overseas"/>
    <s v="Sales"/>
    <n v="647"/>
    <s v="Sales  - Within State  Manufactured Goods"/>
    <s v="PIL2/D/647"/>
    <d v="2020-03-06T00:00:00"/>
    <x v="1"/>
    <n v="2528"/>
    <n v="344482"/>
    <n v="136.26661392405063"/>
    <s v="."/>
    <n v="406489"/>
    <n v="9"/>
    <n v="31003.37"/>
    <n v="9"/>
    <n v="31003.37"/>
    <n v="0"/>
    <n v="0"/>
    <n v="62006.74"/>
    <s v="24AAAFO9978R1Z8"/>
    <s v="KGS"/>
    <n v="39232990"/>
    <s v="Rs."/>
    <n v="1"/>
  </r>
  <r>
    <d v="2020-03-06T00:00:00"/>
    <s v="PLASTENE INDIA LIMITED"/>
    <s v="Branch Transfer Out"/>
    <s v="PIL2/DC/826"/>
    <s v="Branch Transfer Out - Material"/>
    <s v="PIL2/DC/826"/>
    <d v="2020-03-06T00:00:00"/>
    <x v="1"/>
    <n v="5536"/>
    <n v="1107864"/>
    <n v="200.11994219653178"/>
    <s v="."/>
    <n v="1288726"/>
    <n v="0"/>
    <n v="0"/>
    <n v="0"/>
    <n v="0"/>
    <n v="0"/>
    <n v="0"/>
    <n v="0"/>
    <s v="24AAACO3087C1ZT"/>
    <s v="KGS"/>
    <n v="39232990"/>
    <s v="Rs."/>
    <n v="1"/>
  </r>
  <r>
    <d v="2020-03-06T00:00:00"/>
    <s v="PLASTENE INDIA LIMITED"/>
    <s v="Branch Transfer Out"/>
    <s v="PIL2/DC/826"/>
    <s v="Branch Transfer Out - Material"/>
    <s v="PIL2/DC/826"/>
    <d v="2020-03-06T00:00:00"/>
    <x v="1"/>
    <n v="380"/>
    <n v="60887"/>
    <n v="160.22894736842105"/>
    <s v="."/>
    <n v="0"/>
    <n v="0"/>
    <n v="0"/>
    <n v="0"/>
    <n v="0"/>
    <n v="0"/>
    <n v="0"/>
    <n v="0"/>
    <s v="24AAACO3087C1ZT"/>
    <s v="KGS"/>
    <n v="39232990"/>
    <s v="Rs."/>
    <n v="1"/>
  </r>
  <r>
    <d v="2020-03-06T00:00:00"/>
    <s v="PLASTENE INDIA LIMITED"/>
    <s v="Branch Transfer Out"/>
    <s v="PIL2/DC/826"/>
    <s v="Branch Transfer Out - Material"/>
    <s v="PIL2/DC/826"/>
    <d v="2020-03-06T00:00:00"/>
    <x v="1"/>
    <n v="778"/>
    <n v="119975"/>
    <n v="154.20951156812339"/>
    <s v="."/>
    <n v="0"/>
    <n v="0"/>
    <n v="0"/>
    <n v="0"/>
    <n v="0"/>
    <n v="0"/>
    <n v="0"/>
    <n v="0"/>
    <s v="24AAACO3087C1ZT"/>
    <s v="KGS"/>
    <n v="39232990"/>
    <s v="Rs."/>
    <n v="1"/>
  </r>
  <r>
    <d v="2020-03-07T00:00:00"/>
    <s v="GANESH TRADERS"/>
    <s v="Sales"/>
    <n v="650"/>
    <s v="Sales  - Within State  Manufactured Goods"/>
    <s v="PIL2/D/650"/>
    <d v="2020-03-07T00:00:00"/>
    <x v="10"/>
    <n v="5500"/>
    <n v="82500"/>
    <n v="15"/>
    <s v="."/>
    <n v="87491"/>
    <n v="2.5"/>
    <n v="2062.5"/>
    <n v="2.5"/>
    <n v="2062.5"/>
    <n v="0"/>
    <n v="0"/>
    <n v="4125"/>
    <s v="24BICPD1201R1ZM"/>
    <s v="KGS"/>
    <n v="39159029"/>
    <s v="Rs."/>
    <n v="1"/>
  </r>
  <r>
    <d v="2020-03-07T00:00:00"/>
    <s v="Hoganas India Pvt.Ltd."/>
    <s v="Sales"/>
    <n v="649"/>
    <s v="Sales - Interstate - Manufactured Goods"/>
    <s v="PIL2/D/649"/>
    <d v="2020-03-07T00:00:00"/>
    <x v="1"/>
    <n v="661"/>
    <n v="195000"/>
    <n v="295.0075642965204"/>
    <s v="60X60X90"/>
    <n v="230100"/>
    <n v="0"/>
    <n v="0"/>
    <n v="0"/>
    <n v="0"/>
    <n v="18"/>
    <n v="35100"/>
    <n v="35100"/>
    <s v="27AAACH5156K1ZF"/>
    <s v="KGS"/>
    <n v="39232990"/>
    <s v="Rs."/>
    <n v="1"/>
  </r>
  <r>
    <d v="2020-03-07T00:00:00"/>
    <s v="Oswal Extrusion Limited - Unit 3"/>
    <s v="Sales"/>
    <n v="651"/>
    <s v="Sales  - Within State  Manufactured Goods"/>
    <s v="PIL2/D/651"/>
    <d v="2020-03-07T00:00:00"/>
    <x v="1"/>
    <n v="20218.599999999999"/>
    <n v="2996599"/>
    <n v="148.21001454106616"/>
    <s v="."/>
    <n v="3535986"/>
    <n v="9"/>
    <n v="269693.88"/>
    <n v="9"/>
    <n v="269693.88"/>
    <n v="0"/>
    <n v="0"/>
    <n v="539387.76"/>
    <s v="24AAACO7290H2ZD"/>
    <s v="KGS"/>
    <n v="39232990"/>
    <s v="Rs."/>
    <n v="1"/>
  </r>
  <r>
    <d v="2020-03-07T00:00:00"/>
    <s v="PLASTENE INDIA LIMITED"/>
    <s v="Branch Transfer Out"/>
    <s v="PIL2/DC/827"/>
    <s v="Branch Transfer Out - Material"/>
    <s v="PIL2/DC/827"/>
    <d v="2020-03-07T00:00:00"/>
    <x v="7"/>
    <n v="500"/>
    <n v="14750"/>
    <n v="29.5"/>
    <s v="MW"/>
    <n v="85250"/>
    <n v="0"/>
    <n v="0"/>
    <n v="0"/>
    <n v="0"/>
    <n v="0"/>
    <n v="0"/>
    <n v="0"/>
    <s v="24AAACO3087C1ZT"/>
    <s v="KGS"/>
    <n v="32041990"/>
    <s v="Rs."/>
    <n v="1"/>
  </r>
  <r>
    <d v="2020-03-07T00:00:00"/>
    <s v="PLASTENE INDIA LIMITED"/>
    <s v="Branch Transfer Out"/>
    <s v="PIL2/DC/827"/>
    <s v="Branch Transfer Out - Material"/>
    <s v="PIL2/DC/827"/>
    <d v="2020-03-07T00:00:00"/>
    <x v="12"/>
    <n v="500"/>
    <n v="70500"/>
    <n v="141"/>
    <s v="."/>
    <n v="0"/>
    <n v="0"/>
    <n v="0"/>
    <n v="0"/>
    <n v="0"/>
    <n v="0"/>
    <n v="0"/>
    <n v="0"/>
    <s v="24AAACO3087C1ZT"/>
    <s v="KGS"/>
    <n v="32061190"/>
    <s v="Rs."/>
    <n v="1"/>
  </r>
  <r>
    <d v="2020-03-07T00:00:00"/>
    <s v="Plastene India Limited - Unit 6"/>
    <s v="Branch Transfer Out"/>
    <s v="PIL2/DC/829"/>
    <s v="Branch Transfer Out - Material"/>
    <s v="PIL2/DC/829"/>
    <d v="2020-03-07T00:00:00"/>
    <x v="0"/>
    <n v="2325.4"/>
    <n v="230745"/>
    <n v="99.228089791003697"/>
    <s v="MW"/>
    <n v="880063"/>
    <n v="0"/>
    <n v="0"/>
    <n v="0"/>
    <n v="0"/>
    <n v="0"/>
    <n v="0"/>
    <n v="0"/>
    <s v="24AAACO3087C1ZT"/>
    <s v="KGS"/>
    <n v="39269080"/>
    <s v="Rs."/>
    <n v="1"/>
  </r>
  <r>
    <d v="2020-03-07T00:00:00"/>
    <s v="Plastene India Limited - Unit 6"/>
    <s v="Branch Transfer Out"/>
    <s v="PIL2/DC/829"/>
    <s v="Branch Transfer Out - Material"/>
    <s v="PIL2/DC/829"/>
    <d v="2020-03-07T00:00:00"/>
    <x v="2"/>
    <n v="883.4"/>
    <n v="92075"/>
    <n v="104.22798279375142"/>
    <s v="SPOUT"/>
    <n v="0"/>
    <n v="0"/>
    <n v="0"/>
    <n v="0"/>
    <n v="0"/>
    <n v="0"/>
    <n v="0"/>
    <n v="0"/>
    <s v="24AAACO3087C1ZT"/>
    <s v="KGS"/>
    <n v="39269080"/>
    <s v="Rs."/>
    <n v="1"/>
  </r>
  <r>
    <d v="2020-03-07T00:00:00"/>
    <s v="Plastene India Limited - Unit 6"/>
    <s v="Branch Transfer Out"/>
    <s v="PIL2/DC/829"/>
    <s v="Branch Transfer Out - Material"/>
    <s v="PIL2/DC/829"/>
    <d v="2020-03-07T00:00:00"/>
    <x v="3"/>
    <n v="2176"/>
    <n v="222448"/>
    <n v="102.22794117647059"/>
    <s v="COLOUR"/>
    <n v="0"/>
    <n v="0"/>
    <n v="0"/>
    <n v="0"/>
    <n v="0"/>
    <n v="0"/>
    <n v="0"/>
    <n v="0"/>
    <s v="24AAACO3087C1ZT"/>
    <s v="KGS"/>
    <n v="39269080"/>
    <s v="Rs."/>
    <n v="1"/>
  </r>
  <r>
    <d v="2020-03-07T00:00:00"/>
    <s v="Plastene India Limited - Unit 6"/>
    <s v="Branch Transfer Out"/>
    <s v="PIL2/DC/829"/>
    <s v="Branch Transfer Out - Material"/>
    <s v="PIL2/DC/829"/>
    <d v="2020-03-07T00:00:00"/>
    <x v="3"/>
    <n v="3374"/>
    <n v="334795"/>
    <n v="99.227919383521041"/>
    <s v="MW"/>
    <n v="0"/>
    <n v="0"/>
    <n v="0"/>
    <n v="0"/>
    <n v="0"/>
    <n v="0"/>
    <n v="0"/>
    <n v="0"/>
    <s v="24AAACO3087C1ZT"/>
    <s v="KGS"/>
    <n v="39269080"/>
    <s v="Rs."/>
    <n v="1"/>
  </r>
  <r>
    <d v="2020-03-07T00:00:00"/>
    <s v="Plastene India Limited - Unit 8"/>
    <s v="Branch Transfer Out"/>
    <s v="PIL2/DC/828"/>
    <s v="Branch Transfer Out - Material"/>
    <s v="PIL2/DC/828"/>
    <d v="2020-03-07T00:00:00"/>
    <x v="13"/>
    <n v="4080"/>
    <n v="81600"/>
    <n v="20"/>
    <s v="RP"/>
    <n v="81600"/>
    <n v="0"/>
    <n v="0"/>
    <n v="0"/>
    <n v="0"/>
    <n v="0"/>
    <n v="0"/>
    <n v="0"/>
    <s v="24AAACO3087C1ZT"/>
    <s v="KGS"/>
    <n v="39029000"/>
    <s v="Rs."/>
    <n v="1"/>
  </r>
  <r>
    <d v="2020-03-07T00:00:00"/>
    <s v="Plastene Polyflims Limited"/>
    <s v="Sales"/>
    <n v="652"/>
    <s v="Sales  - Within State  Manufactured Goods"/>
    <s v="PIL2/D/652"/>
    <d v="2020-03-07T00:00:00"/>
    <x v="3"/>
    <n v="2993.6"/>
    <n v="297049"/>
    <n v="99.228019775521119"/>
    <s v="MW"/>
    <n v="805913"/>
    <n v="9"/>
    <n v="26734.400000000001"/>
    <n v="9"/>
    <n v="26734.400000000001"/>
    <n v="0"/>
    <n v="0"/>
    <n v="53468.800000000003"/>
    <s v="24AAFCP2956A1ZR"/>
    <s v="KGS"/>
    <n v="39269080"/>
    <s v="Rs."/>
    <n v="1"/>
  </r>
  <r>
    <d v="2020-03-07T00:00:00"/>
    <s v="Plastene Polyflims Limited"/>
    <s v="Sales"/>
    <n v="652"/>
    <s v="Sales  - Within State  Manufactured Goods"/>
    <s v="PIL2/D/652"/>
    <d v="2020-03-07T00:00:00"/>
    <x v="3"/>
    <n v="3284.6"/>
    <n v="335778"/>
    <n v="102.22797296474457"/>
    <s v="COLOUR"/>
    <n v="0"/>
    <n v="9"/>
    <n v="30220.03"/>
    <n v="9"/>
    <n v="30220.03"/>
    <n v="0"/>
    <n v="0"/>
    <n v="60440.06"/>
    <s v="24AAFCP2956A1ZR"/>
    <s v="KGS"/>
    <n v="39269080"/>
    <s v="Rs."/>
    <n v="1"/>
  </r>
  <r>
    <d v="2020-03-07T00:00:00"/>
    <s v="Plastene Polyflims Limited"/>
    <s v="Sales"/>
    <n v="652"/>
    <s v="Sales  - Within State  Manufactured Goods"/>
    <s v="PIL2/D/652"/>
    <d v="2020-03-07T00:00:00"/>
    <x v="0"/>
    <n v="505.4"/>
    <n v="50150"/>
    <n v="99.228333992876927"/>
    <s v="MW"/>
    <n v="0"/>
    <n v="9"/>
    <n v="4513.4799999999996"/>
    <n v="9"/>
    <n v="4513.4799999999996"/>
    <n v="0"/>
    <n v="0"/>
    <n v="9026.9599999999991"/>
    <s v="24AAFCP2956A1ZR"/>
    <s v="KGS"/>
    <n v="39269080"/>
    <s v="Rs."/>
    <n v="1"/>
  </r>
  <r>
    <d v="2020-03-08T00:00:00"/>
    <s v="JET TECH PVT LTD"/>
    <s v="Sales"/>
    <n v="659"/>
    <s v="Sales  - Within State  Manufactured Goods"/>
    <s v="PIL2/D/659"/>
    <d v="2020-03-08T00:00:00"/>
    <x v="3"/>
    <n v="3642"/>
    <n v="388711"/>
    <n v="106.73009335529929"/>
    <s v="PP UV FLAT FABRIC 117 CM WITH 165 GSM UNLAMINATED MW HAVING NINE MARKING 3.5+12+8+17+36+17+8+12+3.5 FABRIC STRENTH 170 KG MINIMUM"/>
    <n v="729563"/>
    <n v="9"/>
    <n v="34983.96"/>
    <n v="9"/>
    <n v="34983.96"/>
    <n v="0"/>
    <n v="0"/>
    <n v="69967.92"/>
    <s v="24AAACJ5890J1ZC"/>
    <s v="KGS"/>
    <n v="39269080"/>
    <s v="Rs."/>
    <n v="1"/>
  </r>
  <r>
    <d v="2020-03-08T00:00:00"/>
    <s v="JET TECH PVT LTD"/>
    <s v="Sales"/>
    <n v="659"/>
    <s v="Sales  - Within State  Manufactured Goods"/>
    <s v="PIL2/D/659"/>
    <d v="2020-03-08T00:00:00"/>
    <x v="0"/>
    <n v="2272.9"/>
    <n v="229563"/>
    <n v="101.00004399665625"/>
    <s v="RAFIA UV BELT 60 MM 38 GPM MINIMUM STRENGHT 1450 KGS BLACK COLOUR 2% UV"/>
    <n v="0"/>
    <n v="9"/>
    <n v="20660.66"/>
    <n v="9"/>
    <n v="20660.66"/>
    <n v="0"/>
    <n v="0"/>
    <n v="41321.32"/>
    <s v="24AAACJ5890J1ZC"/>
    <s v="KGS"/>
    <n v="39269080"/>
    <s v="Rs."/>
    <n v="1"/>
  </r>
  <r>
    <d v="2020-03-08T00:00:00"/>
    <s v="Oswal Overseas"/>
    <s v="Sales"/>
    <n v="657"/>
    <s v="Sales  - Within State  Manufactured Goods"/>
    <s v="PIL2/D/657"/>
    <d v="2020-03-08T00:00:00"/>
    <x v="3"/>
    <n v="1000"/>
    <n v="85934"/>
    <n v="85.933999999999997"/>
    <s v="MW"/>
    <n v="101402"/>
    <n v="9"/>
    <n v="7734.07"/>
    <n v="9"/>
    <n v="7734.07"/>
    <n v="0"/>
    <n v="0"/>
    <n v="15468.14"/>
    <s v="24AAAFO9978R1Z8"/>
    <s v="KGS"/>
    <n v="39269080"/>
    <s v="Rs."/>
    <n v="1"/>
  </r>
  <r>
    <d v="2020-03-08T00:00:00"/>
    <s v="Oswal Overseas"/>
    <s v="Sales"/>
    <n v="658"/>
    <s v="Sales  - Within State  Manufactured Goods"/>
    <s v="PIL2/D/658"/>
    <d v="2020-03-08T00:00:00"/>
    <x v="2"/>
    <n v="7988.5"/>
    <n v="684562"/>
    <n v="85.693434311823239"/>
    <s v="."/>
    <n v="807783"/>
    <n v="9"/>
    <n v="61610.559999999998"/>
    <n v="9"/>
    <n v="61610.559999999998"/>
    <n v="0"/>
    <n v="0"/>
    <n v="123221.12"/>
    <s v="24AAAFO9978R1Z8"/>
    <s v="KGS"/>
    <n v="39269080"/>
    <s v="Rs."/>
    <n v="1"/>
  </r>
  <r>
    <d v="2020-03-08T00:00:00"/>
    <s v="Plastene India Limited - Unit 6"/>
    <s v="Branch Transfer Out"/>
    <s v="PIL2/DC/832"/>
    <s v="Branch Transfer Out - Material"/>
    <s v="PIL2/DC/832"/>
    <d v="2020-03-08T00:00:00"/>
    <x v="3"/>
    <n v="1776"/>
    <n v="181557"/>
    <n v="102.22804054054055"/>
    <s v="COLOUR"/>
    <n v="529252"/>
    <n v="0"/>
    <n v="0"/>
    <n v="0"/>
    <n v="0"/>
    <n v="0"/>
    <n v="0"/>
    <n v="0"/>
    <s v="24AAACO3087C1ZT"/>
    <s v="KGS"/>
    <n v="39269080"/>
    <s v="Rs."/>
    <n v="1"/>
  </r>
  <r>
    <d v="2020-03-08T00:00:00"/>
    <s v="Plastene India Limited - Unit 6"/>
    <s v="Branch Transfer Out"/>
    <s v="PIL2/DC/832"/>
    <s v="Branch Transfer Out - Material"/>
    <s v="PIL2/DC/832"/>
    <d v="2020-03-08T00:00:00"/>
    <x v="3"/>
    <n v="3504"/>
    <n v="347695"/>
    <n v="99.228025114155244"/>
    <s v="MW"/>
    <n v="0"/>
    <n v="0"/>
    <n v="0"/>
    <n v="0"/>
    <n v="0"/>
    <n v="0"/>
    <n v="0"/>
    <n v="0"/>
    <s v="24AAACO3087C1ZT"/>
    <s v="KGS"/>
    <n v="39269080"/>
    <s v="Rs."/>
    <n v="1"/>
  </r>
  <r>
    <d v="2020-03-08T00:00:00"/>
    <s v="Plastene India Limited - Unit 8"/>
    <s v="Branch Transfer Out"/>
    <s v="PIL2/DC/831"/>
    <s v="Branch Transfer Out - Material"/>
    <s v="PIL2/DC/831"/>
    <d v="2020-03-08T00:00:00"/>
    <x v="10"/>
    <n v="805"/>
    <n v="12075"/>
    <n v="15"/>
    <s v="."/>
    <n v="12075"/>
    <n v="0"/>
    <n v="0"/>
    <n v="0"/>
    <n v="0"/>
    <n v="0"/>
    <n v="0"/>
    <n v="0"/>
    <s v="24AAACO3087C1ZT"/>
    <s v="KGS"/>
    <n v="39159029"/>
    <s v="Rs."/>
    <n v="1"/>
  </r>
  <r>
    <d v="2020-03-08T00:00:00"/>
    <s v="Plastene India Limited - Unit 8"/>
    <s v="Branch Transfer Out"/>
    <s v="PIL2/DC/834"/>
    <s v="Branch Transfer Out - Material"/>
    <s v="PIL2/DC/834"/>
    <d v="2020-03-08T00:00:00"/>
    <x v="13"/>
    <n v="10020"/>
    <n v="200400"/>
    <n v="20"/>
    <s v="."/>
    <n v="200400"/>
    <n v="0"/>
    <n v="0"/>
    <n v="0"/>
    <n v="0"/>
    <n v="0"/>
    <n v="0"/>
    <n v="0"/>
    <s v="24AAACO3087C1ZT"/>
    <s v="KGS"/>
    <n v="39029000"/>
    <s v="Rs."/>
    <n v="1"/>
  </r>
  <r>
    <d v="2020-03-08T00:00:00"/>
    <s v="Plastene Polyflims Limited"/>
    <s v="Sales"/>
    <n v="655"/>
    <s v="Sales  - Within State  Manufactured Goods"/>
    <s v="PIL2/D/655"/>
    <d v="2020-03-08T00:00:00"/>
    <x v="0"/>
    <n v="303.3"/>
    <n v="30096"/>
    <n v="99.228486646884264"/>
    <s v="MW"/>
    <n v="359437"/>
    <n v="9"/>
    <n v="2708.63"/>
    <n v="9"/>
    <n v="2708.63"/>
    <n v="0"/>
    <n v="0"/>
    <n v="5417.26"/>
    <s v="24AAFCP2956A1ZR"/>
    <s v="KGS"/>
    <n v="39269080"/>
    <s v="Rs."/>
    <n v="1"/>
  </r>
  <r>
    <d v="2020-03-08T00:00:00"/>
    <s v="Plastene Polyflims Limited"/>
    <s v="Sales"/>
    <n v="655"/>
    <s v="Sales  - Within State  Manufactured Goods"/>
    <s v="PIL2/D/655"/>
    <d v="2020-03-08T00:00:00"/>
    <x v="0"/>
    <n v="716.2"/>
    <n v="73216"/>
    <n v="102.22842781345992"/>
    <s v="COLOUR"/>
    <n v="0"/>
    <n v="9"/>
    <n v="6589.41"/>
    <n v="9"/>
    <n v="6589.41"/>
    <n v="0"/>
    <n v="0"/>
    <n v="13178.82"/>
    <s v="24AAFCP2956A1ZR"/>
    <s v="KGS"/>
    <n v="39269080"/>
    <s v="Rs."/>
    <n v="1"/>
  </r>
  <r>
    <d v="2020-03-08T00:00:00"/>
    <s v="Plastene Polyflims Limited"/>
    <s v="Sales"/>
    <n v="655"/>
    <s v="Sales  - Within State  Manufactured Goods"/>
    <s v="PIL2/D/655"/>
    <d v="2020-03-08T00:00:00"/>
    <x v="3"/>
    <n v="951"/>
    <n v="94366"/>
    <n v="99.228180862250269"/>
    <s v="MW"/>
    <n v="0"/>
    <n v="9"/>
    <n v="8492.92"/>
    <n v="9"/>
    <n v="8492.92"/>
    <n v="0"/>
    <n v="0"/>
    <n v="16985.84"/>
    <s v="24AAFCP2956A1ZR"/>
    <s v="KGS"/>
    <n v="39269080"/>
    <s v="Rs."/>
    <n v="1"/>
  </r>
  <r>
    <d v="2020-03-08T00:00:00"/>
    <s v="Plastene Polyflims Limited"/>
    <s v="Sales"/>
    <n v="655"/>
    <s v="Sales  - Within State  Manufactured Goods"/>
    <s v="PIL2/D/655"/>
    <d v="2020-03-08T00:00:00"/>
    <x v="3"/>
    <n v="1046"/>
    <n v="106930"/>
    <n v="102.22753346080306"/>
    <s v="SPOUT"/>
    <n v="0"/>
    <n v="9"/>
    <n v="9623.74"/>
    <n v="9"/>
    <n v="9623.74"/>
    <n v="0"/>
    <n v="0"/>
    <n v="19247.48"/>
    <s v="24AAFCP2956A1ZR"/>
    <s v="KGS"/>
    <n v="39269080"/>
    <s v="Rs."/>
    <n v="1"/>
  </r>
  <r>
    <d v="2020-03-09T00:00:00"/>
    <s v="PLASTENE INDIA LIMITED"/>
    <s v="Branch Transfer Out"/>
    <s v="PIL2/DC/836"/>
    <s v="Branch Transfer Out - Material"/>
    <s v="PIL2/DC/836"/>
    <d v="2020-03-09T00:00:00"/>
    <x v="1"/>
    <n v="5622"/>
    <n v="906210"/>
    <n v="161.18996798292423"/>
    <s v="."/>
    <n v="1247117"/>
    <n v="0"/>
    <n v="0"/>
    <n v="0"/>
    <n v="0"/>
    <n v="0"/>
    <n v="0"/>
    <n v="0"/>
    <s v="24AAACO3087C1ZT"/>
    <s v="KGS"/>
    <n v="39232990"/>
    <s v="Rs."/>
    <n v="1"/>
  </r>
  <r>
    <d v="2020-03-09T00:00:00"/>
    <s v="PLASTENE INDIA LIMITED"/>
    <s v="Branch Transfer Out"/>
    <s v="PIL2/DC/836"/>
    <s v="Branch Transfer Out - Material"/>
    <s v="PIL2/DC/836"/>
    <d v="2020-03-09T00:00:00"/>
    <x v="1"/>
    <n v="2475"/>
    <n v="340907"/>
    <n v="137.74020202020202"/>
    <s v="."/>
    <n v="0"/>
    <n v="0"/>
    <n v="0"/>
    <n v="0"/>
    <n v="0"/>
    <n v="0"/>
    <n v="0"/>
    <n v="0"/>
    <s v="24AAACO3087C1ZT"/>
    <s v="KGS"/>
    <n v="39232990"/>
    <s v="Rs."/>
    <n v="1"/>
  </r>
  <r>
    <d v="2020-03-09T00:00:00"/>
    <s v="Plastene India Limited - Unit 6"/>
    <s v="Branch Transfer Out"/>
    <s v="PIL2/DC/835"/>
    <s v="Branch Transfer Out - Material"/>
    <s v="PIL2/DC/835"/>
    <d v="2020-03-09T00:00:00"/>
    <x v="3"/>
    <n v="7048"/>
    <n v="699359"/>
    <n v="99.228007945516453"/>
    <s v="MW"/>
    <n v="699359"/>
    <n v="0"/>
    <n v="0"/>
    <n v="0"/>
    <n v="0"/>
    <n v="0"/>
    <n v="0"/>
    <n v="0"/>
    <s v="24AAACO3087C1ZT"/>
    <s v="KGS"/>
    <n v="39269080"/>
    <s v="Rs."/>
    <n v="1"/>
  </r>
  <r>
    <d v="2020-03-09T00:00:00"/>
    <s v="Plastene India Limited - Unit 6"/>
    <s v="Branch Transfer Out"/>
    <s v="PIL2/DC/837"/>
    <s v="Branch Transfer Out - Material"/>
    <s v="PIL2/DC/837"/>
    <d v="2020-03-09T00:00:00"/>
    <x v="3"/>
    <n v="1238"/>
    <n v="126558"/>
    <n v="102.22778675282714"/>
    <s v="COLOUR"/>
    <n v="432528"/>
    <n v="0"/>
    <n v="0"/>
    <n v="0"/>
    <n v="0"/>
    <n v="0"/>
    <n v="0"/>
    <n v="0"/>
    <s v="24AAACO3087C1ZT"/>
    <s v="KGS"/>
    <n v="39269080"/>
    <s v="Rs."/>
    <n v="1"/>
  </r>
  <r>
    <d v="2020-03-09T00:00:00"/>
    <s v="Plastene India Limited - Unit 6"/>
    <s v="Branch Transfer Out"/>
    <s v="PIL2/DC/837"/>
    <s v="Branch Transfer Out - Material"/>
    <s v="PIL2/DC/837"/>
    <d v="2020-03-09T00:00:00"/>
    <x v="3"/>
    <n v="2144"/>
    <n v="212745"/>
    <n v="99.228078358208961"/>
    <s v="MW"/>
    <n v="0"/>
    <n v="0"/>
    <n v="0"/>
    <n v="0"/>
    <n v="0"/>
    <n v="0"/>
    <n v="0"/>
    <n v="0"/>
    <s v="24AAACO3087C1ZT"/>
    <s v="KGS"/>
    <n v="39269080"/>
    <s v="Rs."/>
    <n v="1"/>
  </r>
  <r>
    <d v="2020-03-09T00:00:00"/>
    <s v="Plastene India Limited - Unit 6"/>
    <s v="Branch Transfer Out"/>
    <s v="PIL2/DC/837"/>
    <s v="Branch Transfer Out - Material"/>
    <s v="PIL2/DC/837"/>
    <d v="2020-03-09T00:00:00"/>
    <x v="0"/>
    <n v="939.5"/>
    <n v="93225"/>
    <n v="99.228312932410859"/>
    <s v="MW"/>
    <n v="0"/>
    <n v="0"/>
    <n v="0"/>
    <n v="0"/>
    <n v="0"/>
    <n v="0"/>
    <n v="0"/>
    <n v="0"/>
    <s v="24AAACO3087C1ZT"/>
    <s v="KGS"/>
    <n v="39269080"/>
    <s v="Rs."/>
    <n v="1"/>
  </r>
  <r>
    <d v="2020-03-09T00:00:00"/>
    <s v="Plastene Polyflims Limited"/>
    <s v="Sales"/>
    <n v="660"/>
    <s v="Sales  - Within State  Manufactured Goods"/>
    <s v="PIL2/D/660"/>
    <d v="2020-03-09T00:00:00"/>
    <x v="3"/>
    <n v="3150"/>
    <n v="312568"/>
    <n v="99.227936507936505"/>
    <s v="MW"/>
    <n v="368830"/>
    <n v="9"/>
    <n v="28131.14"/>
    <n v="9"/>
    <n v="28131.14"/>
    <n v="0"/>
    <n v="0"/>
    <n v="56262.28"/>
    <s v="24AAFCP2956A1ZR"/>
    <s v="KGS"/>
    <n v="39269080"/>
    <s v="Rs."/>
    <n v="1"/>
  </r>
  <r>
    <d v="2020-03-09T00:00:00"/>
    <s v="Plastene Polyflims Limited"/>
    <s v="Sales"/>
    <n v="662"/>
    <s v="Sales  - Within State  Manufactured Goods"/>
    <s v="PIL2/D/662"/>
    <d v="2020-03-09T00:00:00"/>
    <x v="3"/>
    <n v="2417"/>
    <n v="239834"/>
    <n v="99.227968556061228"/>
    <s v="."/>
    <n v="455158"/>
    <n v="9"/>
    <n v="21585.07"/>
    <n v="9"/>
    <n v="21585.07"/>
    <n v="0"/>
    <n v="0"/>
    <n v="43170.14"/>
    <s v="24AAFCP2956A1ZR"/>
    <s v="KGS"/>
    <n v="39269080"/>
    <s v="Rs."/>
    <n v="1"/>
  </r>
  <r>
    <d v="2020-03-09T00:00:00"/>
    <s v="Plastene Polyflims Limited"/>
    <s v="Sales"/>
    <n v="662"/>
    <s v="Sales  - Within State  Manufactured Goods"/>
    <s v="PIL2/D/662"/>
    <d v="2020-03-09T00:00:00"/>
    <x v="0"/>
    <n v="538.5"/>
    <n v="55050"/>
    <n v="102.2284122562674"/>
    <s v="COLOUR"/>
    <n v="0"/>
    <n v="9"/>
    <n v="4954.4799999999996"/>
    <n v="9"/>
    <n v="4954.4799999999996"/>
    <n v="0"/>
    <n v="0"/>
    <n v="9908.9599999999991"/>
    <s v="24AAFCP2956A1ZR"/>
    <s v="KGS"/>
    <n v="39269080"/>
    <s v="Rs."/>
    <n v="1"/>
  </r>
  <r>
    <d v="2020-03-09T00:00:00"/>
    <s v="Plastene Polyflims Limited"/>
    <s v="Sales"/>
    <n v="662"/>
    <s v="Sales  - Within State  Manufactured Goods"/>
    <s v="PIL2/D/662"/>
    <d v="2020-03-09T00:00:00"/>
    <x v="0"/>
    <n v="915.5"/>
    <n v="90843"/>
    <n v="99.227744401966135"/>
    <s v="MW"/>
    <n v="0"/>
    <n v="9"/>
    <n v="8175.89"/>
    <n v="9"/>
    <n v="8175.89"/>
    <n v="0"/>
    <n v="0"/>
    <n v="16351.78"/>
    <s v="24AAFCP2956A1ZR"/>
    <s v="KGS"/>
    <n v="39269080"/>
    <s v="Rs."/>
    <n v="1"/>
  </r>
  <r>
    <d v="2020-03-11T00:00:00"/>
    <s v="Oswal Extrusion Limited - Unit 3"/>
    <s v="Sales"/>
    <n v="669"/>
    <s v="Sales  - Within State  Manufactured Goods"/>
    <s v="PIL2/D/669"/>
    <d v="2020-03-11T00:00:00"/>
    <x v="1"/>
    <n v="9818.7999999999993"/>
    <n v="1244435"/>
    <n v="126.74002933148654"/>
    <s v="."/>
    <n v="1468433"/>
    <n v="9"/>
    <n v="111999.12"/>
    <n v="9"/>
    <n v="111999.12"/>
    <n v="0"/>
    <n v="0"/>
    <n v="223998.24"/>
    <s v="24AAACO7290H2ZD"/>
    <s v="KGS"/>
    <n v="39232990"/>
    <s v="Rs."/>
    <n v="1"/>
  </r>
  <r>
    <d v="2020-03-11T00:00:00"/>
    <s v="Oswal Overseas"/>
    <s v="Sales"/>
    <n v="665"/>
    <s v="Sales  - Within State  Manufactured Goods"/>
    <s v="PIL2/D/665"/>
    <d v="2020-03-11T00:00:00"/>
    <x v="1"/>
    <n v="3692"/>
    <n v="503096"/>
    <n v="136.26652221018418"/>
    <s v="."/>
    <n v="593653"/>
    <n v="9"/>
    <n v="45278.66"/>
    <n v="9"/>
    <n v="45278.66"/>
    <n v="0"/>
    <n v="0"/>
    <n v="90557.32"/>
    <s v="24AAAFO9978R1Z8"/>
    <s v="KGS"/>
    <n v="39232990"/>
    <s v="Rs."/>
    <n v="1"/>
  </r>
  <r>
    <d v="2020-03-11T00:00:00"/>
    <s v="Oswal Overseas"/>
    <s v="Sales"/>
    <n v="666"/>
    <s v="Sales  - Within State  Manufactured Goods"/>
    <s v="PIL2/D/666"/>
    <d v="2020-03-11T00:00:00"/>
    <x v="11"/>
    <n v="4426.6000000000004"/>
    <n v="603198"/>
    <n v="136.26666064247954"/>
    <s v="."/>
    <n v="711773"/>
    <n v="9"/>
    <n v="54287.78"/>
    <n v="9"/>
    <n v="54287.78"/>
    <n v="0"/>
    <n v="0"/>
    <n v="108575.56"/>
    <s v="24AAAFO9978R1Z8"/>
    <s v="KGS"/>
    <n v="39232990"/>
    <s v="Rs."/>
    <n v="1"/>
  </r>
  <r>
    <d v="2020-03-11T00:00:00"/>
    <s v="PLASTENE INDIA LIMITED"/>
    <s v="Branch Transfer Out"/>
    <s v="PIL2/DC/841"/>
    <s v="Branch Transfer Out - Material"/>
    <s v="PIL2/DC/841"/>
    <d v="2020-03-11T00:00:00"/>
    <x v="1"/>
    <n v="19385.3"/>
    <n v="3553325"/>
    <n v="183.29997472311496"/>
    <s v="."/>
    <n v="3553325"/>
    <n v="0"/>
    <n v="0"/>
    <n v="0"/>
    <n v="0"/>
    <n v="0"/>
    <n v="0"/>
    <n v="0"/>
    <s v="24AAACO3087C1ZT"/>
    <s v="KGS"/>
    <n v="39232990"/>
    <s v="Rs."/>
    <n v="1"/>
  </r>
  <r>
    <d v="2020-03-11T00:00:00"/>
    <s v="PLASTENE INDIA LIMITED"/>
    <s v="Branch Transfer Out"/>
    <s v="PIL2/DC/842"/>
    <s v="Branch Transfer Out - Material"/>
    <s v="PIL2/DC/842"/>
    <d v="2020-03-11T00:00:00"/>
    <x v="7"/>
    <n v="5000"/>
    <n v="147500"/>
    <n v="29.5"/>
    <s v="MW"/>
    <n v="1024310"/>
    <n v="0"/>
    <n v="0"/>
    <n v="0"/>
    <n v="0"/>
    <n v="0"/>
    <n v="0"/>
    <n v="0"/>
    <s v="24AAACO3087C1ZT"/>
    <s v="KGS"/>
    <n v="32041990"/>
    <s v="Rs."/>
    <n v="1"/>
  </r>
  <r>
    <d v="2020-03-11T00:00:00"/>
    <s v="PLASTENE INDIA LIMITED"/>
    <s v="Branch Transfer Out"/>
    <s v="PIL2/DC/842"/>
    <s v="Branch Transfer Out - Material"/>
    <s v="PIL2/DC/842"/>
    <d v="2020-03-11T00:00:00"/>
    <x v="8"/>
    <n v="11000"/>
    <n v="876810"/>
    <n v="79.709999999999994"/>
    <s v="GRANUALS"/>
    <n v="0"/>
    <n v="0"/>
    <n v="0"/>
    <n v="0"/>
    <n v="0"/>
    <n v="0"/>
    <n v="0"/>
    <n v="0"/>
    <s v="24AAACO3087C1ZT"/>
    <s v="KGS"/>
    <n v="39021000"/>
    <s v="Rs."/>
    <n v="1"/>
  </r>
  <r>
    <d v="2020-03-11T00:00:00"/>
    <s v="Plastene India Limited - Unit 6"/>
    <s v="Branch Transfer Out"/>
    <s v="PIL2/DC/839"/>
    <s v="Branch Transfer Out - Material"/>
    <s v="PIL2/DC/839"/>
    <d v="2020-03-11T00:00:00"/>
    <x v="3"/>
    <n v="1248"/>
    <n v="127581"/>
    <n v="102.22836538461539"/>
    <s v="COLOUR"/>
    <n v="506364"/>
    <n v="0"/>
    <n v="0"/>
    <n v="0"/>
    <n v="0"/>
    <n v="0"/>
    <n v="0"/>
    <n v="0"/>
    <s v="24AAACO3087C1ZT"/>
    <s v="KGS"/>
    <n v="39269080"/>
    <s v="Rs."/>
    <n v="1"/>
  </r>
  <r>
    <d v="2020-03-11T00:00:00"/>
    <s v="Plastene India Limited - Unit 6"/>
    <s v="Branch Transfer Out"/>
    <s v="PIL2/DC/839"/>
    <s v="Branch Transfer Out - Material"/>
    <s v="PIL2/DC/839"/>
    <d v="2020-03-11T00:00:00"/>
    <x v="3"/>
    <n v="3423"/>
    <n v="339657"/>
    <n v="99.227870289219979"/>
    <s v="MW"/>
    <n v="0"/>
    <n v="0"/>
    <n v="0"/>
    <n v="0"/>
    <n v="0"/>
    <n v="0"/>
    <n v="0"/>
    <n v="0"/>
    <s v="24AAACO3087C1ZT"/>
    <s v="KGS"/>
    <n v="39269080"/>
    <s v="Rs."/>
    <n v="1"/>
  </r>
  <r>
    <d v="2020-03-11T00:00:00"/>
    <s v="Plastene India Limited - Unit 6"/>
    <s v="Branch Transfer Out"/>
    <s v="PIL2/DC/839"/>
    <s v="Branch Transfer Out - Material"/>
    <s v="PIL2/DC/839"/>
    <d v="2020-03-11T00:00:00"/>
    <x v="0"/>
    <n v="394.3"/>
    <n v="39126"/>
    <n v="99.229013441541966"/>
    <s v="MW"/>
    <n v="0"/>
    <n v="0"/>
    <n v="0"/>
    <n v="0"/>
    <n v="0"/>
    <n v="0"/>
    <n v="0"/>
    <n v="0"/>
    <s v="24AAACO3087C1ZT"/>
    <s v="KGS"/>
    <n v="39269080"/>
    <s v="Rs."/>
    <n v="1"/>
  </r>
  <r>
    <d v="2020-03-11T00:00:00"/>
    <s v="Plastene Polyflims Limited"/>
    <s v="Sales"/>
    <n v="667"/>
    <s v="Sales  - Within State  Manufactured Goods"/>
    <s v="PIL2/D/667"/>
    <d v="2020-03-11T00:00:00"/>
    <x v="0"/>
    <n v="824.6"/>
    <n v="81823"/>
    <n v="99.227504244482176"/>
    <s v="MW"/>
    <n v="435854"/>
    <n v="9"/>
    <n v="7364.11"/>
    <n v="9"/>
    <n v="7364.11"/>
    <n v="0"/>
    <n v="0"/>
    <n v="14728.22"/>
    <s v="24AAFCP2956A1ZR"/>
    <s v="KGS"/>
    <n v="39269080"/>
    <s v="Rs."/>
    <n v="1"/>
  </r>
  <r>
    <d v="2020-03-11T00:00:00"/>
    <s v="Plastene Polyflims Limited"/>
    <s v="Sales"/>
    <n v="667"/>
    <s v="Sales  - Within State  Manufactured Goods"/>
    <s v="PIL2/D/667"/>
    <d v="2020-03-11T00:00:00"/>
    <x v="3"/>
    <n v="586"/>
    <n v="59320"/>
    <n v="101.22866894197952"/>
    <s v="SPOUT"/>
    <n v="0"/>
    <n v="9"/>
    <n v="5338.76"/>
    <n v="9"/>
    <n v="5338.76"/>
    <n v="0"/>
    <n v="0"/>
    <n v="10677.52"/>
    <s v="24AAFCP2956A1ZR"/>
    <s v="KGS"/>
    <n v="39269080"/>
    <s v="Rs."/>
    <n v="1"/>
  </r>
  <r>
    <d v="2020-03-11T00:00:00"/>
    <s v="Plastene Polyflims Limited"/>
    <s v="Sales"/>
    <n v="667"/>
    <s v="Sales  - Within State  Manufactured Goods"/>
    <s v="PIL2/D/667"/>
    <d v="2020-03-11T00:00:00"/>
    <x v="3"/>
    <n v="2300"/>
    <n v="228224"/>
    <n v="99.227826086956526"/>
    <s v="MW"/>
    <n v="0"/>
    <n v="9"/>
    <n v="20540.2"/>
    <n v="9"/>
    <n v="20540.2"/>
    <n v="0"/>
    <n v="0"/>
    <n v="41080.400000000001"/>
    <s v="24AAFCP2956A1ZR"/>
    <s v="KGS"/>
    <n v="39269080"/>
    <s v="Rs."/>
    <n v="1"/>
  </r>
  <r>
    <d v="2020-03-12T00:00:00"/>
    <s v="HD MICRONS LIMITED"/>
    <s v="Sales"/>
    <n v="672"/>
    <s v="Sales  - Within State  Manufactured Goods"/>
    <s v="PIL2/D/672"/>
    <d v="2020-03-12T00:00:00"/>
    <x v="1"/>
    <n v="130"/>
    <n v="19500"/>
    <n v="150"/>
    <s v="90X90X102"/>
    <n v="23010"/>
    <n v="9"/>
    <n v="1755"/>
    <n v="9"/>
    <n v="1755"/>
    <n v="0"/>
    <n v="0"/>
    <n v="3510"/>
    <s v="24AACCH0908F1Z4"/>
    <s v="KGS"/>
    <n v="39232990"/>
    <s v="Rs."/>
    <n v="1"/>
  </r>
  <r>
    <d v="2020-03-12T00:00:00"/>
    <s v="Oswal Extrusion Limited - Unit 3"/>
    <s v="Sales"/>
    <n v="676"/>
    <s v="Sales  - Within State  Manufactured Goods"/>
    <s v="PIL2/D/676"/>
    <d v="2020-03-12T00:00:00"/>
    <x v="1"/>
    <n v="9790.7999999999993"/>
    <n v="1240886"/>
    <n v="126.7400008170936"/>
    <s v="."/>
    <n v="1464245"/>
    <n v="9"/>
    <n v="111679.74"/>
    <n v="9"/>
    <n v="111679.74"/>
    <n v="0"/>
    <n v="0"/>
    <n v="223359.48"/>
    <s v="24AAACO7290H2ZD"/>
    <s v="KGS"/>
    <n v="39232990"/>
    <s v="Rs."/>
    <n v="1"/>
  </r>
  <r>
    <d v="2020-03-12T00:00:00"/>
    <s v="Oswal Overseas"/>
    <s v="Sales"/>
    <n v="670"/>
    <s v="Sales  - Within State  Manufactured Goods"/>
    <s v="PIL2/D/670"/>
    <d v="2020-03-12T00:00:00"/>
    <x v="1"/>
    <n v="7426"/>
    <n v="1011916"/>
    <n v="136.26663075680042"/>
    <s v="."/>
    <n v="1194060"/>
    <n v="9"/>
    <n v="91072.4"/>
    <n v="9"/>
    <n v="91072.4"/>
    <n v="0"/>
    <n v="0"/>
    <n v="182144.8"/>
    <s v="24AAAFO9978R1Z8"/>
    <s v="KGS"/>
    <n v="39232990"/>
    <s v="Rs."/>
    <n v="1"/>
  </r>
  <r>
    <d v="2020-03-12T00:00:00"/>
    <s v="Oswal Overseas"/>
    <s v="Sales"/>
    <n v="671"/>
    <s v="Sales  - Within State  Manufactured Goods"/>
    <s v="PIL2/D/671"/>
    <d v="2020-03-12T00:00:00"/>
    <x v="3"/>
    <n v="1596"/>
    <n v="136767"/>
    <n v="85.693609022556387"/>
    <s v="MW"/>
    <n v="161385"/>
    <n v="9"/>
    <n v="12309"/>
    <n v="9"/>
    <n v="12309"/>
    <n v="0"/>
    <n v="0"/>
    <n v="24618"/>
    <s v="24AAAFO9978R1Z8"/>
    <s v="KGS"/>
    <n v="39269080"/>
    <s v="Rs."/>
    <n v="1"/>
  </r>
  <r>
    <d v="2020-03-12T00:00:00"/>
    <s v="Plastene India Limited - Unit 6"/>
    <s v="Branch Transfer Out"/>
    <s v="PIL2/DC/843"/>
    <s v="Branch Transfer Out - Material"/>
    <s v="PIL2/DC/843"/>
    <d v="2020-03-12T00:00:00"/>
    <x v="3"/>
    <n v="191"/>
    <n v="19526"/>
    <n v="102.2303664921466"/>
    <s v="COLOUR"/>
    <n v="185534"/>
    <n v="0"/>
    <n v="0"/>
    <n v="0"/>
    <n v="0"/>
    <n v="0"/>
    <n v="0"/>
    <n v="0"/>
    <s v="24AAACO3087C1ZT"/>
    <s v="KGS"/>
    <n v="39269080"/>
    <s v="Rs."/>
    <n v="1"/>
  </r>
  <r>
    <d v="2020-03-12T00:00:00"/>
    <s v="Plastene India Limited - Unit 6"/>
    <s v="Branch Transfer Out"/>
    <s v="PIL2/DC/843"/>
    <s v="Branch Transfer Out - Material"/>
    <s v="PIL2/DC/843"/>
    <d v="2020-03-12T00:00:00"/>
    <x v="3"/>
    <n v="1673"/>
    <n v="166008"/>
    <n v="99.227734608487751"/>
    <s v="MW"/>
    <n v="0"/>
    <n v="0"/>
    <n v="0"/>
    <n v="0"/>
    <n v="0"/>
    <n v="0"/>
    <n v="0"/>
    <n v="0"/>
    <s v="24AAACO3087C1ZT"/>
    <s v="KGS"/>
    <n v="39269080"/>
    <s v="Rs."/>
    <n v="1"/>
  </r>
  <r>
    <d v="2020-03-12T00:00:00"/>
    <s v="Plastene Polyflims Limited"/>
    <s v="Sales"/>
    <n v="673"/>
    <s v="Sales  - Within State  Manufactured Goods"/>
    <s v="PIL2/D/673"/>
    <d v="2020-03-12T00:00:00"/>
    <x v="3"/>
    <n v="1218"/>
    <n v="120860"/>
    <n v="99.228243021346472"/>
    <s v="."/>
    <n v="142614"/>
    <n v="9"/>
    <n v="10877.37"/>
    <n v="9"/>
    <n v="10877.37"/>
    <n v="0"/>
    <n v="0"/>
    <n v="21754.74"/>
    <s v="24AAFCP2956A1ZR"/>
    <s v="KGS"/>
    <n v="39269080"/>
    <s v="Rs."/>
    <n v="1"/>
  </r>
  <r>
    <d v="2020-03-13T00:00:00"/>
    <s v="ANKUR CHEMFOOD LIMITED (CHOPADVA)"/>
    <s v="Sales"/>
    <n v="682"/>
    <s v="Sales  - Within State  Manufactured Goods"/>
    <s v="PIL2/D/682"/>
    <d v="2020-03-13T00:00:00"/>
    <x v="1"/>
    <n v="340"/>
    <n v="50000"/>
    <n v="147.05882352941177"/>
    <s v="."/>
    <n v="59000"/>
    <n v="9"/>
    <n v="4500"/>
    <n v="9"/>
    <n v="4500"/>
    <n v="0"/>
    <n v="0"/>
    <n v="9000"/>
    <s v="24AABCA8203F2Z7"/>
    <s v="KGS"/>
    <n v="39232990"/>
    <s v="Rs."/>
    <n v="1"/>
  </r>
  <r>
    <d v="2020-03-13T00:00:00"/>
    <s v="BALAJI FORMALIN PRIVATE LIMITED"/>
    <s v="Sales"/>
    <n v="678"/>
    <s v="Sales - Interstate - Manufactured Goods"/>
    <s v="PIL2/D/678"/>
    <d v="2020-03-13T00:00:00"/>
    <x v="1"/>
    <n v="3426"/>
    <n v="702000"/>
    <n v="204.90367775831874"/>
    <s v="105X105X65"/>
    <n v="828360"/>
    <n v="0"/>
    <n v="0"/>
    <n v="0"/>
    <n v="0"/>
    <n v="18"/>
    <n v="126360"/>
    <n v="126360"/>
    <s v="27AABCB7062K1ZJ"/>
    <s v="KGS"/>
    <n v="39232990"/>
    <s v="Rs."/>
    <n v="1"/>
  </r>
  <r>
    <d v="2020-03-13T00:00:00"/>
    <s v="HD MICRONS LIMITED"/>
    <s v="Sales"/>
    <n v="679"/>
    <s v="Sales  - Within State  Manufactured Goods"/>
    <s v="PIL2/D/679"/>
    <d v="2020-03-13T00:00:00"/>
    <x v="1"/>
    <n v="522"/>
    <n v="78000"/>
    <n v="149.42528735632183"/>
    <s v="90X90X102"/>
    <n v="92040"/>
    <n v="9"/>
    <n v="7020"/>
    <n v="9"/>
    <n v="7020"/>
    <n v="0"/>
    <n v="0"/>
    <n v="14040"/>
    <s v="24AACCH0908F1Z4"/>
    <s v="KGS"/>
    <n v="39232990"/>
    <s v="Rs."/>
    <n v="1"/>
  </r>
  <r>
    <d v="2020-03-13T00:00:00"/>
    <s v="Plastene India Limited - Unit 6"/>
    <s v="Branch Transfer Out"/>
    <s v="PIL2/DC/845"/>
    <s v="Branch Transfer Out - Material"/>
    <s v="PIL2/DC/845"/>
    <d v="2020-03-13T00:00:00"/>
    <x v="3"/>
    <n v="2072"/>
    <n v="195203"/>
    <n v="94.209942084942085"/>
    <s v="MW"/>
    <n v="195203"/>
    <n v="0"/>
    <n v="0"/>
    <n v="0"/>
    <n v="0"/>
    <n v="0"/>
    <n v="0"/>
    <n v="0"/>
    <s v="24AAACO3087C1ZT"/>
    <s v="KGS"/>
    <n v="39269080"/>
    <s v="Rs."/>
    <n v="1"/>
  </r>
  <r>
    <d v="2020-03-13T00:00:00"/>
    <s v="Plastene Polyflims Limited"/>
    <s v="Sales"/>
    <n v="680"/>
    <s v="Sales  - Within State  Manufactured Goods"/>
    <s v="PIL2/D/680"/>
    <d v="2020-03-13T00:00:00"/>
    <x v="3"/>
    <n v="2683"/>
    <n v="252765"/>
    <n v="94.209839731643683"/>
    <s v="MW"/>
    <n v="368594"/>
    <n v="9"/>
    <n v="22748.89"/>
    <n v="9"/>
    <n v="22748.89"/>
    <n v="0"/>
    <n v="0"/>
    <n v="45497.78"/>
    <s v="24AAFCP2956A1ZR"/>
    <s v="KGS"/>
    <n v="39269080"/>
    <s v="Rs."/>
    <n v="1"/>
  </r>
  <r>
    <d v="2020-03-13T00:00:00"/>
    <s v="Plastene Polyflims Limited"/>
    <s v="Sales"/>
    <n v="680"/>
    <s v="Sales  - Within State  Manufactured Goods"/>
    <s v="PIL2/D/680"/>
    <d v="2020-03-13T00:00:00"/>
    <x v="0"/>
    <n v="619.5"/>
    <n v="59602"/>
    <n v="96.209846650524611"/>
    <s v="MW"/>
    <n v="0"/>
    <n v="9"/>
    <n v="5364.19"/>
    <n v="9"/>
    <n v="5364.19"/>
    <n v="0"/>
    <n v="0"/>
    <n v="10728.38"/>
    <s v="24AAFCP2956A1ZR"/>
    <s v="KGS"/>
    <n v="39269080"/>
    <s v="Rs."/>
    <n v="1"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  <r>
    <m/>
    <m/>
    <m/>
    <m/>
    <m/>
    <m/>
    <m/>
    <x v="4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showDrill="0" useAutoFormatting="1" compact="0" compactData="0" gridDropZones="1">
  <location ref="N5:P18" firstHeaderRow="1" firstDataRow="2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1">
        <item h="1" x="6"/>
        <item x="1"/>
        <item x="3"/>
        <item x="13"/>
        <item h="1" x="4"/>
        <item x="2"/>
        <item x="0"/>
        <item x="10"/>
        <item h="1" m="1" x="19"/>
        <item x="8"/>
        <item x="7"/>
        <item x="12"/>
        <item h="1" m="1" x="18"/>
        <item x="9"/>
        <item x="11"/>
        <item h="1" m="1" x="17"/>
        <item h="1" m="1" x="16"/>
        <item h="1" m="1" x="14"/>
        <item h="1" m="1" x="15"/>
        <item h="1" x="5"/>
        <item t="default"/>
      </items>
    </pivotField>
    <pivotField dataField="1" compact="0" showAll="0"/>
    <pivotField dataField="1" compact="0" showAll="0"/>
    <pivotField compact="0" outline="0" subtotalTop="0" showAll="0" includeNewItemsInFilter="1" defaultSubtota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12">
    <i>
      <x v="1"/>
    </i>
    <i>
      <x v="2"/>
    </i>
    <i>
      <x v="3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9" baseField="0" baseItem="0"/>
  </dataFields>
  <formats count="7">
    <format dxfId="6">
      <pivotArea type="all" dataOnly="0" outline="0" fieldPosition="0"/>
    </format>
    <format dxfId="5">
      <pivotArea type="all" dataOnly="0" outline="0" fieldPosition="0"/>
    </format>
    <format dxfId="4">
      <pivotArea fieldPosition="0">
        <references count="2">
          <reference field="4294967294" count="1" selected="0">
            <x v="0"/>
          </reference>
          <reference field="7" count="1">
            <x v="3"/>
          </reference>
        </references>
      </pivotArea>
    </format>
    <format dxfId="3">
      <pivotArea fieldPosition="0">
        <references count="2">
          <reference field="4294967294" count="1" selected="0">
            <x v="0"/>
          </reference>
          <reference field="7" count="1">
            <x v="5"/>
          </reference>
        </references>
      </pivotArea>
    </format>
    <format dxfId="2">
      <pivotArea fieldPosition="0">
        <references count="2">
          <reference field="4294967294" count="1" selected="0">
            <x v="0"/>
          </reference>
          <reference field="7" count="1">
            <x v="7"/>
          </reference>
        </references>
      </pivotArea>
    </format>
    <format dxfId="1">
      <pivotArea fieldPosition="0">
        <references count="2">
          <reference field="4294967294" count="1" selected="0">
            <x v="0"/>
          </reference>
          <reference field="7" count="1">
            <x v="6"/>
          </reference>
        </references>
      </pivotArea>
    </format>
    <format dxfId="0">
      <pivotArea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0"/>
  <sheetViews>
    <sheetView workbookViewId="0"/>
  </sheetViews>
  <sheetFormatPr defaultRowHeight="15"/>
  <cols>
    <col min="1" max="1" width="22.28515625" bestFit="1" customWidth="1"/>
    <col min="2" max="2" width="9.42578125" bestFit="1" customWidth="1"/>
    <col min="3" max="3" width="27.42578125" bestFit="1" customWidth="1"/>
    <col min="4" max="4" width="21" bestFit="1" customWidth="1"/>
    <col min="5" max="5" width="31.5703125" bestFit="1" customWidth="1"/>
    <col min="6" max="6" width="11.28515625" bestFit="1" customWidth="1"/>
    <col min="7" max="7" width="9.42578125" bestFit="1" customWidth="1"/>
    <col min="8" max="8" width="8" bestFit="1" customWidth="1"/>
    <col min="9" max="9" width="7.5703125" bestFit="1" customWidth="1"/>
    <col min="11" max="11" width="8.28515625" bestFit="1" customWidth="1"/>
    <col min="12" max="12" width="11.42578125" bestFit="1" customWidth="1"/>
    <col min="13" max="13" width="5.140625" bestFit="1" customWidth="1"/>
    <col min="14" max="14" width="13.42578125" bestFit="1" customWidth="1"/>
    <col min="16" max="16" width="14.28515625" bestFit="1" customWidth="1"/>
    <col min="18" max="18" width="14.28515625" bestFit="1" customWidth="1"/>
    <col min="20" max="20" width="14" bestFit="1" customWidth="1"/>
  </cols>
  <sheetData>
    <row r="1" spans="1:20">
      <c r="A1" s="66" t="s">
        <v>232</v>
      </c>
      <c r="B1" s="66" t="s">
        <v>234</v>
      </c>
      <c r="C1" s="66" t="s">
        <v>235</v>
      </c>
      <c r="D1" s="66" t="s">
        <v>236</v>
      </c>
      <c r="E1" s="66" t="s">
        <v>237</v>
      </c>
      <c r="F1" s="66" t="s">
        <v>238</v>
      </c>
      <c r="G1" s="66" t="s">
        <v>239</v>
      </c>
      <c r="H1" s="66" t="s">
        <v>240</v>
      </c>
      <c r="I1" s="66" t="s">
        <v>241</v>
      </c>
      <c r="J1" s="66" t="s">
        <v>242</v>
      </c>
      <c r="K1" s="66" t="s">
        <v>243</v>
      </c>
      <c r="L1" s="66" t="s">
        <v>244</v>
      </c>
      <c r="M1" s="66" t="s">
        <v>245</v>
      </c>
      <c r="N1" s="66" t="s">
        <v>246</v>
      </c>
      <c r="P1" s="66" t="s">
        <v>304</v>
      </c>
      <c r="R1" s="66" t="s">
        <v>381</v>
      </c>
      <c r="T1" t="s">
        <v>380</v>
      </c>
    </row>
    <row r="2" spans="1:20">
      <c r="A2" s="127"/>
      <c r="B2" s="128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R2" s="132"/>
      <c r="T2" s="132"/>
    </row>
    <row r="3" spans="1:20">
      <c r="A3" s="127"/>
      <c r="B3" s="128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R3" s="132"/>
      <c r="T3" s="132"/>
    </row>
    <row r="4" spans="1:20">
      <c r="A4" s="127"/>
      <c r="B4" s="128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R4" s="132"/>
      <c r="T4" s="132"/>
    </row>
    <row r="5" spans="1:20">
      <c r="A5" s="127"/>
      <c r="B5" s="128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R5" s="132"/>
      <c r="T5" s="132"/>
    </row>
    <row r="6" spans="1:20">
      <c r="A6" s="127"/>
      <c r="B6" s="128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R6" s="132"/>
      <c r="T6" s="132"/>
    </row>
    <row r="7" spans="1:20">
      <c r="A7" s="127"/>
      <c r="B7" s="128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R7" s="132"/>
      <c r="T7" s="132"/>
    </row>
    <row r="8" spans="1:20">
      <c r="A8" s="127"/>
      <c r="B8" s="128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T8" s="132"/>
    </row>
    <row r="9" spans="1:20">
      <c r="A9" s="127"/>
      <c r="B9" s="128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R9" s="132"/>
      <c r="T9" s="132"/>
    </row>
    <row r="10" spans="1:20">
      <c r="A10" s="127"/>
      <c r="B10" s="128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R10" s="132"/>
      <c r="T10" s="132"/>
    </row>
    <row r="11" spans="1:20">
      <c r="A11" s="127"/>
      <c r="B11" s="128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R11" s="132"/>
      <c r="T11" s="132"/>
    </row>
    <row r="12" spans="1:20">
      <c r="A12" s="127"/>
      <c r="B12" s="128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R12" s="132"/>
      <c r="T12" s="132"/>
    </row>
    <row r="13" spans="1:20">
      <c r="A13" s="127"/>
      <c r="B13" s="128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R13" s="132"/>
      <c r="T13" s="132"/>
    </row>
    <row r="14" spans="1:20">
      <c r="A14" s="127"/>
      <c r="B14" s="128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R14" s="132"/>
      <c r="T14" s="132"/>
    </row>
    <row r="15" spans="1:20">
      <c r="A15" s="127"/>
      <c r="B15" s="128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R15" s="132"/>
      <c r="T15" s="132"/>
    </row>
    <row r="16" spans="1:20">
      <c r="A16" s="127"/>
      <c r="B16" s="128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R16" s="132"/>
      <c r="T16" s="132"/>
    </row>
    <row r="17" spans="1:20">
      <c r="A17" s="127"/>
      <c r="B17" s="128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R17" s="132"/>
      <c r="T17" s="132"/>
    </row>
    <row r="18" spans="1:20">
      <c r="A18" s="127"/>
      <c r="B18" s="128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R18" s="132"/>
      <c r="T18" s="132"/>
    </row>
    <row r="19" spans="1:20">
      <c r="A19" s="127"/>
      <c r="B19" s="128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R19" s="132"/>
      <c r="T19" s="132"/>
    </row>
    <row r="20" spans="1:20">
      <c r="A20" s="127"/>
      <c r="B20" s="128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R20" s="132"/>
      <c r="T20" s="132"/>
    </row>
    <row r="21" spans="1:20">
      <c r="A21" s="127"/>
      <c r="B21" s="128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R21" s="132"/>
      <c r="T21" s="132"/>
    </row>
    <row r="22" spans="1:20">
      <c r="A22" s="127"/>
      <c r="B22" s="128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R22" s="132"/>
      <c r="T22" s="132"/>
    </row>
    <row r="23" spans="1:20">
      <c r="A23" s="127"/>
      <c r="B23" s="128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R23" s="132"/>
      <c r="T23" s="132"/>
    </row>
    <row r="24" spans="1:20">
      <c r="A24" s="127"/>
      <c r="B24" s="128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R24" s="132"/>
      <c r="T24" s="132"/>
    </row>
    <row r="25" spans="1:20">
      <c r="A25" s="127"/>
      <c r="B25" s="128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R25" s="132"/>
      <c r="T25" s="132"/>
    </row>
    <row r="26" spans="1:20">
      <c r="A26" s="127"/>
      <c r="B26" s="128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R26" s="132"/>
      <c r="T26" s="132"/>
    </row>
    <row r="27" spans="1:20">
      <c r="A27" s="127"/>
      <c r="B27" s="128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R27" s="132"/>
      <c r="T27" s="132"/>
    </row>
    <row r="28" spans="1:20">
      <c r="A28" s="127"/>
      <c r="B28" s="128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R28" s="132"/>
      <c r="T28" s="132"/>
    </row>
    <row r="29" spans="1:20">
      <c r="A29" s="127"/>
      <c r="B29" s="128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R29" s="132"/>
      <c r="T29" s="132"/>
    </row>
    <row r="30" spans="1:20">
      <c r="A30" s="127"/>
      <c r="B30" s="128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R30" s="132"/>
      <c r="T30" s="132"/>
    </row>
    <row r="31" spans="1:20">
      <c r="A31" s="127"/>
      <c r="B31" s="128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R31" s="132"/>
      <c r="T31" s="132"/>
    </row>
    <row r="32" spans="1:20">
      <c r="A32" s="127"/>
      <c r="B32" s="128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R32" s="132"/>
      <c r="T32" s="132"/>
    </row>
    <row r="33" spans="1:20">
      <c r="A33" s="127"/>
      <c r="B33" s="128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R33" s="132"/>
      <c r="T33" s="132"/>
    </row>
    <row r="34" spans="1:20">
      <c r="A34" s="127"/>
      <c r="B34" s="128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R34" s="132"/>
      <c r="T34" s="132"/>
    </row>
    <row r="35" spans="1:20">
      <c r="A35" s="127"/>
      <c r="B35" s="128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R35" s="132"/>
      <c r="T35" s="132"/>
    </row>
    <row r="36" spans="1:20">
      <c r="A36" s="127"/>
      <c r="B36" s="128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R36" s="132"/>
      <c r="T36" s="132"/>
    </row>
    <row r="37" spans="1:20">
      <c r="A37" s="127"/>
      <c r="B37" s="128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R37" s="132"/>
      <c r="T37" s="132"/>
    </row>
    <row r="38" spans="1:20">
      <c r="A38" s="127"/>
      <c r="B38" s="128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R38" s="132"/>
      <c r="T38" s="132"/>
    </row>
    <row r="39" spans="1:20">
      <c r="A39" s="127"/>
      <c r="B39" s="128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R39" s="132"/>
      <c r="T39" s="132"/>
    </row>
    <row r="40" spans="1:20">
      <c r="A40" s="127"/>
      <c r="B40" s="128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R40" s="132"/>
      <c r="T40" s="132"/>
    </row>
    <row r="41" spans="1:20">
      <c r="A41" s="127"/>
      <c r="B41" s="128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R41" s="132"/>
      <c r="T41" s="132"/>
    </row>
    <row r="42" spans="1:20">
      <c r="A42" s="127"/>
      <c r="B42" s="128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R42" s="132"/>
      <c r="T42" s="132"/>
    </row>
    <row r="43" spans="1:20">
      <c r="A43" s="127"/>
      <c r="B43" s="128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R43" s="132"/>
      <c r="T43" s="132"/>
    </row>
    <row r="44" spans="1:20">
      <c r="A44" s="127"/>
      <c r="B44" s="128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R44" s="132"/>
      <c r="T44" s="132"/>
    </row>
    <row r="45" spans="1:20">
      <c r="A45" s="127"/>
      <c r="B45" s="128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R45" s="132"/>
      <c r="T45" s="132"/>
    </row>
    <row r="46" spans="1:20">
      <c r="A46" s="127"/>
      <c r="B46" s="128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R46" s="132"/>
      <c r="T46" s="132"/>
    </row>
    <row r="47" spans="1:20">
      <c r="A47" s="127"/>
      <c r="B47" s="128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R47" s="132"/>
      <c r="T47" s="132"/>
    </row>
    <row r="48" spans="1:20">
      <c r="A48" s="127"/>
      <c r="B48" s="128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R48" s="132"/>
      <c r="T48" s="132"/>
    </row>
    <row r="49" spans="1:20">
      <c r="A49" s="127"/>
      <c r="B49" s="128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R49" s="132"/>
      <c r="T49" s="132"/>
    </row>
    <row r="50" spans="1:20">
      <c r="A50" s="127"/>
      <c r="B50" s="128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R50" s="132"/>
      <c r="T50" s="132"/>
    </row>
    <row r="51" spans="1:20">
      <c r="A51" s="127"/>
      <c r="B51" s="128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R51" s="132"/>
      <c r="T51" s="132"/>
    </row>
    <row r="52" spans="1:20">
      <c r="A52" s="127"/>
      <c r="B52" s="128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R52" s="132"/>
      <c r="T52" s="132"/>
    </row>
    <row r="53" spans="1:20">
      <c r="A53" s="127"/>
      <c r="B53" s="128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R53" s="132"/>
      <c r="T53" s="132"/>
    </row>
    <row r="54" spans="1:20">
      <c r="A54" s="127"/>
      <c r="B54" s="128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R54" s="132"/>
      <c r="T54" s="132"/>
    </row>
    <row r="55" spans="1:20">
      <c r="A55" s="127"/>
      <c r="B55" s="128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R55" s="132"/>
      <c r="T55" s="132"/>
    </row>
    <row r="56" spans="1:20">
      <c r="A56" s="127"/>
      <c r="B56" s="128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R56" s="132"/>
      <c r="T56" s="132"/>
    </row>
    <row r="57" spans="1:20">
      <c r="A57" s="127"/>
      <c r="B57" s="128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R57" s="132"/>
      <c r="T57" s="132"/>
    </row>
    <row r="58" spans="1:20">
      <c r="A58" s="127"/>
      <c r="B58" s="128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R58" s="132"/>
      <c r="T58" s="132"/>
    </row>
    <row r="59" spans="1:20">
      <c r="A59" s="127"/>
      <c r="B59" s="128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R59" s="132"/>
      <c r="T59" s="132"/>
    </row>
    <row r="60" spans="1:20">
      <c r="A60" s="127"/>
      <c r="B60" s="128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R60" s="132"/>
      <c r="T60" s="132"/>
    </row>
    <row r="61" spans="1:20">
      <c r="A61" s="127"/>
      <c r="B61" s="128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R61" s="132"/>
      <c r="T61" s="132"/>
    </row>
    <row r="62" spans="1:20">
      <c r="A62" s="127"/>
      <c r="B62" s="128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R62" s="132"/>
      <c r="T62" s="132"/>
    </row>
    <row r="63" spans="1:20">
      <c r="A63" s="127"/>
      <c r="B63" s="128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R63" s="132"/>
      <c r="T63" s="132"/>
    </row>
    <row r="64" spans="1:20">
      <c r="A64" s="127"/>
      <c r="B64" s="128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R64" s="132"/>
      <c r="T64" s="132"/>
    </row>
    <row r="65" spans="1:20">
      <c r="A65" s="127"/>
      <c r="B65" s="128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R65" s="132"/>
      <c r="T65" s="132"/>
    </row>
    <row r="66" spans="1:20">
      <c r="A66" s="127"/>
      <c r="B66" s="128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R66" s="132"/>
      <c r="T66" s="132"/>
    </row>
    <row r="67" spans="1:20">
      <c r="A67" s="127"/>
      <c r="B67" s="128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R67" s="132"/>
      <c r="T67" s="132"/>
    </row>
    <row r="68" spans="1:20">
      <c r="A68" s="127"/>
      <c r="B68" s="128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R68" s="132"/>
      <c r="T68" s="132"/>
    </row>
    <row r="69" spans="1:20">
      <c r="A69" s="127"/>
      <c r="B69" s="128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R69" s="132"/>
      <c r="T69" s="132"/>
    </row>
    <row r="70" spans="1:20">
      <c r="A70" s="127"/>
      <c r="B70" s="128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R70" s="132"/>
      <c r="T70" s="132"/>
    </row>
    <row r="71" spans="1:20">
      <c r="A71" s="127"/>
      <c r="B71" s="128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R71" s="132"/>
      <c r="T71" s="132"/>
    </row>
    <row r="72" spans="1:20">
      <c r="A72" s="127"/>
      <c r="B72" s="128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R72" s="132"/>
      <c r="T72" s="132"/>
    </row>
    <row r="73" spans="1:20">
      <c r="A73" s="127"/>
      <c r="B73" s="128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R73" s="132"/>
      <c r="T73" s="132"/>
    </row>
    <row r="74" spans="1:20">
      <c r="A74" s="127"/>
      <c r="B74" s="128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R74" s="132"/>
      <c r="T74" s="132"/>
    </row>
    <row r="75" spans="1:20">
      <c r="A75" s="127"/>
      <c r="B75" s="128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R75" s="132"/>
      <c r="T75" s="132"/>
    </row>
    <row r="76" spans="1:20">
      <c r="A76" s="127"/>
      <c r="B76" s="128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R76" s="132"/>
      <c r="T76" s="132"/>
    </row>
    <row r="77" spans="1:20">
      <c r="A77" s="127"/>
      <c r="B77" s="128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R77" s="132"/>
      <c r="T77" s="132"/>
    </row>
    <row r="78" spans="1:20">
      <c r="A78" s="127"/>
      <c r="B78" s="128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R78" s="132"/>
      <c r="T78" s="132"/>
    </row>
    <row r="79" spans="1:20">
      <c r="A79" s="127"/>
      <c r="B79" s="128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R79" s="132"/>
      <c r="T79" s="132"/>
    </row>
    <row r="80" spans="1:20">
      <c r="A80" s="127"/>
      <c r="B80" s="128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R80" s="132"/>
      <c r="T80" s="132"/>
    </row>
    <row r="81" spans="1:20">
      <c r="A81" s="127"/>
      <c r="B81" s="128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R81" s="132"/>
      <c r="T81" s="132"/>
    </row>
    <row r="82" spans="1:20">
      <c r="A82" s="127"/>
      <c r="B82" s="128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R82" s="132"/>
      <c r="T82" s="132"/>
    </row>
    <row r="83" spans="1:20">
      <c r="A83" s="127"/>
      <c r="B83" s="128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R83" s="132"/>
      <c r="T83" s="132"/>
    </row>
    <row r="84" spans="1:20">
      <c r="A84" s="127"/>
      <c r="B84" s="128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R84" s="132"/>
      <c r="T84" s="132"/>
    </row>
    <row r="85" spans="1:20">
      <c r="A85" s="127"/>
      <c r="B85" s="128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R85" s="132"/>
      <c r="T85" s="132"/>
    </row>
    <row r="86" spans="1:20">
      <c r="A86" s="127"/>
      <c r="B86" s="128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R86" s="132"/>
      <c r="T86" s="132"/>
    </row>
    <row r="87" spans="1:20">
      <c r="A87" s="127"/>
      <c r="B87" s="128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R87" s="132"/>
      <c r="T87" s="132"/>
    </row>
    <row r="88" spans="1:20">
      <c r="A88" s="127"/>
      <c r="B88" s="128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R88" s="132"/>
      <c r="T88" s="132"/>
    </row>
    <row r="89" spans="1:20">
      <c r="A89" s="127"/>
      <c r="B89" s="128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R89" s="132"/>
      <c r="T89" s="132"/>
    </row>
    <row r="90" spans="1:20">
      <c r="A90" s="127"/>
      <c r="B90" s="128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R90" s="132"/>
      <c r="T90" s="132"/>
    </row>
    <row r="91" spans="1:20">
      <c r="A91" s="127"/>
      <c r="B91" s="128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R91" s="132"/>
      <c r="T91" s="132"/>
    </row>
    <row r="92" spans="1:20">
      <c r="A92" s="127"/>
      <c r="B92" s="12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R92" s="132"/>
      <c r="T92" s="132"/>
    </row>
    <row r="93" spans="1:20">
      <c r="A93" s="127"/>
      <c r="B93" s="128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R93" s="132"/>
      <c r="T93" s="132"/>
    </row>
    <row r="94" spans="1:20">
      <c r="A94" s="127"/>
      <c r="B94" s="128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R94" s="132"/>
      <c r="T94" s="132"/>
    </row>
    <row r="95" spans="1:20">
      <c r="A95" s="127"/>
      <c r="B95" s="128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R95" s="132"/>
      <c r="T95" s="132"/>
    </row>
    <row r="96" spans="1:20">
      <c r="A96" s="127"/>
      <c r="B96" s="128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R96" s="132"/>
      <c r="T96" s="132"/>
    </row>
    <row r="97" spans="1:20">
      <c r="A97" s="127"/>
      <c r="B97" s="128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R97" s="132"/>
      <c r="T97" s="132"/>
    </row>
    <row r="98" spans="1:20">
      <c r="A98" s="127"/>
      <c r="B98" s="128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R98" s="132"/>
      <c r="T98" s="132"/>
    </row>
    <row r="99" spans="1:20">
      <c r="A99" s="127"/>
      <c r="B99" s="128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R99" s="132"/>
      <c r="T99" s="132"/>
    </row>
    <row r="100" spans="1:20">
      <c r="A100" s="127"/>
      <c r="B100" s="128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R100" s="132"/>
      <c r="T100" s="132"/>
    </row>
    <row r="101" spans="1:20">
      <c r="A101" s="127"/>
      <c r="B101" s="128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R101" s="132"/>
      <c r="T101" s="132"/>
    </row>
    <row r="102" spans="1:20">
      <c r="A102" s="127"/>
      <c r="B102" s="128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R102" s="132"/>
      <c r="T102" s="132"/>
    </row>
    <row r="103" spans="1:20">
      <c r="A103" s="127"/>
      <c r="B103" s="128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R103" s="132"/>
      <c r="T103" s="132"/>
    </row>
    <row r="104" spans="1:20">
      <c r="A104" s="127"/>
      <c r="B104" s="128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R104" s="132"/>
      <c r="T104" s="132"/>
    </row>
    <row r="105" spans="1:20">
      <c r="A105" s="127"/>
      <c r="B105" s="128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R105" s="132"/>
      <c r="T105" s="132"/>
    </row>
    <row r="106" spans="1:20">
      <c r="A106" s="127"/>
      <c r="B106" s="128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R106" s="132"/>
      <c r="T106" s="132"/>
    </row>
    <row r="107" spans="1:20">
      <c r="A107" s="127"/>
      <c r="B107" s="128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R107" s="132"/>
      <c r="T107" s="132"/>
    </row>
    <row r="108" spans="1:20">
      <c r="A108" s="127"/>
      <c r="B108" s="128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R108" s="132"/>
      <c r="T108" s="132"/>
    </row>
    <row r="109" spans="1:20">
      <c r="A109" s="127"/>
      <c r="B109" s="128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R109" s="132"/>
      <c r="T109" s="132"/>
    </row>
    <row r="110" spans="1:20">
      <c r="A110" s="127"/>
      <c r="B110" s="128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R110" s="132"/>
      <c r="T110" s="132"/>
    </row>
    <row r="111" spans="1:20">
      <c r="A111" s="127"/>
      <c r="B111" s="128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R111" s="132"/>
      <c r="T111" s="132"/>
    </row>
    <row r="112" spans="1:20">
      <c r="A112" s="127"/>
      <c r="B112" s="128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R112" s="132"/>
      <c r="T112" s="132"/>
    </row>
    <row r="113" spans="1:20">
      <c r="A113" s="127"/>
      <c r="B113" s="128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R113" s="132"/>
      <c r="T113" s="132"/>
    </row>
    <row r="114" spans="1:20">
      <c r="A114" s="127"/>
      <c r="B114" s="128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90"/>
      <c r="R114" s="132"/>
      <c r="T114" s="132"/>
    </row>
    <row r="115" spans="1:20">
      <c r="A115" s="127"/>
      <c r="B115" s="128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90"/>
      <c r="R115" s="132"/>
      <c r="T115" s="132"/>
    </row>
    <row r="116" spans="1:20">
      <c r="A116" s="127"/>
      <c r="B116" s="128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90"/>
      <c r="R116" s="132"/>
      <c r="T116" s="132"/>
    </row>
    <row r="117" spans="1:20">
      <c r="A117" s="127"/>
      <c r="B117" s="126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90"/>
      <c r="R117" s="132"/>
      <c r="T117" s="132"/>
    </row>
    <row r="118" spans="1:20">
      <c r="A118" s="127"/>
      <c r="B118" s="126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90"/>
      <c r="R118" s="132"/>
      <c r="T118" s="132"/>
    </row>
    <row r="119" spans="1:20">
      <c r="A119" s="127"/>
      <c r="B119" s="126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90"/>
      <c r="R119" s="132"/>
      <c r="T119" s="132"/>
    </row>
    <row r="120" spans="1:20">
      <c r="A120" s="127"/>
      <c r="B120" s="126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90"/>
      <c r="R120" s="132"/>
      <c r="T120" s="132"/>
    </row>
    <row r="121" spans="1:20">
      <c r="A121" s="127"/>
      <c r="B121" s="126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90"/>
      <c r="R121" s="132"/>
      <c r="T121" s="132"/>
    </row>
    <row r="122" spans="1:20">
      <c r="A122" s="127"/>
      <c r="B122" s="126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90"/>
      <c r="R122" s="132"/>
      <c r="T122" s="132"/>
    </row>
    <row r="123" spans="1:20">
      <c r="A123" s="190"/>
      <c r="B123" s="191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R123" s="132"/>
      <c r="T123" s="132">
        <f>R123-P123</f>
        <v>0</v>
      </c>
    </row>
    <row r="124" spans="1:20">
      <c r="A124" s="127"/>
      <c r="B124" s="128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R124" s="132"/>
      <c r="T124" s="132">
        <f>R124-P124</f>
        <v>0</v>
      </c>
    </row>
    <row r="125" spans="1:20">
      <c r="A125" s="127"/>
      <c r="B125" s="128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R125" s="132"/>
      <c r="T125" s="132">
        <f>R125-P125</f>
        <v>0</v>
      </c>
    </row>
    <row r="126" spans="1:20">
      <c r="A126" s="127"/>
      <c r="B126" s="128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R126" s="132"/>
      <c r="T126" s="132"/>
    </row>
    <row r="127" spans="1:20">
      <c r="A127" s="127"/>
      <c r="B127" s="128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R127" s="132"/>
      <c r="T127" s="132"/>
    </row>
    <row r="128" spans="1:20">
      <c r="A128" s="127"/>
      <c r="B128" s="128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R128" s="132"/>
      <c r="T128" s="132"/>
    </row>
    <row r="129" spans="1:20">
      <c r="A129" s="127"/>
      <c r="B129" s="128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R129" s="132"/>
      <c r="T129" s="132"/>
    </row>
    <row r="130" spans="1:20">
      <c r="A130" s="127"/>
      <c r="B130" s="128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R130" s="132"/>
      <c r="T130" s="132"/>
    </row>
    <row r="131" spans="1:20">
      <c r="A131" s="127"/>
      <c r="B131" s="128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R131" s="132"/>
      <c r="T131" s="132"/>
    </row>
    <row r="132" spans="1:20">
      <c r="A132" s="127"/>
      <c r="B132" s="128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R132" s="132"/>
      <c r="T132" s="132"/>
    </row>
    <row r="133" spans="1:20">
      <c r="A133" s="127"/>
      <c r="B133" s="128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R133" s="132"/>
      <c r="T133" s="132"/>
    </row>
    <row r="134" spans="1:20">
      <c r="A134" s="127"/>
      <c r="B134" s="128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R134" s="132"/>
      <c r="T134" s="132"/>
    </row>
    <row r="135" spans="1:20">
      <c r="A135" s="127"/>
      <c r="B135" s="128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R135" s="132"/>
      <c r="T135" s="132"/>
    </row>
    <row r="136" spans="1:20">
      <c r="A136" s="127"/>
      <c r="B136" s="128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R136" s="132"/>
      <c r="T136" s="132"/>
    </row>
    <row r="137" spans="1:20">
      <c r="A137" s="127"/>
      <c r="B137" s="128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R137" s="132"/>
      <c r="T137" s="132"/>
    </row>
    <row r="138" spans="1:20">
      <c r="A138" s="127"/>
      <c r="B138" s="128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R138" s="132"/>
      <c r="T138" s="132"/>
    </row>
    <row r="139" spans="1:20">
      <c r="A139" s="127"/>
      <c r="B139" s="128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R139" s="132"/>
      <c r="T139" s="132"/>
    </row>
    <row r="140" spans="1:20">
      <c r="A140" s="127"/>
      <c r="B140" s="128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R140" s="132"/>
      <c r="T140" s="132"/>
    </row>
    <row r="141" spans="1:20">
      <c r="A141" s="127"/>
      <c r="B141" s="128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R141" s="132"/>
      <c r="T141" s="132"/>
    </row>
    <row r="142" spans="1:20">
      <c r="A142" s="127"/>
      <c r="B142" s="128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R142" s="132"/>
      <c r="T142" s="132"/>
    </row>
    <row r="143" spans="1:20">
      <c r="A143" s="127"/>
      <c r="B143" s="128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R143" s="132"/>
      <c r="T143" s="132"/>
    </row>
    <row r="144" spans="1:20">
      <c r="A144" s="127"/>
      <c r="B144" s="128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R144" s="132"/>
      <c r="T144" s="132"/>
    </row>
    <row r="145" spans="1:20">
      <c r="A145" s="127"/>
      <c r="B145" s="128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R145" s="132"/>
      <c r="T145" s="132"/>
    </row>
    <row r="146" spans="1:20">
      <c r="A146" s="127"/>
      <c r="B146" s="128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R146" s="132"/>
      <c r="T146" s="132"/>
    </row>
    <row r="147" spans="1:20">
      <c r="A147" s="127"/>
      <c r="B147" s="128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R147" s="132"/>
      <c r="T147" s="132"/>
    </row>
    <row r="148" spans="1:20">
      <c r="A148" s="127"/>
      <c r="B148" s="128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R148" s="132"/>
      <c r="T148" s="132"/>
    </row>
    <row r="149" spans="1:20">
      <c r="A149" s="127"/>
      <c r="B149" s="128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R149" s="132"/>
      <c r="T149" s="132"/>
    </row>
    <row r="150" spans="1:20">
      <c r="A150" s="127"/>
      <c r="B150" s="128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R150" s="132"/>
      <c r="T150" s="132"/>
    </row>
    <row r="151" spans="1:20">
      <c r="A151" s="127"/>
      <c r="B151" s="128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R151" s="132"/>
      <c r="T151" s="132"/>
    </row>
    <row r="152" spans="1:20">
      <c r="A152" s="127"/>
      <c r="B152" s="128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R152" s="132"/>
      <c r="T152" s="132"/>
    </row>
    <row r="153" spans="1:20">
      <c r="A153" s="127"/>
      <c r="B153" s="128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R153" s="132"/>
      <c r="T153" s="132"/>
    </row>
    <row r="154" spans="1:20">
      <c r="A154" s="127"/>
      <c r="B154" s="128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R154" s="132"/>
      <c r="T154" s="132"/>
    </row>
    <row r="155" spans="1:20">
      <c r="A155" s="127"/>
      <c r="B155" s="128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R155" s="132"/>
      <c r="T155" s="132"/>
    </row>
    <row r="156" spans="1:20">
      <c r="A156" s="127"/>
      <c r="B156" s="128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R156" s="132"/>
      <c r="T156" s="132"/>
    </row>
    <row r="157" spans="1:20">
      <c r="A157" s="127"/>
      <c r="B157" s="128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R157" s="132"/>
      <c r="T157" s="132"/>
    </row>
    <row r="158" spans="1:20">
      <c r="A158" s="127"/>
      <c r="B158" s="128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R158" s="132"/>
      <c r="T158" s="132"/>
    </row>
    <row r="160" spans="1:20">
      <c r="P160" s="132">
        <f>SUM(P2:P159)</f>
        <v>0</v>
      </c>
      <c r="R160" s="132">
        <f>SUM(R2:R159)</f>
        <v>0</v>
      </c>
      <c r="T160" s="132">
        <f>SUM(T2:T159)</f>
        <v>0</v>
      </c>
    </row>
  </sheetData>
  <autoFilter ref="A1:T1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9"/>
  <sheetViews>
    <sheetView workbookViewId="0"/>
  </sheetViews>
  <sheetFormatPr defaultColWidth="9.140625" defaultRowHeight="12.75"/>
  <cols>
    <col min="1" max="1" width="9" style="140" bestFit="1" customWidth="1"/>
    <col min="2" max="2" width="26.28515625" style="140" bestFit="1" customWidth="1"/>
    <col min="3" max="3" width="7.140625" style="140" customWidth="1"/>
    <col min="4" max="4" width="10.5703125" style="193" customWidth="1"/>
    <col min="5" max="5" width="7.42578125" style="194" customWidth="1"/>
    <col min="6" max="6" width="12.5703125" style="193" customWidth="1"/>
    <col min="7" max="7" width="7" style="193" customWidth="1"/>
    <col min="8" max="8" width="11.5703125" style="194" customWidth="1"/>
    <col min="9" max="9" width="9.5703125" style="140" customWidth="1"/>
    <col min="10" max="10" width="7.42578125" style="140" customWidth="1"/>
    <col min="11" max="11" width="12.5703125" style="140" customWidth="1"/>
    <col min="12" max="12" width="2.7109375" style="140" customWidth="1"/>
    <col min="13" max="13" width="12.5703125" style="140" bestFit="1" customWidth="1"/>
    <col min="14" max="14" width="15.28515625" style="140" bestFit="1" customWidth="1"/>
    <col min="15" max="15" width="12" style="140" bestFit="1" customWidth="1"/>
    <col min="16" max="16" width="15.28515625" style="140" bestFit="1" customWidth="1"/>
    <col min="17" max="19" width="12.28515625" style="140" customWidth="1"/>
    <col min="20" max="20" width="11.28515625" style="140" bestFit="1" customWidth="1"/>
    <col min="21" max="21" width="14.28515625" style="140" bestFit="1" customWidth="1"/>
    <col min="22" max="22" width="11.28515625" style="140" bestFit="1" customWidth="1"/>
    <col min="23" max="23" width="13.28515625" style="140" bestFit="1" customWidth="1"/>
    <col min="24" max="16384" width="9.140625" style="140"/>
  </cols>
  <sheetData>
    <row r="1" spans="2:19">
      <c r="B1" s="192" t="s">
        <v>371</v>
      </c>
      <c r="F1" s="195" t="s">
        <v>229</v>
      </c>
      <c r="I1" s="196">
        <v>8</v>
      </c>
    </row>
    <row r="2" spans="2:19" s="196" customFormat="1">
      <c r="B2" s="197"/>
      <c r="C2" s="357" t="s">
        <v>312</v>
      </c>
      <c r="D2" s="357"/>
      <c r="E2" s="357"/>
      <c r="F2" s="357"/>
      <c r="G2" s="195"/>
      <c r="H2" s="198"/>
      <c r="I2" s="357" t="s">
        <v>366</v>
      </c>
      <c r="J2" s="357"/>
      <c r="K2" s="357"/>
      <c r="L2" s="244"/>
      <c r="M2" s="357" t="s">
        <v>121</v>
      </c>
      <c r="N2" s="357"/>
      <c r="O2" s="357"/>
      <c r="P2" s="357"/>
      <c r="Q2" s="244"/>
      <c r="R2" s="244"/>
      <c r="S2" s="244"/>
    </row>
    <row r="5" spans="2:19">
      <c r="B5" s="199" t="s">
        <v>20</v>
      </c>
      <c r="C5" s="200">
        <f t="shared" ref="C5:C10" si="0">+D5/$D$14</f>
        <v>0.65188000000000001</v>
      </c>
      <c r="D5" s="201">
        <v>488910</v>
      </c>
      <c r="E5" s="202">
        <v>70.31</v>
      </c>
      <c r="F5" s="201">
        <f>E5*D5</f>
        <v>34375262.100000001</v>
      </c>
      <c r="G5" s="201"/>
      <c r="H5" s="200">
        <f t="shared" ref="H5:H10" si="1">+I5/$I$14</f>
        <v>0.6518799999999999</v>
      </c>
      <c r="I5" s="201">
        <f t="shared" ref="I5:I10" si="2">+D5/31*$I$1</f>
        <v>126170.32258064517</v>
      </c>
      <c r="J5" s="202">
        <f>+E5</f>
        <v>70.31</v>
      </c>
      <c r="K5" s="201">
        <f>J5*I5</f>
        <v>8871035.3806451615</v>
      </c>
      <c r="L5" s="201"/>
      <c r="M5" s="200" t="e">
        <f t="shared" ref="M5:M11" si="3">+N5/$N$14</f>
        <v>#REF!</v>
      </c>
      <c r="N5" s="203" t="e">
        <f>#REF!</f>
        <v>#REF!</v>
      </c>
      <c r="O5" s="202" t="e">
        <f>#REF!</f>
        <v>#REF!</v>
      </c>
      <c r="P5" s="201" t="e">
        <f>O5*N5</f>
        <v>#REF!</v>
      </c>
      <c r="Q5" s="204" t="e">
        <f>+N5-I5</f>
        <v>#REF!</v>
      </c>
      <c r="R5" s="204" t="e">
        <f>+O5-J5</f>
        <v>#REF!</v>
      </c>
      <c r="S5" s="205" t="e">
        <f>+P5-K5</f>
        <v>#REF!</v>
      </c>
    </row>
    <row r="6" spans="2:19">
      <c r="B6" s="199" t="s">
        <v>13</v>
      </c>
      <c r="C6" s="200">
        <f t="shared" si="0"/>
        <v>7.4999999999999997E-2</v>
      </c>
      <c r="D6" s="201">
        <v>56250</v>
      </c>
      <c r="E6" s="202">
        <v>26.5</v>
      </c>
      <c r="F6" s="201">
        <f t="shared" ref="F6:F13" si="4">E6*D6</f>
        <v>1490625</v>
      </c>
      <c r="G6" s="201"/>
      <c r="H6" s="200">
        <f t="shared" si="1"/>
        <v>7.4999999999999983E-2</v>
      </c>
      <c r="I6" s="201">
        <f t="shared" si="2"/>
        <v>14516.129032258064</v>
      </c>
      <c r="J6" s="202">
        <f t="shared" ref="J6:J13" si="5">+E6</f>
        <v>26.5</v>
      </c>
      <c r="K6" s="201">
        <f t="shared" ref="K6:K13" si="6">J6*I6</f>
        <v>384677.41935483873</v>
      </c>
      <c r="L6" s="201"/>
      <c r="M6" s="200" t="e">
        <f t="shared" si="3"/>
        <v>#REF!</v>
      </c>
      <c r="N6" s="203" t="e">
        <f>#REF!</f>
        <v>#REF!</v>
      </c>
      <c r="O6" s="202" t="e">
        <f>FillerSoltex!Y6</f>
        <v>#REF!</v>
      </c>
      <c r="P6" s="201" t="e">
        <f t="shared" ref="P6:P13" si="7">O6*N6</f>
        <v>#REF!</v>
      </c>
      <c r="Q6" s="204" t="e">
        <f t="shared" ref="Q6:R14" si="8">+N6-I6</f>
        <v>#REF!</v>
      </c>
      <c r="R6" s="204" t="e">
        <f t="shared" si="8"/>
        <v>#REF!</v>
      </c>
      <c r="S6" s="205" t="e">
        <f t="shared" ref="S6:S14" si="9">+P6-K6</f>
        <v>#REF!</v>
      </c>
    </row>
    <row r="7" spans="2:19">
      <c r="B7" s="199" t="s">
        <v>22</v>
      </c>
      <c r="C7" s="200">
        <f t="shared" si="0"/>
        <v>5.0000000000000001E-3</v>
      </c>
      <c r="D7" s="201">
        <v>3750</v>
      </c>
      <c r="E7" s="202">
        <v>170</v>
      </c>
      <c r="F7" s="201">
        <f t="shared" si="4"/>
        <v>637500</v>
      </c>
      <c r="G7" s="201"/>
      <c r="H7" s="200">
        <f t="shared" si="1"/>
        <v>4.9999999999999992E-3</v>
      </c>
      <c r="I7" s="201">
        <f t="shared" si="2"/>
        <v>967.74193548387098</v>
      </c>
      <c r="J7" s="202">
        <f t="shared" si="5"/>
        <v>170</v>
      </c>
      <c r="K7" s="201">
        <f t="shared" si="6"/>
        <v>164516.12903225806</v>
      </c>
      <c r="L7" s="201"/>
      <c r="M7" s="200" t="e">
        <f t="shared" si="3"/>
        <v>#REF!</v>
      </c>
      <c r="N7" s="203" t="e">
        <f>#REF!</f>
        <v>#REF!</v>
      </c>
      <c r="O7" s="202" t="e">
        <f>MB!Y6</f>
        <v>#REF!</v>
      </c>
      <c r="P7" s="201" t="e">
        <f t="shared" si="7"/>
        <v>#REF!</v>
      </c>
      <c r="Q7" s="204" t="e">
        <f t="shared" si="8"/>
        <v>#REF!</v>
      </c>
      <c r="R7" s="204" t="e">
        <f t="shared" si="8"/>
        <v>#REF!</v>
      </c>
      <c r="S7" s="205" t="e">
        <f t="shared" si="9"/>
        <v>#REF!</v>
      </c>
    </row>
    <row r="8" spans="2:19">
      <c r="B8" s="199" t="s">
        <v>23</v>
      </c>
      <c r="C8" s="200">
        <f t="shared" si="0"/>
        <v>1.8373333333333332E-2</v>
      </c>
      <c r="D8" s="201">
        <v>13780</v>
      </c>
      <c r="E8" s="202">
        <v>171</v>
      </c>
      <c r="F8" s="201">
        <f t="shared" si="4"/>
        <v>2356380</v>
      </c>
      <c r="G8" s="201"/>
      <c r="H8" s="200">
        <f t="shared" si="1"/>
        <v>1.8373333333333328E-2</v>
      </c>
      <c r="I8" s="201">
        <f t="shared" si="2"/>
        <v>3556.1290322580644</v>
      </c>
      <c r="J8" s="202">
        <f t="shared" si="5"/>
        <v>171</v>
      </c>
      <c r="K8" s="201">
        <f t="shared" si="6"/>
        <v>608098.06451612897</v>
      </c>
      <c r="L8" s="201"/>
      <c r="M8" s="200" t="e">
        <f t="shared" si="3"/>
        <v>#REF!</v>
      </c>
      <c r="N8" s="203" t="e">
        <f>#REF!</f>
        <v>#REF!</v>
      </c>
      <c r="O8" s="202" t="e">
        <f>UV!Y6</f>
        <v>#REF!</v>
      </c>
      <c r="P8" s="201" t="e">
        <f t="shared" si="7"/>
        <v>#REF!</v>
      </c>
      <c r="Q8" s="204" t="e">
        <f t="shared" si="8"/>
        <v>#REF!</v>
      </c>
      <c r="R8" s="204" t="e">
        <f t="shared" si="8"/>
        <v>#REF!</v>
      </c>
      <c r="S8" s="205" t="e">
        <f t="shared" si="9"/>
        <v>#REF!</v>
      </c>
    </row>
    <row r="9" spans="2:19">
      <c r="B9" s="199" t="s">
        <v>24</v>
      </c>
      <c r="C9" s="200">
        <f t="shared" si="0"/>
        <v>1.2466666666666668E-3</v>
      </c>
      <c r="D9" s="201">
        <v>935</v>
      </c>
      <c r="E9" s="202">
        <v>80.41</v>
      </c>
      <c r="F9" s="201">
        <f t="shared" si="4"/>
        <v>75183.349999999991</v>
      </c>
      <c r="G9" s="201"/>
      <c r="H9" s="200">
        <f t="shared" si="1"/>
        <v>1.2466666666666663E-3</v>
      </c>
      <c r="I9" s="201">
        <f t="shared" si="2"/>
        <v>241.29032258064515</v>
      </c>
      <c r="J9" s="202">
        <f t="shared" si="5"/>
        <v>80.41</v>
      </c>
      <c r="K9" s="201">
        <f t="shared" si="6"/>
        <v>19402.154838709677</v>
      </c>
      <c r="L9" s="201"/>
      <c r="M9" s="200" t="e">
        <f t="shared" si="3"/>
        <v>#REF!</v>
      </c>
      <c r="N9" s="203" t="e">
        <f>#REF!</f>
        <v>#REF!</v>
      </c>
      <c r="O9" s="202" t="e">
        <f>#REF!</f>
        <v>#REF!</v>
      </c>
      <c r="P9" s="201" t="e">
        <f t="shared" si="7"/>
        <v>#REF!</v>
      </c>
      <c r="Q9" s="204" t="e">
        <f t="shared" si="8"/>
        <v>#REF!</v>
      </c>
      <c r="R9" s="204" t="e">
        <f t="shared" si="8"/>
        <v>#REF!</v>
      </c>
      <c r="S9" s="205" t="e">
        <f t="shared" si="9"/>
        <v>#REF!</v>
      </c>
    </row>
    <row r="10" spans="2:19">
      <c r="B10" s="199" t="s">
        <v>25</v>
      </c>
      <c r="C10" s="200">
        <f t="shared" si="0"/>
        <v>2.9753333333333333E-2</v>
      </c>
      <c r="D10" s="201">
        <v>22315</v>
      </c>
      <c r="E10" s="202">
        <v>67.900000000000006</v>
      </c>
      <c r="F10" s="201">
        <f t="shared" si="4"/>
        <v>1515188.5000000002</v>
      </c>
      <c r="G10" s="201"/>
      <c r="H10" s="200">
        <f t="shared" si="1"/>
        <v>2.9753333333333326E-2</v>
      </c>
      <c r="I10" s="201">
        <f t="shared" si="2"/>
        <v>5758.7096774193551</v>
      </c>
      <c r="J10" s="202">
        <f t="shared" si="5"/>
        <v>67.900000000000006</v>
      </c>
      <c r="K10" s="201">
        <f t="shared" si="6"/>
        <v>391016.38709677424</v>
      </c>
      <c r="L10" s="201"/>
      <c r="M10" s="200" t="e">
        <f t="shared" si="3"/>
        <v>#REF!</v>
      </c>
      <c r="N10" s="203" t="e">
        <f>#REF!</f>
        <v>#REF!</v>
      </c>
      <c r="O10" s="202" t="e">
        <f>#REF!</f>
        <v>#REF!</v>
      </c>
      <c r="P10" s="201" t="e">
        <f t="shared" si="7"/>
        <v>#REF!</v>
      </c>
      <c r="Q10" s="204" t="e">
        <f t="shared" si="8"/>
        <v>#REF!</v>
      </c>
      <c r="R10" s="204" t="e">
        <f t="shared" si="8"/>
        <v>#REF!</v>
      </c>
      <c r="S10" s="205" t="e">
        <f t="shared" si="9"/>
        <v>#REF!</v>
      </c>
    </row>
    <row r="11" spans="2:19">
      <c r="B11" s="199" t="s">
        <v>32</v>
      </c>
      <c r="C11" s="200"/>
      <c r="D11" s="201">
        <v>0</v>
      </c>
      <c r="E11" s="202"/>
      <c r="F11" s="201"/>
      <c r="G11" s="201"/>
      <c r="H11" s="200"/>
      <c r="I11" s="201"/>
      <c r="J11" s="202">
        <f t="shared" si="5"/>
        <v>0</v>
      </c>
      <c r="K11" s="201"/>
      <c r="L11" s="201"/>
      <c r="M11" s="200" t="e">
        <f t="shared" si="3"/>
        <v>#REF!</v>
      </c>
      <c r="N11" s="203" t="e">
        <f>#REF!</f>
        <v>#REF!</v>
      </c>
      <c r="O11" s="202" t="e">
        <f>LLDP!Z6</f>
        <v>#REF!</v>
      </c>
      <c r="P11" s="201" t="e">
        <f t="shared" si="7"/>
        <v>#REF!</v>
      </c>
      <c r="Q11" s="204" t="e">
        <f t="shared" si="8"/>
        <v>#REF!</v>
      </c>
      <c r="R11" s="204" t="e">
        <f t="shared" si="8"/>
        <v>#REF!</v>
      </c>
      <c r="S11" s="205" t="e">
        <f t="shared" si="9"/>
        <v>#REF!</v>
      </c>
    </row>
    <row r="12" spans="2:19">
      <c r="B12" s="199" t="s">
        <v>326</v>
      </c>
      <c r="C12" s="200"/>
      <c r="D12" s="201">
        <v>64060</v>
      </c>
      <c r="E12" s="202">
        <v>60</v>
      </c>
      <c r="F12" s="201">
        <f t="shared" si="4"/>
        <v>3843600</v>
      </c>
      <c r="G12" s="201"/>
      <c r="H12" s="200"/>
      <c r="I12" s="201">
        <f>+D12/31*$I$1</f>
        <v>16531.612903225807</v>
      </c>
      <c r="J12" s="202">
        <f t="shared" si="5"/>
        <v>60</v>
      </c>
      <c r="K12" s="201">
        <f t="shared" si="6"/>
        <v>991896.77419354836</v>
      </c>
      <c r="L12" s="201"/>
      <c r="M12" s="200"/>
      <c r="N12" s="203" t="e">
        <f>#REF!</f>
        <v>#REF!</v>
      </c>
      <c r="O12" s="202" t="e">
        <f>+P12/N12</f>
        <v>#REF!</v>
      </c>
      <c r="P12" s="201">
        <f>RP!T35</f>
        <v>452640</v>
      </c>
      <c r="Q12" s="204" t="e">
        <f t="shared" si="8"/>
        <v>#REF!</v>
      </c>
      <c r="R12" s="204" t="e">
        <f t="shared" si="8"/>
        <v>#REF!</v>
      </c>
      <c r="S12" s="205">
        <f t="shared" si="9"/>
        <v>-539256.77419354836</v>
      </c>
    </row>
    <row r="13" spans="2:19">
      <c r="B13" s="206" t="s">
        <v>327</v>
      </c>
      <c r="C13" s="207">
        <f>+(D12+D13)/$D$14</f>
        <v>0.21874666666666667</v>
      </c>
      <c r="D13" s="201">
        <v>100000</v>
      </c>
      <c r="E13" s="208">
        <v>0</v>
      </c>
      <c r="F13" s="209">
        <f t="shared" si="4"/>
        <v>0</v>
      </c>
      <c r="G13" s="209"/>
      <c r="H13" s="207">
        <f>+(I12+I13)/$I$14</f>
        <v>0.21874666666666662</v>
      </c>
      <c r="I13" s="209">
        <f>+D13/31*$I$1</f>
        <v>25806.451612903227</v>
      </c>
      <c r="J13" s="202">
        <f t="shared" si="5"/>
        <v>0</v>
      </c>
      <c r="K13" s="209">
        <f t="shared" si="6"/>
        <v>0</v>
      </c>
      <c r="L13" s="209"/>
      <c r="M13" s="207" t="e">
        <f>+(N12+N13)/$N$14</f>
        <v>#REF!</v>
      </c>
      <c r="N13" s="210" t="e">
        <f>#REF!-N12</f>
        <v>#REF!</v>
      </c>
      <c r="O13" s="208">
        <v>0</v>
      </c>
      <c r="P13" s="209" t="e">
        <f t="shared" si="7"/>
        <v>#REF!</v>
      </c>
      <c r="Q13" s="211"/>
      <c r="R13" s="211"/>
      <c r="S13" s="205" t="e">
        <f t="shared" si="9"/>
        <v>#REF!</v>
      </c>
    </row>
    <row r="14" spans="2:19" s="196" customFormat="1" ht="13.5" thickBot="1">
      <c r="D14" s="212">
        <f>SUM(D5:D13)</f>
        <v>750000</v>
      </c>
      <c r="E14" s="198">
        <f>F14/D14</f>
        <v>59.058318600000007</v>
      </c>
      <c r="F14" s="212">
        <f>SUM(F5:F13)</f>
        <v>44293738.950000003</v>
      </c>
      <c r="G14" s="213"/>
      <c r="H14" s="198"/>
      <c r="I14" s="212">
        <f>SUM(I5:I13)</f>
        <v>193548.38709677424</v>
      </c>
      <c r="J14" s="198">
        <f>+K14/I14</f>
        <v>59.058318599999978</v>
      </c>
      <c r="K14" s="212">
        <f>SUM(K5:K13)</f>
        <v>11430642.309677418</v>
      </c>
      <c r="L14" s="213"/>
      <c r="M14" s="198"/>
      <c r="N14" s="212" t="e">
        <f>SUM(N5:N13)</f>
        <v>#REF!</v>
      </c>
      <c r="O14" s="198" t="e">
        <f>+P14/N14</f>
        <v>#REF!</v>
      </c>
      <c r="P14" s="212" t="e">
        <f>SUM(P5:P13)</f>
        <v>#REF!</v>
      </c>
      <c r="Q14" s="204" t="e">
        <f t="shared" si="8"/>
        <v>#REF!</v>
      </c>
      <c r="R14" s="204" t="e">
        <f t="shared" si="8"/>
        <v>#REF!</v>
      </c>
      <c r="S14" s="205" t="e">
        <f t="shared" si="9"/>
        <v>#REF!</v>
      </c>
    </row>
    <row r="15" spans="2:19" ht="13.5" thickTop="1">
      <c r="I15" s="193"/>
      <c r="J15" s="194"/>
      <c r="K15" s="193"/>
      <c r="L15" s="193"/>
      <c r="M15" s="194"/>
      <c r="N15" s="193"/>
      <c r="O15" s="194"/>
      <c r="P15" s="193"/>
      <c r="Q15" s="193"/>
      <c r="R15" s="193"/>
      <c r="S15" s="193"/>
    </row>
    <row r="16" spans="2:19">
      <c r="B16" s="199" t="s">
        <v>328</v>
      </c>
      <c r="C16" s="214">
        <v>0.02</v>
      </c>
      <c r="D16" s="201">
        <f>D14*C16</f>
        <v>15000</v>
      </c>
      <c r="E16" s="202"/>
      <c r="F16" s="201"/>
      <c r="G16" s="201"/>
      <c r="H16" s="215">
        <f>+I16/I14</f>
        <v>0.02</v>
      </c>
      <c r="I16" s="216">
        <f>I14*C16</f>
        <v>3870.9677419354848</v>
      </c>
      <c r="J16" s="202"/>
      <c r="K16" s="201"/>
      <c r="L16" s="201"/>
      <c r="M16" s="215" t="e">
        <f>+N16/N14</f>
        <v>#REF!</v>
      </c>
      <c r="N16" s="216" t="e">
        <f>#REF!</f>
        <v>#REF!</v>
      </c>
      <c r="O16" s="202"/>
      <c r="P16" s="201"/>
      <c r="Q16" s="211"/>
      <c r="R16" s="211"/>
      <c r="S16" s="211"/>
    </row>
    <row r="17" spans="2:19">
      <c r="B17" s="199" t="s">
        <v>329</v>
      </c>
      <c r="C17" s="199"/>
      <c r="D17" s="201">
        <f>D14-D16</f>
        <v>735000</v>
      </c>
      <c r="E17" s="202"/>
      <c r="F17" s="201"/>
      <c r="G17" s="201"/>
      <c r="H17" s="202"/>
      <c r="I17" s="201">
        <f>I14-I16</f>
        <v>189677.41935483876</v>
      </c>
      <c r="J17" s="202"/>
      <c r="K17" s="201"/>
      <c r="L17" s="201"/>
      <c r="M17" s="202"/>
      <c r="N17" s="201" t="e">
        <f>N14-N16</f>
        <v>#REF!</v>
      </c>
      <c r="O17" s="202"/>
      <c r="P17" s="201"/>
      <c r="Q17" s="211"/>
      <c r="R17" s="211"/>
      <c r="S17" s="211"/>
    </row>
    <row r="18" spans="2:19">
      <c r="B18" s="206" t="s">
        <v>330</v>
      </c>
      <c r="C18" s="217">
        <v>0.02</v>
      </c>
      <c r="D18" s="209">
        <f>D17*C18</f>
        <v>14700</v>
      </c>
      <c r="E18" s="208"/>
      <c r="F18" s="209"/>
      <c r="G18" s="209"/>
      <c r="H18" s="218">
        <f>+I18/I17</f>
        <v>0.02</v>
      </c>
      <c r="I18" s="219">
        <f>I17*C18</f>
        <v>3793.5483870967751</v>
      </c>
      <c r="J18" s="208"/>
      <c r="K18" s="209"/>
      <c r="L18" s="209"/>
      <c r="M18" s="218" t="e">
        <f>+N18/N17</f>
        <v>#REF!</v>
      </c>
      <c r="N18" s="220" t="e">
        <f>#REF!+#REF!+#REF!</f>
        <v>#REF!</v>
      </c>
      <c r="O18" s="208"/>
      <c r="P18" s="209"/>
      <c r="Q18" s="211"/>
      <c r="R18" s="211"/>
      <c r="S18" s="211"/>
    </row>
    <row r="19" spans="2:19" ht="13.5" thickBot="1">
      <c r="B19" s="140" t="s">
        <v>331</v>
      </c>
      <c r="D19" s="221">
        <f>D17-D18</f>
        <v>720300</v>
      </c>
      <c r="I19" s="221">
        <f>I17-I18</f>
        <v>185883.87096774197</v>
      </c>
      <c r="J19" s="194"/>
      <c r="K19" s="193"/>
      <c r="L19" s="193"/>
      <c r="M19" s="194"/>
      <c r="N19" s="221" t="e">
        <f>N17-N18</f>
        <v>#REF!</v>
      </c>
      <c r="O19" s="194"/>
      <c r="P19" s="193"/>
      <c r="Q19" s="193"/>
      <c r="R19" s="193"/>
      <c r="S19" s="193"/>
    </row>
    <row r="20" spans="2:19" ht="13.5" thickTop="1">
      <c r="I20" s="193"/>
      <c r="J20" s="194"/>
      <c r="K20" s="193"/>
      <c r="L20" s="193"/>
      <c r="M20" s="194"/>
      <c r="N20" s="193"/>
      <c r="O20" s="194"/>
      <c r="P20" s="193"/>
      <c r="Q20" s="193"/>
      <c r="R20" s="193"/>
      <c r="S20" s="193"/>
    </row>
    <row r="21" spans="2:19">
      <c r="B21" s="199" t="s">
        <v>332</v>
      </c>
      <c r="C21" s="199"/>
      <c r="D21" s="201">
        <v>36000</v>
      </c>
      <c r="E21" s="202">
        <v>77.596999999999994</v>
      </c>
      <c r="F21" s="201">
        <f>E21*D21</f>
        <v>2793492</v>
      </c>
      <c r="G21" s="201"/>
      <c r="H21" s="202"/>
      <c r="I21" s="201">
        <f>+D21/31*$I$1</f>
        <v>9290.322580645161</v>
      </c>
      <c r="J21" s="202">
        <f>+E21</f>
        <v>77.596999999999994</v>
      </c>
      <c r="K21" s="201">
        <f>J21*I21</f>
        <v>720901.16129032255</v>
      </c>
      <c r="L21" s="201"/>
      <c r="M21" s="202"/>
      <c r="N21" s="201" t="e">
        <f>#REF!</f>
        <v>#REF!</v>
      </c>
      <c r="O21" s="202" t="e">
        <f>#REF!</f>
        <v>#REF!</v>
      </c>
      <c r="P21" s="201" t="e">
        <f>O21*N21</f>
        <v>#REF!</v>
      </c>
      <c r="Q21" s="204" t="e">
        <f t="shared" ref="Q21:R27" si="10">+N21-I21</f>
        <v>#REF!</v>
      </c>
      <c r="R21" s="204" t="e">
        <f t="shared" si="10"/>
        <v>#REF!</v>
      </c>
      <c r="S21" s="205" t="e">
        <f t="shared" ref="S21:S27" si="11">+P21-K21</f>
        <v>#REF!</v>
      </c>
    </row>
    <row r="22" spans="2:19">
      <c r="B22" s="199" t="s">
        <v>32</v>
      </c>
      <c r="C22" s="199"/>
      <c r="D22" s="201">
        <v>6870</v>
      </c>
      <c r="E22" s="202">
        <v>79.614999999999995</v>
      </c>
      <c r="F22" s="201">
        <f>E22*D22</f>
        <v>546955.04999999993</v>
      </c>
      <c r="G22" s="201"/>
      <c r="H22" s="202"/>
      <c r="I22" s="201">
        <f>+D22/31*$I$1</f>
        <v>1772.9032258064517</v>
      </c>
      <c r="J22" s="202">
        <f>+E22</f>
        <v>79.614999999999995</v>
      </c>
      <c r="K22" s="201">
        <f>J22*I22</f>
        <v>141149.69032258063</v>
      </c>
      <c r="L22" s="201"/>
      <c r="M22" s="202"/>
      <c r="N22" s="201" t="e">
        <f>#REF!</f>
        <v>#REF!</v>
      </c>
      <c r="O22" s="202" t="e">
        <f>LLDP!Z6</f>
        <v>#REF!</v>
      </c>
      <c r="P22" s="201" t="e">
        <f>O22*N22</f>
        <v>#REF!</v>
      </c>
      <c r="Q22" s="204" t="e">
        <f t="shared" si="10"/>
        <v>#REF!</v>
      </c>
      <c r="R22" s="204" t="e">
        <f t="shared" si="10"/>
        <v>#REF!</v>
      </c>
      <c r="S22" s="205" t="e">
        <f t="shared" si="11"/>
        <v>#REF!</v>
      </c>
    </row>
    <row r="23" spans="2:19">
      <c r="B23" s="199" t="s">
        <v>22</v>
      </c>
      <c r="C23" s="199"/>
      <c r="D23" s="201">
        <v>260</v>
      </c>
      <c r="E23" s="202">
        <v>170</v>
      </c>
      <c r="F23" s="201">
        <f>E23*D23</f>
        <v>44200</v>
      </c>
      <c r="G23" s="201"/>
      <c r="H23" s="202"/>
      <c r="I23" s="201">
        <f>+D23/31*$I$1</f>
        <v>67.096774193548384</v>
      </c>
      <c r="J23" s="202">
        <f>+E23</f>
        <v>170</v>
      </c>
      <c r="K23" s="201">
        <f>J23*I23</f>
        <v>11406.451612903225</v>
      </c>
      <c r="L23" s="201"/>
      <c r="M23" s="202"/>
      <c r="N23" s="201" t="e">
        <f>#REF!</f>
        <v>#REF!</v>
      </c>
      <c r="O23" s="202" t="e">
        <f>O7</f>
        <v>#REF!</v>
      </c>
      <c r="P23" s="201" t="e">
        <f>O23*N23</f>
        <v>#REF!</v>
      </c>
      <c r="Q23" s="204" t="e">
        <f t="shared" si="10"/>
        <v>#REF!</v>
      </c>
      <c r="R23" s="204" t="e">
        <f t="shared" si="10"/>
        <v>#REF!</v>
      </c>
      <c r="S23" s="205" t="e">
        <f t="shared" si="11"/>
        <v>#REF!</v>
      </c>
    </row>
    <row r="24" spans="2:19">
      <c r="B24" s="199" t="s">
        <v>13</v>
      </c>
      <c r="C24" s="199"/>
      <c r="D24" s="201">
        <v>325</v>
      </c>
      <c r="E24" s="202">
        <v>26.5</v>
      </c>
      <c r="F24" s="201">
        <f>E24*D24</f>
        <v>8612.5</v>
      </c>
      <c r="G24" s="201"/>
      <c r="H24" s="202"/>
      <c r="I24" s="201">
        <f>+D24/31*$I$1</f>
        <v>83.870967741935488</v>
      </c>
      <c r="J24" s="202">
        <f>+E24</f>
        <v>26.5</v>
      </c>
      <c r="K24" s="201">
        <f>J24*I24</f>
        <v>2222.5806451612902</v>
      </c>
      <c r="L24" s="201"/>
      <c r="M24" s="202"/>
      <c r="N24" s="201" t="e">
        <f>#REF!</f>
        <v>#REF!</v>
      </c>
      <c r="O24" s="202" t="e">
        <f>O6</f>
        <v>#REF!</v>
      </c>
      <c r="P24" s="201" t="e">
        <f>O24*N24</f>
        <v>#REF!</v>
      </c>
      <c r="Q24" s="204" t="e">
        <f t="shared" si="10"/>
        <v>#REF!</v>
      </c>
      <c r="R24" s="204" t="e">
        <f t="shared" si="10"/>
        <v>#REF!</v>
      </c>
      <c r="S24" s="205" t="e">
        <f t="shared" si="11"/>
        <v>#REF!</v>
      </c>
    </row>
    <row r="25" spans="2:19">
      <c r="B25" s="199" t="s">
        <v>333</v>
      </c>
      <c r="C25" s="199"/>
      <c r="D25" s="201">
        <f>SUM(D21:D24)</f>
        <v>43455</v>
      </c>
      <c r="E25" s="202"/>
      <c r="F25" s="201"/>
      <c r="G25" s="201"/>
      <c r="H25" s="202"/>
      <c r="I25" s="201">
        <f>SUM(I21:I24)</f>
        <v>11214.193548387098</v>
      </c>
      <c r="J25" s="202"/>
      <c r="K25" s="201"/>
      <c r="L25" s="201"/>
      <c r="M25" s="202"/>
      <c r="N25" s="201" t="e">
        <f>SUM(N21:N24)</f>
        <v>#REF!</v>
      </c>
      <c r="O25" s="202"/>
      <c r="P25" s="201"/>
      <c r="Q25" s="204" t="e">
        <f t="shared" si="10"/>
        <v>#REF!</v>
      </c>
      <c r="R25" s="204">
        <f t="shared" si="10"/>
        <v>0</v>
      </c>
      <c r="S25" s="205">
        <f t="shared" si="11"/>
        <v>0</v>
      </c>
    </row>
    <row r="26" spans="2:19">
      <c r="B26" s="206" t="s">
        <v>27</v>
      </c>
      <c r="C26" s="223">
        <v>0.2</v>
      </c>
      <c r="D26" s="209">
        <f>D25*C26</f>
        <v>8691</v>
      </c>
      <c r="E26" s="208"/>
      <c r="F26" s="209"/>
      <c r="G26" s="209"/>
      <c r="H26" s="218">
        <f>+I26/I25</f>
        <v>0.2</v>
      </c>
      <c r="I26" s="219">
        <f>I25*C26</f>
        <v>2242.83870967742</v>
      </c>
      <c r="J26" s="208"/>
      <c r="K26" s="209"/>
      <c r="L26" s="209"/>
      <c r="M26" s="218" t="e">
        <f>+N26/N25</f>
        <v>#REF!</v>
      </c>
      <c r="N26" s="219" t="e">
        <f>#REF!</f>
        <v>#REF!</v>
      </c>
      <c r="O26" s="208"/>
      <c r="P26" s="209"/>
      <c r="Q26" s="204" t="e">
        <f t="shared" si="10"/>
        <v>#REF!</v>
      </c>
      <c r="R26" s="204">
        <f t="shared" si="10"/>
        <v>0</v>
      </c>
      <c r="S26" s="205">
        <f t="shared" si="11"/>
        <v>0</v>
      </c>
    </row>
    <row r="27" spans="2:19" s="196" customFormat="1" ht="13.5" thickBot="1">
      <c r="B27" s="196" t="s">
        <v>334</v>
      </c>
      <c r="D27" s="212">
        <f>D19+D25-D26</f>
        <v>755064</v>
      </c>
      <c r="E27" s="198">
        <f>F27/D25</f>
        <v>78.086746059141632</v>
      </c>
      <c r="F27" s="212">
        <f>SUM(F21:F26)</f>
        <v>3393259.55</v>
      </c>
      <c r="G27" s="213"/>
      <c r="H27" s="198"/>
      <c r="I27" s="212">
        <f>I19+I25-I26</f>
        <v>194855.22580645164</v>
      </c>
      <c r="J27" s="198">
        <f>K27/I25</f>
        <v>78.086746059141632</v>
      </c>
      <c r="K27" s="212">
        <f>SUM(K21:K26)</f>
        <v>875679.88387096778</v>
      </c>
      <c r="L27" s="213"/>
      <c r="M27" s="198"/>
      <c r="N27" s="212" t="e">
        <f>N19+N25-N26</f>
        <v>#REF!</v>
      </c>
      <c r="O27" s="198" t="e">
        <f>P27/N25</f>
        <v>#REF!</v>
      </c>
      <c r="P27" s="212" t="e">
        <f>SUM(P21:P26)</f>
        <v>#REF!</v>
      </c>
      <c r="Q27" s="204" t="e">
        <f t="shared" si="10"/>
        <v>#REF!</v>
      </c>
      <c r="R27" s="204" t="e">
        <f t="shared" si="10"/>
        <v>#REF!</v>
      </c>
      <c r="S27" s="205" t="e">
        <f t="shared" si="11"/>
        <v>#REF!</v>
      </c>
    </row>
    <row r="28" spans="2:19" ht="13.5" thickTop="1">
      <c r="I28" s="193"/>
      <c r="J28" s="194"/>
      <c r="K28" s="193"/>
      <c r="L28" s="193"/>
      <c r="M28" s="194"/>
      <c r="N28" s="193"/>
      <c r="O28" s="194"/>
      <c r="P28" s="193"/>
      <c r="Q28" s="193"/>
      <c r="R28" s="193"/>
      <c r="S28" s="193"/>
    </row>
    <row r="29" spans="2:19">
      <c r="B29" s="199" t="s">
        <v>30</v>
      </c>
      <c r="C29" s="199"/>
      <c r="D29" s="201">
        <v>51550</v>
      </c>
      <c r="E29" s="202">
        <v>120</v>
      </c>
      <c r="F29" s="201">
        <f>E29*D29</f>
        <v>6186000</v>
      </c>
      <c r="G29" s="201"/>
      <c r="H29" s="202"/>
      <c r="I29" s="201">
        <f>+D29/31*$I$1</f>
        <v>13303.225806451614</v>
      </c>
      <c r="J29" s="202">
        <f>+E29</f>
        <v>120</v>
      </c>
      <c r="K29" s="201">
        <f>J29*I29</f>
        <v>1596387.0967741937</v>
      </c>
      <c r="L29" s="201"/>
      <c r="M29" s="202"/>
      <c r="N29" s="201" t="e">
        <f>#REF!-#REF!</f>
        <v>#REF!</v>
      </c>
      <c r="O29" s="202" t="e">
        <f>Yarn!AB6</f>
        <v>#REF!</v>
      </c>
      <c r="P29" s="201" t="e">
        <f>O29*N29</f>
        <v>#REF!</v>
      </c>
      <c r="Q29" s="204" t="e">
        <f t="shared" ref="Q29:R32" si="12">+N29-I29</f>
        <v>#REF!</v>
      </c>
      <c r="R29" s="204" t="e">
        <f t="shared" si="12"/>
        <v>#REF!</v>
      </c>
      <c r="S29" s="205" t="e">
        <f>+P29-K29</f>
        <v>#REF!</v>
      </c>
    </row>
    <row r="30" spans="2:19">
      <c r="B30" s="199" t="s">
        <v>38</v>
      </c>
      <c r="C30" s="199"/>
      <c r="D30" s="201">
        <v>13330</v>
      </c>
      <c r="E30" s="202">
        <v>100</v>
      </c>
      <c r="F30" s="201">
        <f>E30*D30</f>
        <v>1333000</v>
      </c>
      <c r="G30" s="201"/>
      <c r="H30" s="202"/>
      <c r="I30" s="201">
        <f>+D30/31*$I$1</f>
        <v>3440</v>
      </c>
      <c r="J30" s="202">
        <f>+E30</f>
        <v>100</v>
      </c>
      <c r="K30" s="201">
        <f>J30*I30</f>
        <v>344000</v>
      </c>
      <c r="L30" s="201"/>
      <c r="M30" s="202"/>
      <c r="N30" s="201" t="e">
        <f>#REF!+#REF!</f>
        <v>#REF!</v>
      </c>
      <c r="O30" s="202" t="e">
        <f>#REF!</f>
        <v>#REF!</v>
      </c>
      <c r="P30" s="201" t="e">
        <f>O30*N30</f>
        <v>#REF!</v>
      </c>
      <c r="Q30" s="204" t="e">
        <f t="shared" si="12"/>
        <v>#REF!</v>
      </c>
      <c r="R30" s="204" t="e">
        <f t="shared" si="12"/>
        <v>#REF!</v>
      </c>
      <c r="S30" s="205" t="e">
        <f>+P30-K30</f>
        <v>#REF!</v>
      </c>
    </row>
    <row r="31" spans="2:19">
      <c r="B31" s="206" t="s">
        <v>36</v>
      </c>
      <c r="C31" s="206"/>
      <c r="D31" s="209">
        <v>1775</v>
      </c>
      <c r="E31" s="208">
        <v>110</v>
      </c>
      <c r="F31" s="209">
        <f>E31*D31</f>
        <v>195250</v>
      </c>
      <c r="G31" s="209"/>
      <c r="H31" s="208"/>
      <c r="I31" s="209">
        <f>+D31/31*$I$1</f>
        <v>458.06451612903226</v>
      </c>
      <c r="J31" s="202">
        <f>+E31</f>
        <v>110</v>
      </c>
      <c r="K31" s="209">
        <f>J31*I31</f>
        <v>50387.096774193546</v>
      </c>
      <c r="L31" s="209"/>
      <c r="M31" s="208"/>
      <c r="N31" s="209" t="e">
        <f>#REF!+#REF!</f>
        <v>#REF!</v>
      </c>
      <c r="O31" s="208">
        <v>0</v>
      </c>
      <c r="P31" s="209" t="e">
        <f>O31*N31</f>
        <v>#REF!</v>
      </c>
      <c r="Q31" s="204" t="e">
        <f t="shared" si="12"/>
        <v>#REF!</v>
      </c>
      <c r="R31" s="204">
        <f t="shared" si="12"/>
        <v>-110</v>
      </c>
      <c r="S31" s="205" t="e">
        <f>+P31-K31</f>
        <v>#REF!</v>
      </c>
    </row>
    <row r="32" spans="2:19" s="196" customFormat="1" ht="13.5" thickBot="1">
      <c r="B32" s="196" t="s">
        <v>335</v>
      </c>
      <c r="D32" s="212">
        <f>SUM(D29:D31)</f>
        <v>66655</v>
      </c>
      <c r="E32" s="198">
        <f>F32/D32</f>
        <v>115.73400345060385</v>
      </c>
      <c r="F32" s="212">
        <f>SUM(F29:F31)</f>
        <v>7714250</v>
      </c>
      <c r="G32" s="213"/>
      <c r="H32" s="198"/>
      <c r="I32" s="212">
        <f>SUM(I29:I31)</f>
        <v>17201.290322580648</v>
      </c>
      <c r="J32" s="198">
        <f>K32/I32</f>
        <v>115.73400345060384</v>
      </c>
      <c r="K32" s="212">
        <f>SUM(K29:K31)</f>
        <v>1990774.1935483871</v>
      </c>
      <c r="L32" s="213"/>
      <c r="M32" s="198"/>
      <c r="N32" s="212" t="e">
        <f>SUM(N29:N31)</f>
        <v>#REF!</v>
      </c>
      <c r="O32" s="198" t="e">
        <f>P32/N32</f>
        <v>#REF!</v>
      </c>
      <c r="P32" s="212" t="e">
        <f>SUM(P29:P31)</f>
        <v>#REF!</v>
      </c>
      <c r="Q32" s="204" t="e">
        <f t="shared" si="12"/>
        <v>#REF!</v>
      </c>
      <c r="R32" s="204" t="e">
        <f t="shared" si="12"/>
        <v>#REF!</v>
      </c>
      <c r="S32" s="205" t="e">
        <f>+P32-K32</f>
        <v>#REF!</v>
      </c>
    </row>
    <row r="33" spans="1:19" ht="13.5" thickTop="1">
      <c r="B33" s="140" t="s">
        <v>336</v>
      </c>
      <c r="D33" s="193">
        <f>D27+D32</f>
        <v>821719</v>
      </c>
      <c r="I33" s="193">
        <f>I27+I32</f>
        <v>212056.51612903227</v>
      </c>
      <c r="J33" s="194"/>
      <c r="K33" s="193"/>
      <c r="L33" s="193"/>
      <c r="M33" s="194"/>
      <c r="N33" s="193" t="e">
        <f>N27+N32</f>
        <v>#REF!</v>
      </c>
      <c r="O33" s="194"/>
      <c r="P33" s="193"/>
      <c r="Q33" s="204" t="e">
        <f t="shared" ref="Q33:R91" si="13">+N33-I33</f>
        <v>#REF!</v>
      </c>
      <c r="R33" s="204">
        <f t="shared" si="13"/>
        <v>0</v>
      </c>
      <c r="S33" s="205">
        <f t="shared" ref="S33:S91" si="14">+P33-K33</f>
        <v>0</v>
      </c>
    </row>
    <row r="34" spans="1:19">
      <c r="A34" s="195">
        <v>511364</v>
      </c>
      <c r="B34" s="206" t="s">
        <v>337</v>
      </c>
      <c r="C34" s="223">
        <v>0.12</v>
      </c>
      <c r="D34" s="220">
        <f>A34*C34</f>
        <v>61363.68</v>
      </c>
      <c r="E34" s="208"/>
      <c r="F34" s="209"/>
      <c r="G34" s="209"/>
      <c r="H34" s="224">
        <f>+A34/31*I1</f>
        <v>131964.90322580645</v>
      </c>
      <c r="I34" s="220">
        <f>C34*H34</f>
        <v>15835.788387096774</v>
      </c>
      <c r="J34" s="208"/>
      <c r="K34" s="209"/>
      <c r="L34" s="209"/>
      <c r="M34" s="243" t="e">
        <f>+N34/#REF!</f>
        <v>#REF!</v>
      </c>
      <c r="N34" s="220" t="e">
        <f>#REF!+#REF!</f>
        <v>#REF!</v>
      </c>
      <c r="O34" s="208"/>
      <c r="P34" s="209"/>
      <c r="Q34" s="204" t="e">
        <f t="shared" si="13"/>
        <v>#REF!</v>
      </c>
      <c r="R34" s="204">
        <f t="shared" si="13"/>
        <v>0</v>
      </c>
      <c r="S34" s="205">
        <f t="shared" si="14"/>
        <v>0</v>
      </c>
    </row>
    <row r="35" spans="1:19">
      <c r="I35" s="193"/>
      <c r="J35" s="194"/>
      <c r="K35" s="193"/>
      <c r="L35" s="193"/>
      <c r="M35" s="194"/>
      <c r="N35" s="193"/>
      <c r="O35" s="194"/>
      <c r="P35" s="193"/>
      <c r="Q35" s="204">
        <f t="shared" si="13"/>
        <v>0</v>
      </c>
      <c r="R35" s="204">
        <f t="shared" si="13"/>
        <v>0</v>
      </c>
      <c r="S35" s="205">
        <f t="shared" si="14"/>
        <v>0</v>
      </c>
    </row>
    <row r="36" spans="1:19">
      <c r="B36" s="206" t="s">
        <v>338</v>
      </c>
      <c r="C36" s="206"/>
      <c r="D36" s="209">
        <f>D33-D34</f>
        <v>760355.32</v>
      </c>
      <c r="E36" s="208"/>
      <c r="F36" s="209"/>
      <c r="G36" s="209"/>
      <c r="H36" s="208"/>
      <c r="I36" s="209">
        <f>I33-I34</f>
        <v>196220.72774193549</v>
      </c>
      <c r="J36" s="208"/>
      <c r="K36" s="209"/>
      <c r="L36" s="209"/>
      <c r="M36" s="208"/>
      <c r="N36" s="209" t="e">
        <f>N33-N34</f>
        <v>#REF!</v>
      </c>
      <c r="O36" s="208"/>
      <c r="P36" s="209"/>
      <c r="Q36" s="204" t="e">
        <f t="shared" si="13"/>
        <v>#REF!</v>
      </c>
      <c r="R36" s="204">
        <f t="shared" si="13"/>
        <v>0</v>
      </c>
      <c r="S36" s="205">
        <f t="shared" si="14"/>
        <v>0</v>
      </c>
    </row>
    <row r="37" spans="1:19">
      <c r="I37" s="193"/>
      <c r="J37" s="194"/>
      <c r="K37" s="193"/>
      <c r="L37" s="193"/>
      <c r="M37" s="194"/>
      <c r="N37" s="193"/>
      <c r="O37" s="194"/>
      <c r="P37" s="193"/>
      <c r="Q37" s="204">
        <f t="shared" si="13"/>
        <v>0</v>
      </c>
      <c r="R37" s="204">
        <f t="shared" si="13"/>
        <v>0</v>
      </c>
      <c r="S37" s="205">
        <f t="shared" si="14"/>
        <v>0</v>
      </c>
    </row>
    <row r="38" spans="1:19">
      <c r="B38" s="199" t="s">
        <v>339</v>
      </c>
      <c r="C38" s="199"/>
      <c r="D38" s="201">
        <f>D16</f>
        <v>15000</v>
      </c>
      <c r="E38" s="202"/>
      <c r="F38" s="201"/>
      <c r="G38" s="201"/>
      <c r="H38" s="202"/>
      <c r="I38" s="201">
        <f>I16</f>
        <v>3870.9677419354848</v>
      </c>
      <c r="J38" s="202"/>
      <c r="K38" s="201"/>
      <c r="L38" s="201"/>
      <c r="M38" s="202"/>
      <c r="N38" s="201" t="e">
        <f>N16</f>
        <v>#REF!</v>
      </c>
      <c r="O38" s="202"/>
      <c r="P38" s="201"/>
      <c r="Q38" s="204" t="e">
        <f t="shared" si="13"/>
        <v>#REF!</v>
      </c>
      <c r="R38" s="204">
        <f t="shared" si="13"/>
        <v>0</v>
      </c>
      <c r="S38" s="205">
        <f t="shared" si="14"/>
        <v>0</v>
      </c>
    </row>
    <row r="39" spans="1:19">
      <c r="B39" s="199" t="s">
        <v>340</v>
      </c>
      <c r="C39" s="199"/>
      <c r="D39" s="201">
        <f>D18</f>
        <v>14700</v>
      </c>
      <c r="E39" s="202"/>
      <c r="F39" s="201"/>
      <c r="G39" s="201"/>
      <c r="H39" s="202"/>
      <c r="I39" s="201">
        <f>I18</f>
        <v>3793.5483870967751</v>
      </c>
      <c r="J39" s="202"/>
      <c r="K39" s="201"/>
      <c r="L39" s="201"/>
      <c r="M39" s="202"/>
      <c r="N39" s="201" t="e">
        <f>N18</f>
        <v>#REF!</v>
      </c>
      <c r="O39" s="202"/>
      <c r="P39" s="201"/>
      <c r="Q39" s="204" t="e">
        <f t="shared" si="13"/>
        <v>#REF!</v>
      </c>
      <c r="R39" s="204">
        <f t="shared" si="13"/>
        <v>0</v>
      </c>
      <c r="S39" s="205">
        <f t="shared" si="14"/>
        <v>0</v>
      </c>
    </row>
    <row r="40" spans="1:19">
      <c r="B40" s="199" t="s">
        <v>341</v>
      </c>
      <c r="C40" s="199"/>
      <c r="D40" s="201">
        <f>D26</f>
        <v>8691</v>
      </c>
      <c r="E40" s="202"/>
      <c r="F40" s="201"/>
      <c r="G40" s="201"/>
      <c r="H40" s="202"/>
      <c r="I40" s="201">
        <f>I26</f>
        <v>2242.83870967742</v>
      </c>
      <c r="J40" s="202"/>
      <c r="K40" s="201"/>
      <c r="L40" s="201"/>
      <c r="M40" s="202"/>
      <c r="N40" s="201" t="e">
        <f>N26</f>
        <v>#REF!</v>
      </c>
      <c r="O40" s="202"/>
      <c r="P40" s="201"/>
      <c r="Q40" s="204" t="e">
        <f t="shared" si="13"/>
        <v>#REF!</v>
      </c>
      <c r="R40" s="204">
        <f t="shared" si="13"/>
        <v>0</v>
      </c>
      <c r="S40" s="205">
        <f t="shared" si="14"/>
        <v>0</v>
      </c>
    </row>
    <row r="41" spans="1:19">
      <c r="B41" s="206" t="s">
        <v>342</v>
      </c>
      <c r="C41" s="206"/>
      <c r="D41" s="209">
        <f>D34</f>
        <v>61363.68</v>
      </c>
      <c r="E41" s="208"/>
      <c r="F41" s="209"/>
      <c r="G41" s="209"/>
      <c r="H41" s="208"/>
      <c r="I41" s="209">
        <f>I34</f>
        <v>15835.788387096774</v>
      </c>
      <c r="J41" s="208"/>
      <c r="K41" s="209"/>
      <c r="L41" s="209"/>
      <c r="M41" s="208"/>
      <c r="N41" s="209" t="e">
        <f>N34</f>
        <v>#REF!</v>
      </c>
      <c r="O41" s="208"/>
      <c r="P41" s="209"/>
      <c r="Q41" s="204" t="e">
        <f t="shared" si="13"/>
        <v>#REF!</v>
      </c>
      <c r="R41" s="204">
        <f t="shared" si="13"/>
        <v>0</v>
      </c>
      <c r="S41" s="205">
        <f t="shared" si="14"/>
        <v>0</v>
      </c>
    </row>
    <row r="42" spans="1:19" ht="13.5" thickBot="1">
      <c r="B42" s="140" t="s">
        <v>343</v>
      </c>
      <c r="C42" s="225">
        <f>+D42/D54</f>
        <v>0.13123716304219124</v>
      </c>
      <c r="D42" s="212">
        <f>SUM(D38:D41)</f>
        <v>99754.68</v>
      </c>
      <c r="H42" s="225">
        <f>+I42/I54</f>
        <v>0.13123716304219127</v>
      </c>
      <c r="I42" s="212">
        <f>SUM(I38:I41)</f>
        <v>25743.143225806452</v>
      </c>
      <c r="J42" s="194"/>
      <c r="K42" s="193"/>
      <c r="L42" s="193"/>
      <c r="M42" s="225" t="e">
        <f>+N42/N54</f>
        <v>#REF!</v>
      </c>
      <c r="N42" s="212" t="e">
        <f>SUM(N38:N41)</f>
        <v>#REF!</v>
      </c>
      <c r="O42" s="194"/>
      <c r="P42" s="193"/>
      <c r="Q42" s="204" t="e">
        <f t="shared" si="13"/>
        <v>#REF!</v>
      </c>
      <c r="R42" s="204">
        <f t="shared" si="13"/>
        <v>0</v>
      </c>
      <c r="S42" s="205">
        <f t="shared" si="14"/>
        <v>0</v>
      </c>
    </row>
    <row r="43" spans="1:19" ht="13.5" thickTop="1">
      <c r="B43" s="140" t="s">
        <v>344</v>
      </c>
      <c r="D43" s="193">
        <f>D42-D45</f>
        <v>-245.32000000000698</v>
      </c>
      <c r="E43" s="194">
        <v>20</v>
      </c>
      <c r="F43" s="193">
        <f t="shared" ref="F43:F48" si="15">E43*D43</f>
        <v>-4906.4000000001397</v>
      </c>
      <c r="I43" s="193">
        <f>I42-I45</f>
        <v>-63.308387096774823</v>
      </c>
      <c r="J43" s="194">
        <f>+E43</f>
        <v>20</v>
      </c>
      <c r="K43" s="193">
        <f t="shared" ref="K43:K48" si="16">J43*I43</f>
        <v>-1266.1677419354965</v>
      </c>
      <c r="L43" s="193"/>
      <c r="M43" s="194"/>
      <c r="N43" s="193" t="e">
        <f>#REF!</f>
        <v>#REF!</v>
      </c>
      <c r="O43" s="194" t="e">
        <f>+P43/N43</f>
        <v>#REF!</v>
      </c>
      <c r="P43" s="248">
        <f>Sheet3!L12+Sheet3!L13</f>
        <v>119400</v>
      </c>
      <c r="Q43" s="204" t="e">
        <f t="shared" si="13"/>
        <v>#REF!</v>
      </c>
      <c r="R43" s="204" t="e">
        <f t="shared" si="13"/>
        <v>#REF!</v>
      </c>
      <c r="S43" s="205">
        <f t="shared" si="14"/>
        <v>120666.1677419355</v>
      </c>
    </row>
    <row r="44" spans="1:19">
      <c r="B44" s="199" t="s">
        <v>367</v>
      </c>
      <c r="C44" s="199"/>
      <c r="D44" s="201"/>
      <c r="E44" s="202"/>
      <c r="F44" s="201"/>
      <c r="G44" s="201"/>
      <c r="H44" s="202"/>
      <c r="I44" s="201"/>
      <c r="J44" s="202"/>
      <c r="K44" s="201"/>
      <c r="L44" s="201"/>
      <c r="M44" s="202"/>
      <c r="N44" s="201" t="e">
        <f>-#REF!</f>
        <v>#REF!</v>
      </c>
      <c r="O44" s="202" t="e">
        <f>+P44/N44</f>
        <v>#REF!</v>
      </c>
      <c r="P44" s="201">
        <f>-Wastage!AD21</f>
        <v>0</v>
      </c>
      <c r="Q44" s="204" t="e">
        <f t="shared" si="13"/>
        <v>#REF!</v>
      </c>
      <c r="R44" s="204" t="e">
        <f t="shared" si="13"/>
        <v>#REF!</v>
      </c>
      <c r="S44" s="205">
        <f t="shared" si="14"/>
        <v>0</v>
      </c>
    </row>
    <row r="45" spans="1:19">
      <c r="B45" s="199" t="s">
        <v>345</v>
      </c>
      <c r="C45" s="199"/>
      <c r="D45" s="201">
        <f>D13</f>
        <v>100000</v>
      </c>
      <c r="E45" s="202">
        <v>0</v>
      </c>
      <c r="F45" s="201">
        <f t="shared" si="15"/>
        <v>0</v>
      </c>
      <c r="G45" s="201"/>
      <c r="H45" s="202"/>
      <c r="I45" s="201">
        <f>I13</f>
        <v>25806.451612903227</v>
      </c>
      <c r="J45" s="194">
        <f>+E45</f>
        <v>0</v>
      </c>
      <c r="K45" s="201">
        <f t="shared" si="16"/>
        <v>0</v>
      </c>
      <c r="L45" s="201"/>
      <c r="M45" s="202"/>
      <c r="N45" s="201" t="e">
        <f>#REF!-#REF!</f>
        <v>#REF!</v>
      </c>
      <c r="O45" s="202"/>
      <c r="P45" s="201" t="e">
        <f>O45*N45</f>
        <v>#REF!</v>
      </c>
      <c r="Q45" s="204" t="e">
        <f t="shared" si="13"/>
        <v>#REF!</v>
      </c>
      <c r="R45" s="204">
        <f t="shared" si="13"/>
        <v>0</v>
      </c>
      <c r="S45" s="205" t="e">
        <f t="shared" si="14"/>
        <v>#REF!</v>
      </c>
    </row>
    <row r="46" spans="1:19">
      <c r="B46" s="199" t="s">
        <v>346</v>
      </c>
      <c r="C46" s="199"/>
      <c r="D46" s="201">
        <f>A34-D34</f>
        <v>450000.32</v>
      </c>
      <c r="E46" s="202">
        <v>155</v>
      </c>
      <c r="F46" s="201">
        <f t="shared" si="15"/>
        <v>69750049.599999994</v>
      </c>
      <c r="G46" s="201"/>
      <c r="H46" s="202"/>
      <c r="I46" s="201">
        <f>H34-I34</f>
        <v>116129.11483870968</v>
      </c>
      <c r="J46" s="194">
        <f>+E46</f>
        <v>155</v>
      </c>
      <c r="K46" s="201">
        <f t="shared" si="16"/>
        <v>18000012.800000001</v>
      </c>
      <c r="L46" s="201"/>
      <c r="M46" s="202"/>
      <c r="N46" s="201" t="e">
        <f>#REF!+#REF!</f>
        <v>#REF!</v>
      </c>
      <c r="O46" s="202" t="e">
        <f>+P46/N46</f>
        <v>#REF!</v>
      </c>
      <c r="P46" s="249">
        <f>Sheet3!L7+Sheet3!L14</f>
        <v>49706724.149999999</v>
      </c>
      <c r="Q46" s="204" t="e">
        <f t="shared" si="13"/>
        <v>#REF!</v>
      </c>
      <c r="R46" s="204" t="e">
        <f t="shared" si="13"/>
        <v>#REF!</v>
      </c>
      <c r="S46" s="205">
        <f t="shared" si="14"/>
        <v>31706711.349999998</v>
      </c>
    </row>
    <row r="47" spans="1:19">
      <c r="B47" s="199" t="s">
        <v>368</v>
      </c>
      <c r="C47" s="199"/>
      <c r="D47" s="201"/>
      <c r="E47" s="202"/>
      <c r="F47" s="201"/>
      <c r="G47" s="201"/>
      <c r="H47" s="202"/>
      <c r="I47" s="201"/>
      <c r="J47" s="202"/>
      <c r="K47" s="201"/>
      <c r="L47" s="201"/>
      <c r="M47" s="202"/>
      <c r="N47" s="201" t="e">
        <f>-#REF!-#REF!</f>
        <v>#REF!</v>
      </c>
      <c r="O47" s="202" t="e">
        <f>+P47/N47</f>
        <v>#REF!</v>
      </c>
      <c r="P47" s="201" t="e">
        <f>-#REF!-#REF!</f>
        <v>#REF!</v>
      </c>
      <c r="Q47" s="204" t="e">
        <f t="shared" si="13"/>
        <v>#REF!</v>
      </c>
      <c r="R47" s="204" t="e">
        <f t="shared" si="13"/>
        <v>#REF!</v>
      </c>
      <c r="S47" s="205" t="e">
        <f t="shared" si="14"/>
        <v>#REF!</v>
      </c>
    </row>
    <row r="48" spans="1:19">
      <c r="B48" s="199" t="s">
        <v>347</v>
      </c>
      <c r="C48" s="199"/>
      <c r="D48" s="201">
        <f>D36-D46</f>
        <v>310354.99999999994</v>
      </c>
      <c r="E48" s="202">
        <v>92</v>
      </c>
      <c r="F48" s="201">
        <f t="shared" si="15"/>
        <v>28552659.999999996</v>
      </c>
      <c r="G48" s="201"/>
      <c r="H48" s="202"/>
      <c r="I48" s="201">
        <f>I36-I46</f>
        <v>80091.612903225818</v>
      </c>
      <c r="J48" s="194">
        <f>+E48</f>
        <v>92</v>
      </c>
      <c r="K48" s="201">
        <f t="shared" si="16"/>
        <v>7368428.3870967757</v>
      </c>
      <c r="L48" s="201"/>
      <c r="M48" s="202"/>
      <c r="N48" s="201" t="e">
        <f>+#REF!+#REF!+Sheet3!J11+Sheet3!J14</f>
        <v>#REF!</v>
      </c>
      <c r="O48" s="202" t="e">
        <f>+P48/N48</f>
        <v>#REF!</v>
      </c>
      <c r="P48" s="249">
        <f>Sheet3!L8+Sheet3!L9+Sheet3!L11</f>
        <v>13140501.57</v>
      </c>
      <c r="Q48" s="204" t="e">
        <f t="shared" si="13"/>
        <v>#REF!</v>
      </c>
      <c r="R48" s="204" t="e">
        <f t="shared" si="13"/>
        <v>#REF!</v>
      </c>
      <c r="S48" s="205">
        <f t="shared" si="14"/>
        <v>5772073.1829032246</v>
      </c>
    </row>
    <row r="49" spans="2:23">
      <c r="B49" s="206" t="s">
        <v>369</v>
      </c>
      <c r="C49" s="206"/>
      <c r="D49" s="209"/>
      <c r="E49" s="208"/>
      <c r="F49" s="209"/>
      <c r="G49" s="209"/>
      <c r="H49" s="208"/>
      <c r="I49" s="209"/>
      <c r="J49" s="208"/>
      <c r="K49" s="209"/>
      <c r="L49" s="209"/>
      <c r="M49" s="208"/>
      <c r="N49" s="209" t="e">
        <f>-#REF!-#REF!-#REF!-#REF!</f>
        <v>#REF!</v>
      </c>
      <c r="O49" s="208" t="e">
        <f>+P49/N49</f>
        <v>#REF!</v>
      </c>
      <c r="P49" s="209" t="e">
        <f>-'Unlaminated Fabric'!U34-'Lam Fabric'!U16-Tape!S9-#REF!</f>
        <v>#REF!</v>
      </c>
      <c r="Q49" s="204" t="e">
        <f t="shared" si="13"/>
        <v>#REF!</v>
      </c>
      <c r="R49" s="204" t="e">
        <f t="shared" si="13"/>
        <v>#REF!</v>
      </c>
      <c r="S49" s="205" t="e">
        <f t="shared" si="14"/>
        <v>#REF!</v>
      </c>
    </row>
    <row r="50" spans="2:23">
      <c r="I50" s="193"/>
      <c r="J50" s="194"/>
      <c r="K50" s="193"/>
      <c r="L50" s="193"/>
      <c r="M50" s="194"/>
      <c r="N50" s="193"/>
      <c r="O50" s="194"/>
      <c r="P50" s="193"/>
      <c r="Q50" s="204">
        <f t="shared" si="13"/>
        <v>0</v>
      </c>
      <c r="R50" s="204">
        <f t="shared" si="13"/>
        <v>0</v>
      </c>
      <c r="S50" s="205">
        <f t="shared" si="14"/>
        <v>0</v>
      </c>
    </row>
    <row r="51" spans="2:23" ht="13.5" thickBot="1">
      <c r="B51" s="226" t="s">
        <v>348</v>
      </c>
      <c r="C51" s="226"/>
      <c r="D51" s="221">
        <f>SUM(D43:D50)-D45</f>
        <v>760110</v>
      </c>
      <c r="E51" s="227">
        <f>+F51/D51</f>
        <v>129.32049729644393</v>
      </c>
      <c r="F51" s="221">
        <f>SUM(F43:F50)</f>
        <v>98297803.199999988</v>
      </c>
      <c r="G51" s="211"/>
      <c r="I51" s="221">
        <f>SUM(I43:I50)-I45</f>
        <v>196157.41935483873</v>
      </c>
      <c r="J51" s="227">
        <f>+K51/I51</f>
        <v>129.32049729644393</v>
      </c>
      <c r="K51" s="221">
        <f>SUM(K43:K50)</f>
        <v>25367175.019354843</v>
      </c>
      <c r="L51" s="211"/>
      <c r="M51" s="194"/>
      <c r="N51" s="221" t="e">
        <f>SUM(N43:N50)-N45</f>
        <v>#REF!</v>
      </c>
      <c r="O51" s="227" t="e">
        <f>P51/N51</f>
        <v>#REF!</v>
      </c>
      <c r="P51" s="221" t="e">
        <f>SUM(P43:P50)</f>
        <v>#REF!</v>
      </c>
      <c r="Q51" s="204" t="e">
        <f t="shared" si="13"/>
        <v>#REF!</v>
      </c>
      <c r="R51" s="204" t="e">
        <f t="shared" si="13"/>
        <v>#REF!</v>
      </c>
      <c r="S51" s="205" t="e">
        <f t="shared" si="14"/>
        <v>#REF!</v>
      </c>
      <c r="U51" s="124">
        <f>+P43+P46+P48+SUM(F74:F81)</f>
        <v>64943956.719999999</v>
      </c>
    </row>
    <row r="52" spans="2:23" ht="13.5" thickTop="1">
      <c r="I52" s="193"/>
      <c r="J52" s="194"/>
      <c r="K52" s="193"/>
      <c r="L52" s="193"/>
      <c r="M52" s="194"/>
      <c r="N52" s="193"/>
      <c r="O52" s="194"/>
      <c r="P52" s="193"/>
      <c r="Q52" s="204">
        <f t="shared" si="13"/>
        <v>0</v>
      </c>
      <c r="R52" s="204">
        <f t="shared" si="13"/>
        <v>0</v>
      </c>
      <c r="S52" s="205">
        <f t="shared" si="14"/>
        <v>0</v>
      </c>
    </row>
    <row r="53" spans="2:23">
      <c r="B53" s="140" t="s">
        <v>349</v>
      </c>
      <c r="I53" s="193"/>
      <c r="J53" s="194"/>
      <c r="K53" s="193"/>
      <c r="L53" s="193"/>
      <c r="M53" s="194"/>
      <c r="N53" s="193"/>
      <c r="O53" s="194"/>
      <c r="P53" s="193"/>
      <c r="Q53" s="204">
        <f t="shared" si="13"/>
        <v>0</v>
      </c>
      <c r="R53" s="204">
        <f t="shared" si="13"/>
        <v>0</v>
      </c>
      <c r="S53" s="205">
        <f t="shared" si="14"/>
        <v>0</v>
      </c>
    </row>
    <row r="54" spans="2:23">
      <c r="B54" s="199" t="s">
        <v>103</v>
      </c>
      <c r="C54" s="199"/>
      <c r="D54" s="358">
        <f>+D43+D46+D48</f>
        <v>760110</v>
      </c>
      <c r="E54" s="202">
        <f>F54/D54</f>
        <v>72.885830340345478</v>
      </c>
      <c r="F54" s="201">
        <f>F14+F27+F32</f>
        <v>55401248.5</v>
      </c>
      <c r="G54" s="228">
        <f>+E51-E54</f>
        <v>56.434666956098454</v>
      </c>
      <c r="H54" s="202"/>
      <c r="I54" s="358">
        <f>+I43+I46+I48</f>
        <v>196157.41935483873</v>
      </c>
      <c r="J54" s="202">
        <f>K54/I54</f>
        <v>72.885830340345464</v>
      </c>
      <c r="K54" s="201">
        <f>K14+K27+K32</f>
        <v>14297096.387096774</v>
      </c>
      <c r="L54" s="201"/>
      <c r="M54" s="202" t="e">
        <f>+O51-O54-O62-O63-O64</f>
        <v>#REF!</v>
      </c>
      <c r="N54" s="358" t="e">
        <f>N14+N25+N32-N42</f>
        <v>#REF!</v>
      </c>
      <c r="O54" s="202" t="e">
        <f>P54/$N$54</f>
        <v>#REF!</v>
      </c>
      <c r="P54" s="201" t="e">
        <f>P14+P27+P32</f>
        <v>#REF!</v>
      </c>
      <c r="Q54" s="204" t="e">
        <f t="shared" si="13"/>
        <v>#REF!</v>
      </c>
      <c r="R54" s="204" t="e">
        <f t="shared" si="13"/>
        <v>#REF!</v>
      </c>
      <c r="S54" s="205" t="e">
        <f t="shared" si="14"/>
        <v>#REF!</v>
      </c>
      <c r="U54" s="124" t="e">
        <f>+P54-P44-P47-P49+K82</f>
        <v>#REF!</v>
      </c>
      <c r="V54" s="39" t="e">
        <f>#REF!</f>
        <v>#REF!</v>
      </c>
      <c r="W54" s="124" t="e">
        <f>+V54-U54</f>
        <v>#REF!</v>
      </c>
    </row>
    <row r="55" spans="2:23">
      <c r="B55" s="199" t="s">
        <v>47</v>
      </c>
      <c r="C55" s="199"/>
      <c r="D55" s="358"/>
      <c r="E55" s="202">
        <f>+F55/D54</f>
        <v>17.760587283419504</v>
      </c>
      <c r="F55" s="201">
        <v>13500000</v>
      </c>
      <c r="G55" s="201"/>
      <c r="H55" s="201"/>
      <c r="I55" s="358"/>
      <c r="J55" s="202">
        <f>+K55/I54</f>
        <v>17.760587283419504</v>
      </c>
      <c r="K55" s="201">
        <f t="shared" ref="K55:K61" si="17">+F55/31*$I$1</f>
        <v>3483870.9677419355</v>
      </c>
      <c r="L55" s="201"/>
      <c r="M55" s="228" t="e">
        <f>+G54-M54</f>
        <v>#REF!</v>
      </c>
      <c r="N55" s="358"/>
      <c r="O55" s="202" t="e">
        <f t="shared" ref="O55:O64" si="18">P55/$N$54</f>
        <v>#REF!</v>
      </c>
      <c r="P55" s="222" t="e">
        <f>Budget!L16</f>
        <v>#REF!</v>
      </c>
      <c r="Q55" s="204">
        <f t="shared" si="13"/>
        <v>0</v>
      </c>
      <c r="R55" s="204" t="e">
        <f t="shared" si="13"/>
        <v>#REF!</v>
      </c>
      <c r="S55" s="205" t="e">
        <f t="shared" si="14"/>
        <v>#REF!</v>
      </c>
      <c r="T55" s="242"/>
      <c r="U55" s="124"/>
    </row>
    <row r="56" spans="2:23">
      <c r="B56" s="199" t="s">
        <v>46</v>
      </c>
      <c r="C56" s="199"/>
      <c r="D56" s="358"/>
      <c r="E56" s="202">
        <f>+F56/D54</f>
        <v>7.6304745365802322</v>
      </c>
      <c r="F56" s="201">
        <v>5800000</v>
      </c>
      <c r="G56" s="201"/>
      <c r="H56" s="202"/>
      <c r="I56" s="358"/>
      <c r="J56" s="202">
        <f>+K56/I54</f>
        <v>7.6304745365802313</v>
      </c>
      <c r="K56" s="201">
        <f t="shared" si="17"/>
        <v>1496774.1935483871</v>
      </c>
      <c r="L56" s="201"/>
      <c r="M56" s="216" t="e">
        <f>+M55*N54</f>
        <v>#REF!</v>
      </c>
      <c r="N56" s="358"/>
      <c r="O56" s="202" t="e">
        <f t="shared" si="18"/>
        <v>#REF!</v>
      </c>
      <c r="P56" s="222" t="e">
        <f>Budget!L17</f>
        <v>#REF!</v>
      </c>
      <c r="Q56" s="204">
        <f t="shared" si="13"/>
        <v>0</v>
      </c>
      <c r="R56" s="204" t="e">
        <f t="shared" si="13"/>
        <v>#REF!</v>
      </c>
      <c r="S56" s="205" t="e">
        <f t="shared" si="14"/>
        <v>#REF!</v>
      </c>
      <c r="U56" s="124"/>
    </row>
    <row r="57" spans="2:23">
      <c r="B57" s="199" t="s">
        <v>147</v>
      </c>
      <c r="C57" s="199"/>
      <c r="D57" s="358"/>
      <c r="E57" s="202">
        <f>+F57/D54</f>
        <v>3.6836773624870083</v>
      </c>
      <c r="F57" s="201">
        <v>2800000</v>
      </c>
      <c r="G57" s="201"/>
      <c r="H57" s="202"/>
      <c r="I57" s="358"/>
      <c r="J57" s="202">
        <f>+K57/I54</f>
        <v>3.6836773624870078</v>
      </c>
      <c r="K57" s="201">
        <f t="shared" si="17"/>
        <v>722580.6451612903</v>
      </c>
      <c r="L57" s="201"/>
      <c r="M57" s="202" t="e">
        <f>+N54*1.45</f>
        <v>#REF!</v>
      </c>
      <c r="N57" s="358"/>
      <c r="O57" s="202" t="e">
        <f t="shared" si="18"/>
        <v>#REF!</v>
      </c>
      <c r="P57" s="222" t="e">
        <f>Budget!L18</f>
        <v>#REF!</v>
      </c>
      <c r="Q57" s="204">
        <f t="shared" si="13"/>
        <v>0</v>
      </c>
      <c r="R57" s="204" t="e">
        <f t="shared" si="13"/>
        <v>#REF!</v>
      </c>
      <c r="S57" s="205" t="e">
        <f t="shared" si="14"/>
        <v>#REF!</v>
      </c>
    </row>
    <row r="58" spans="2:23">
      <c r="B58" s="199" t="s">
        <v>350</v>
      </c>
      <c r="C58" s="199"/>
      <c r="D58" s="358"/>
      <c r="E58" s="202">
        <f>+F58/D54</f>
        <v>6.5779952901553722</v>
      </c>
      <c r="F58" s="201">
        <v>5000000</v>
      </c>
      <c r="G58" s="201"/>
      <c r="H58" s="202"/>
      <c r="I58" s="358"/>
      <c r="J58" s="202">
        <f>+K58/I54</f>
        <v>6.5779952901553713</v>
      </c>
      <c r="K58" s="201">
        <f t="shared" si="17"/>
        <v>1290322.5806451612</v>
      </c>
      <c r="L58" s="201"/>
      <c r="M58" s="202"/>
      <c r="N58" s="358"/>
      <c r="O58" s="202" t="e">
        <f t="shared" si="18"/>
        <v>#REF!</v>
      </c>
      <c r="P58" s="201" t="e">
        <f>#REF!-#REF!-#REF!-#REF!</f>
        <v>#REF!</v>
      </c>
      <c r="Q58" s="204">
        <f t="shared" si="13"/>
        <v>0</v>
      </c>
      <c r="R58" s="204" t="e">
        <f t="shared" si="13"/>
        <v>#REF!</v>
      </c>
      <c r="S58" s="205" t="e">
        <f t="shared" si="14"/>
        <v>#REF!</v>
      </c>
    </row>
    <row r="59" spans="2:23">
      <c r="B59" s="199" t="s">
        <v>351</v>
      </c>
      <c r="C59" s="199"/>
      <c r="D59" s="358"/>
      <c r="E59" s="202">
        <f>+F59/D54</f>
        <v>2.9600999855284105</v>
      </c>
      <c r="F59" s="201">
        <f>+D46*5</f>
        <v>2250001.6</v>
      </c>
      <c r="G59" s="201"/>
      <c r="H59" s="202"/>
      <c r="I59" s="358"/>
      <c r="J59" s="202">
        <f>+K59/I54</f>
        <v>2.96009998552841</v>
      </c>
      <c r="K59" s="201">
        <f t="shared" si="17"/>
        <v>580645.57419354841</v>
      </c>
      <c r="L59" s="201"/>
      <c r="M59" s="202"/>
      <c r="N59" s="358"/>
      <c r="O59" s="202" t="e">
        <f t="shared" si="18"/>
        <v>#REF!</v>
      </c>
      <c r="P59" s="201" t="e">
        <f>Budget!L21</f>
        <v>#REF!</v>
      </c>
      <c r="Q59" s="204">
        <f t="shared" si="13"/>
        <v>0</v>
      </c>
      <c r="R59" s="204" t="e">
        <f t="shared" si="13"/>
        <v>#REF!</v>
      </c>
      <c r="S59" s="205" t="e">
        <f t="shared" si="14"/>
        <v>#REF!</v>
      </c>
    </row>
    <row r="60" spans="2:23">
      <c r="B60" s="199" t="s">
        <v>352</v>
      </c>
      <c r="C60" s="199"/>
      <c r="D60" s="358"/>
      <c r="E60" s="202">
        <f>+F60/D54</f>
        <v>-2.7528929865414211</v>
      </c>
      <c r="F60" s="201">
        <f>-F46*3%</f>
        <v>-2092501.4879999997</v>
      </c>
      <c r="G60" s="201"/>
      <c r="H60" s="202"/>
      <c r="I60" s="358"/>
      <c r="J60" s="202">
        <f>+K60/I54</f>
        <v>-2.7528929865414211</v>
      </c>
      <c r="K60" s="201">
        <f t="shared" si="17"/>
        <v>-540000.38399999996</v>
      </c>
      <c r="L60" s="201"/>
      <c r="M60" s="202"/>
      <c r="N60" s="358"/>
      <c r="O60" s="202" t="e">
        <f t="shared" si="18"/>
        <v>#REF!</v>
      </c>
      <c r="P60" s="201" t="e">
        <f>Budget!L24</f>
        <v>#REF!</v>
      </c>
      <c r="Q60" s="204">
        <f t="shared" si="13"/>
        <v>0</v>
      </c>
      <c r="R60" s="204" t="e">
        <f t="shared" si="13"/>
        <v>#REF!</v>
      </c>
      <c r="S60" s="205" t="e">
        <f t="shared" si="14"/>
        <v>#REF!</v>
      </c>
    </row>
    <row r="61" spans="2:23">
      <c r="B61" s="199" t="s">
        <v>353</v>
      </c>
      <c r="C61" s="199"/>
      <c r="D61" s="358"/>
      <c r="E61" s="202">
        <f>+F61/D54</f>
        <v>0</v>
      </c>
      <c r="F61" s="201">
        <f>-2000000*0</f>
        <v>0</v>
      </c>
      <c r="G61" s="201"/>
      <c r="H61" s="202"/>
      <c r="I61" s="358"/>
      <c r="J61" s="202">
        <f>+K61/I54</f>
        <v>0</v>
      </c>
      <c r="K61" s="201">
        <f t="shared" si="17"/>
        <v>0</v>
      </c>
      <c r="L61" s="201"/>
      <c r="M61" s="202"/>
      <c r="N61" s="358"/>
      <c r="O61" s="202" t="e">
        <f t="shared" si="18"/>
        <v>#REF!</v>
      </c>
      <c r="P61" s="201" t="e">
        <f>Budget!L25+#REF!</f>
        <v>#REF!</v>
      </c>
      <c r="Q61" s="204">
        <f t="shared" si="13"/>
        <v>0</v>
      </c>
      <c r="R61" s="204" t="e">
        <f t="shared" si="13"/>
        <v>#REF!</v>
      </c>
      <c r="S61" s="205" t="e">
        <f t="shared" si="14"/>
        <v>#REF!</v>
      </c>
    </row>
    <row r="62" spans="2:23">
      <c r="B62" s="199" t="s">
        <v>360</v>
      </c>
      <c r="C62" s="199"/>
      <c r="D62" s="201"/>
      <c r="E62" s="202"/>
      <c r="F62" s="201"/>
      <c r="G62" s="201"/>
      <c r="H62" s="202"/>
      <c r="I62" s="201"/>
      <c r="J62" s="202"/>
      <c r="K62" s="201"/>
      <c r="L62" s="201"/>
      <c r="M62" s="202"/>
      <c r="N62" s="358"/>
      <c r="O62" s="202" t="e">
        <f t="shared" si="18"/>
        <v>#REF!</v>
      </c>
      <c r="P62" s="201" t="e">
        <f>#REF!</f>
        <v>#REF!</v>
      </c>
      <c r="Q62" s="204">
        <f t="shared" si="13"/>
        <v>0</v>
      </c>
      <c r="R62" s="204" t="e">
        <f t="shared" si="13"/>
        <v>#REF!</v>
      </c>
      <c r="S62" s="205" t="e">
        <f t="shared" si="14"/>
        <v>#REF!</v>
      </c>
    </row>
    <row r="63" spans="2:23">
      <c r="B63" s="199" t="s">
        <v>364</v>
      </c>
      <c r="C63" s="199"/>
      <c r="D63" s="201"/>
      <c r="E63" s="202"/>
      <c r="F63" s="201"/>
      <c r="G63" s="201"/>
      <c r="H63" s="202"/>
      <c r="I63" s="201"/>
      <c r="J63" s="202"/>
      <c r="K63" s="201"/>
      <c r="L63" s="201"/>
      <c r="M63" s="202"/>
      <c r="N63" s="358"/>
      <c r="O63" s="202" t="e">
        <f t="shared" si="18"/>
        <v>#REF!</v>
      </c>
      <c r="P63" s="201">
        <v>0</v>
      </c>
      <c r="Q63" s="204">
        <f t="shared" si="13"/>
        <v>0</v>
      </c>
      <c r="R63" s="204" t="e">
        <f t="shared" si="13"/>
        <v>#REF!</v>
      </c>
      <c r="S63" s="205">
        <f t="shared" si="14"/>
        <v>0</v>
      </c>
    </row>
    <row r="64" spans="2:23">
      <c r="B64" s="199" t="s">
        <v>370</v>
      </c>
      <c r="C64" s="199"/>
      <c r="D64" s="201"/>
      <c r="E64" s="202"/>
      <c r="F64" s="201"/>
      <c r="G64" s="201"/>
      <c r="H64" s="202"/>
      <c r="I64" s="201"/>
      <c r="J64" s="202"/>
      <c r="K64" s="201"/>
      <c r="L64" s="201"/>
      <c r="M64" s="202"/>
      <c r="N64" s="358"/>
      <c r="O64" s="202" t="e">
        <f t="shared" si="18"/>
        <v>#REF!</v>
      </c>
      <c r="P64" s="201" t="e">
        <f>Budget!L26</f>
        <v>#REF!</v>
      </c>
      <c r="Q64" s="204">
        <f t="shared" si="13"/>
        <v>0</v>
      </c>
      <c r="R64" s="204" t="e">
        <f t="shared" si="13"/>
        <v>#REF!</v>
      </c>
      <c r="S64" s="205" t="e">
        <f t="shared" si="14"/>
        <v>#REF!</v>
      </c>
    </row>
    <row r="65" spans="2:19">
      <c r="B65" s="199" t="s">
        <v>56</v>
      </c>
      <c r="C65" s="199"/>
      <c r="D65" s="201"/>
      <c r="E65" s="202"/>
      <c r="F65" s="201" t="e">
        <f>#REF!</f>
        <v>#REF!</v>
      </c>
      <c r="G65" s="201"/>
      <c r="H65" s="202"/>
      <c r="I65" s="201"/>
      <c r="J65" s="202"/>
      <c r="K65" s="201" t="e">
        <f>+F65/31*$I$1</f>
        <v>#REF!</v>
      </c>
      <c r="L65" s="201"/>
      <c r="M65" s="202"/>
      <c r="N65" s="245"/>
      <c r="O65" s="202"/>
      <c r="P65" s="201"/>
      <c r="Q65" s="204">
        <f t="shared" si="13"/>
        <v>0</v>
      </c>
      <c r="R65" s="204">
        <f t="shared" si="13"/>
        <v>0</v>
      </c>
      <c r="S65" s="205" t="e">
        <f t="shared" si="14"/>
        <v>#REF!</v>
      </c>
    </row>
    <row r="66" spans="2:19">
      <c r="B66" s="199"/>
      <c r="C66" s="199"/>
      <c r="D66" s="201"/>
      <c r="E66" s="202"/>
      <c r="F66" s="201"/>
      <c r="G66" s="201"/>
      <c r="H66" s="202"/>
      <c r="I66" s="201"/>
      <c r="J66" s="202"/>
      <c r="K66" s="201"/>
      <c r="L66" s="201"/>
      <c r="M66" s="202"/>
      <c r="N66" s="245"/>
      <c r="O66" s="202"/>
      <c r="P66" s="201"/>
      <c r="Q66" s="204"/>
      <c r="R66" s="204"/>
      <c r="S66" s="205"/>
    </row>
    <row r="67" spans="2:19">
      <c r="B67" s="199" t="s">
        <v>362</v>
      </c>
      <c r="C67" s="199"/>
      <c r="D67" s="229"/>
      <c r="E67" s="202"/>
      <c r="F67" s="201"/>
      <c r="G67" s="201"/>
      <c r="H67" s="202"/>
      <c r="I67" s="229"/>
      <c r="J67" s="202"/>
      <c r="K67" s="201"/>
      <c r="L67" s="201"/>
      <c r="M67" s="202"/>
      <c r="N67" s="201" t="e">
        <f>#REF!-#REF!</f>
        <v>#REF!</v>
      </c>
      <c r="O67" s="202" t="e">
        <f>P67/N67</f>
        <v>#REF!</v>
      </c>
      <c r="P67" s="249" t="e">
        <f>-#REF!+#REF!</f>
        <v>#REF!</v>
      </c>
      <c r="Q67" s="204" t="e">
        <f t="shared" si="13"/>
        <v>#REF!</v>
      </c>
      <c r="R67" s="204" t="e">
        <f t="shared" si="13"/>
        <v>#REF!</v>
      </c>
      <c r="S67" s="205" t="e">
        <f t="shared" si="14"/>
        <v>#REF!</v>
      </c>
    </row>
    <row r="68" spans="2:19">
      <c r="B68" s="206" t="s">
        <v>49</v>
      </c>
      <c r="C68" s="206"/>
      <c r="D68" s="230"/>
      <c r="E68" s="208"/>
      <c r="F68" s="209"/>
      <c r="G68" s="209"/>
      <c r="H68" s="208"/>
      <c r="I68" s="230"/>
      <c r="J68" s="208"/>
      <c r="K68" s="209"/>
      <c r="L68" s="209"/>
      <c r="M68" s="208"/>
      <c r="N68" s="209" t="e">
        <f>+N67</f>
        <v>#REF!</v>
      </c>
      <c r="O68" s="208" t="e">
        <f>P68/N68</f>
        <v>#REF!</v>
      </c>
      <c r="P68" s="250" t="e">
        <f>Budget!P19</f>
        <v>#REF!</v>
      </c>
      <c r="Q68" s="204" t="e">
        <f t="shared" si="13"/>
        <v>#REF!</v>
      </c>
      <c r="R68" s="204" t="e">
        <f t="shared" si="13"/>
        <v>#REF!</v>
      </c>
      <c r="S68" s="205" t="e">
        <f t="shared" si="14"/>
        <v>#REF!</v>
      </c>
    </row>
    <row r="69" spans="2:19" ht="13.5" thickBot="1">
      <c r="B69" s="226"/>
      <c r="C69" s="226"/>
      <c r="D69" s="221">
        <f>+D54</f>
        <v>760110</v>
      </c>
      <c r="E69" s="227" t="e">
        <f>+F69/D69</f>
        <v>#REF!</v>
      </c>
      <c r="F69" s="221" t="e">
        <f>SUM(F54:F68)</f>
        <v>#REF!</v>
      </c>
      <c r="G69" s="211"/>
      <c r="I69" s="221">
        <f>+I54</f>
        <v>196157.41935483873</v>
      </c>
      <c r="J69" s="227" t="e">
        <f>+K69/I69</f>
        <v>#REF!</v>
      </c>
      <c r="K69" s="221" t="e">
        <f>SUM(K54:K68)</f>
        <v>#REF!</v>
      </c>
      <c r="L69" s="211"/>
      <c r="M69" s="194"/>
      <c r="N69" s="221" t="e">
        <f>+N54+N68</f>
        <v>#REF!</v>
      </c>
      <c r="O69" s="227" t="e">
        <f>P69/N69</f>
        <v>#REF!</v>
      </c>
      <c r="P69" s="221" t="e">
        <f>SUM(P54:P68)</f>
        <v>#REF!</v>
      </c>
      <c r="Q69" s="204" t="e">
        <f t="shared" si="13"/>
        <v>#REF!</v>
      </c>
      <c r="R69" s="204" t="e">
        <f t="shared" si="13"/>
        <v>#REF!</v>
      </c>
      <c r="S69" s="205" t="e">
        <f t="shared" si="14"/>
        <v>#REF!</v>
      </c>
    </row>
    <row r="70" spans="2:19" ht="13.5" thickTop="1">
      <c r="I70" s="193"/>
      <c r="J70" s="194"/>
      <c r="K70" s="193"/>
      <c r="L70" s="193"/>
      <c r="M70" s="194"/>
      <c r="N70" s="193"/>
      <c r="O70" s="194"/>
      <c r="P70" s="193"/>
      <c r="Q70" s="204">
        <f t="shared" si="13"/>
        <v>0</v>
      </c>
      <c r="R70" s="204">
        <f t="shared" si="13"/>
        <v>0</v>
      </c>
      <c r="S70" s="205">
        <f t="shared" si="14"/>
        <v>0</v>
      </c>
    </row>
    <row r="71" spans="2:19" ht="13.5" thickBot="1">
      <c r="B71" s="231" t="s">
        <v>354</v>
      </c>
      <c r="C71" s="231"/>
      <c r="D71" s="212">
        <f>+D69</f>
        <v>760110</v>
      </c>
      <c r="E71" s="232" t="e">
        <f>+F71/D71</f>
        <v>#REF!</v>
      </c>
      <c r="F71" s="212" t="e">
        <f>F51-F69</f>
        <v>#REF!</v>
      </c>
      <c r="G71" s="211"/>
      <c r="I71" s="221">
        <f>+I69</f>
        <v>196157.41935483873</v>
      </c>
      <c r="J71" s="227" t="e">
        <f>+K71/I71</f>
        <v>#REF!</v>
      </c>
      <c r="K71" s="221" t="e">
        <f>K51-K69</f>
        <v>#REF!</v>
      </c>
      <c r="L71" s="211"/>
      <c r="M71" s="194"/>
      <c r="N71" s="221" t="e">
        <f>+N69</f>
        <v>#REF!</v>
      </c>
      <c r="O71" s="227" t="e">
        <f>+P71/N71</f>
        <v>#REF!</v>
      </c>
      <c r="P71" s="221" t="e">
        <f>P51-P69</f>
        <v>#REF!</v>
      </c>
      <c r="Q71" s="204" t="e">
        <f t="shared" si="13"/>
        <v>#REF!</v>
      </c>
      <c r="R71" s="204" t="e">
        <f t="shared" si="13"/>
        <v>#REF!</v>
      </c>
      <c r="S71" s="205" t="e">
        <f t="shared" si="14"/>
        <v>#REF!</v>
      </c>
    </row>
    <row r="72" spans="2:19" ht="13.5" thickTop="1">
      <c r="I72" s="193"/>
      <c r="J72" s="194"/>
      <c r="K72" s="193"/>
      <c r="L72" s="193"/>
      <c r="M72" s="194"/>
      <c r="N72" s="193"/>
      <c r="O72" s="194"/>
      <c r="P72" s="193"/>
      <c r="Q72" s="204">
        <f t="shared" si="13"/>
        <v>0</v>
      </c>
      <c r="R72" s="204">
        <f t="shared" si="13"/>
        <v>0</v>
      </c>
      <c r="S72" s="205">
        <f t="shared" si="14"/>
        <v>0</v>
      </c>
    </row>
    <row r="73" spans="2:19">
      <c r="B73" s="140" t="s">
        <v>372</v>
      </c>
      <c r="D73" s="356" t="s">
        <v>0</v>
      </c>
      <c r="E73" s="356"/>
      <c r="F73" s="356"/>
      <c r="I73" s="356" t="s">
        <v>375</v>
      </c>
      <c r="J73" s="356"/>
      <c r="K73" s="356"/>
      <c r="L73" s="193"/>
      <c r="M73" s="194"/>
      <c r="N73" s="193"/>
      <c r="O73" s="194"/>
      <c r="P73" s="193"/>
      <c r="Q73" s="204" t="e">
        <f t="shared" si="13"/>
        <v>#VALUE!</v>
      </c>
      <c r="R73" s="204">
        <f t="shared" si="13"/>
        <v>0</v>
      </c>
      <c r="S73" s="205">
        <f t="shared" si="14"/>
        <v>0</v>
      </c>
    </row>
    <row r="74" spans="2:19">
      <c r="B74" s="233" t="s">
        <v>13</v>
      </c>
      <c r="C74" s="199"/>
      <c r="D74" s="216">
        <f>Sheet3!J15</f>
        <v>8500</v>
      </c>
      <c r="E74" s="216">
        <f t="shared" ref="E74:E81" si="19">+F74/D74</f>
        <v>29.5</v>
      </c>
      <c r="F74" s="234">
        <f>Sheet3!L15</f>
        <v>250750</v>
      </c>
      <c r="G74" s="216"/>
      <c r="H74" s="216"/>
      <c r="I74" s="216">
        <f t="shared" ref="I74:I81" si="20">D74</f>
        <v>8500</v>
      </c>
      <c r="J74" s="216" t="e">
        <f>FillerSoltex!Y6</f>
        <v>#REF!</v>
      </c>
      <c r="K74" s="216" t="e">
        <f>I74*J74</f>
        <v>#REF!</v>
      </c>
      <c r="L74" s="216"/>
      <c r="M74" s="203"/>
      <c r="N74" s="203">
        <f>+D74-I74</f>
        <v>0</v>
      </c>
      <c r="O74" s="203"/>
      <c r="P74" s="203" t="e">
        <f>+F74-K74</f>
        <v>#REF!</v>
      </c>
      <c r="Q74" s="204">
        <f t="shared" si="13"/>
        <v>-8500</v>
      </c>
      <c r="R74" s="204" t="e">
        <f t="shared" si="13"/>
        <v>#REF!</v>
      </c>
      <c r="S74" s="205" t="e">
        <f t="shared" si="14"/>
        <v>#REF!</v>
      </c>
    </row>
    <row r="75" spans="2:19">
      <c r="B75" s="233" t="s">
        <v>14</v>
      </c>
      <c r="C75" s="199"/>
      <c r="D75" s="216">
        <f>Sheet3!J16</f>
        <v>500</v>
      </c>
      <c r="E75" s="216">
        <f t="shared" si="19"/>
        <v>141</v>
      </c>
      <c r="F75" s="234">
        <f>Sheet3!L16</f>
        <v>70500</v>
      </c>
      <c r="G75" s="216"/>
      <c r="H75" s="216"/>
      <c r="I75" s="216">
        <f t="shared" si="20"/>
        <v>500</v>
      </c>
      <c r="J75" s="216" t="e">
        <f>MB!Y6</f>
        <v>#REF!</v>
      </c>
      <c r="K75" s="216" t="e">
        <f t="shared" ref="K75:K81" si="21">I75*J75</f>
        <v>#REF!</v>
      </c>
      <c r="L75" s="216"/>
      <c r="M75" s="203"/>
      <c r="N75" s="203">
        <f t="shared" ref="N75:P81" si="22">+D75-I75</f>
        <v>0</v>
      </c>
      <c r="O75" s="203"/>
      <c r="P75" s="203" t="e">
        <f t="shared" si="22"/>
        <v>#REF!</v>
      </c>
      <c r="Q75" s="204">
        <f t="shared" si="13"/>
        <v>-500</v>
      </c>
      <c r="R75" s="204" t="e">
        <f t="shared" si="13"/>
        <v>#REF!</v>
      </c>
      <c r="S75" s="205" t="e">
        <f t="shared" si="14"/>
        <v>#REF!</v>
      </c>
    </row>
    <row r="76" spans="2:19">
      <c r="B76" s="233" t="s">
        <v>15</v>
      </c>
      <c r="C76" s="199"/>
      <c r="D76" s="216">
        <f>Sheet3!J17</f>
        <v>125</v>
      </c>
      <c r="E76" s="216">
        <f t="shared" si="19"/>
        <v>68.248000000000005</v>
      </c>
      <c r="F76" s="234">
        <f>Sheet3!L17</f>
        <v>8531</v>
      </c>
      <c r="G76" s="216"/>
      <c r="H76" s="216"/>
      <c r="I76" s="216">
        <f t="shared" si="20"/>
        <v>125</v>
      </c>
      <c r="J76" s="216">
        <v>0</v>
      </c>
      <c r="K76" s="216">
        <f t="shared" si="21"/>
        <v>0</v>
      </c>
      <c r="L76" s="216"/>
      <c r="M76" s="203"/>
      <c r="N76" s="203">
        <f t="shared" si="22"/>
        <v>0</v>
      </c>
      <c r="O76" s="203"/>
      <c r="P76" s="203">
        <f t="shared" si="22"/>
        <v>8531</v>
      </c>
      <c r="Q76" s="204">
        <f t="shared" si="13"/>
        <v>-125</v>
      </c>
      <c r="R76" s="204">
        <f t="shared" si="13"/>
        <v>0</v>
      </c>
      <c r="S76" s="205">
        <f t="shared" si="14"/>
        <v>8531</v>
      </c>
    </row>
    <row r="77" spans="2:19">
      <c r="B77" s="233" t="s">
        <v>288</v>
      </c>
      <c r="C77" s="199"/>
      <c r="D77" s="216">
        <f>Sheet3!J18</f>
        <v>18000</v>
      </c>
      <c r="E77" s="216">
        <f t="shared" si="19"/>
        <v>75.863888888888894</v>
      </c>
      <c r="F77" s="216">
        <f>Sheet3!L18</f>
        <v>1365550</v>
      </c>
      <c r="G77" s="216"/>
      <c r="H77" s="216"/>
      <c r="I77" s="216">
        <f t="shared" si="20"/>
        <v>18000</v>
      </c>
      <c r="J77" s="203" t="e">
        <f>#REF!</f>
        <v>#REF!</v>
      </c>
      <c r="K77" s="216" t="e">
        <f t="shared" si="21"/>
        <v>#REF!</v>
      </c>
      <c r="L77" s="216"/>
      <c r="M77" s="203"/>
      <c r="N77" s="203">
        <f t="shared" si="22"/>
        <v>0</v>
      </c>
      <c r="O77" s="203"/>
      <c r="P77" s="203" t="e">
        <f t="shared" si="22"/>
        <v>#REF!</v>
      </c>
      <c r="Q77" s="204">
        <f t="shared" si="13"/>
        <v>-18000</v>
      </c>
      <c r="R77" s="204" t="e">
        <f t="shared" si="13"/>
        <v>#REF!</v>
      </c>
      <c r="S77" s="205" t="e">
        <f t="shared" si="14"/>
        <v>#REF!</v>
      </c>
    </row>
    <row r="78" spans="2:19">
      <c r="B78" s="233" t="s">
        <v>288</v>
      </c>
      <c r="C78" s="199"/>
      <c r="D78" s="216">
        <v>0</v>
      </c>
      <c r="E78" s="216" t="e">
        <f t="shared" si="19"/>
        <v>#DIV/0!</v>
      </c>
      <c r="F78" s="234">
        <v>0</v>
      </c>
      <c r="G78" s="216"/>
      <c r="H78" s="216"/>
      <c r="I78" s="216">
        <v>0</v>
      </c>
      <c r="J78" s="235">
        <v>0</v>
      </c>
      <c r="K78" s="216">
        <v>0</v>
      </c>
      <c r="L78" s="216"/>
      <c r="M78" s="203"/>
      <c r="N78" s="203">
        <f t="shared" si="22"/>
        <v>0</v>
      </c>
      <c r="O78" s="203"/>
      <c r="P78" s="203">
        <f t="shared" si="22"/>
        <v>0</v>
      </c>
      <c r="Q78" s="204">
        <f t="shared" si="13"/>
        <v>0</v>
      </c>
      <c r="R78" s="204">
        <f t="shared" si="13"/>
        <v>0</v>
      </c>
      <c r="S78" s="205">
        <f t="shared" si="14"/>
        <v>0</v>
      </c>
    </row>
    <row r="79" spans="2:19">
      <c r="B79" s="233" t="s">
        <v>291</v>
      </c>
      <c r="C79" s="199"/>
      <c r="D79" s="216">
        <f>Sheet3!J19</f>
        <v>0</v>
      </c>
      <c r="E79" s="216" t="e">
        <f t="shared" si="19"/>
        <v>#DIV/0!</v>
      </c>
      <c r="F79" s="234">
        <f>Sheet3!L19</f>
        <v>0</v>
      </c>
      <c r="G79" s="216"/>
      <c r="H79" s="216"/>
      <c r="I79" s="216">
        <f t="shared" si="20"/>
        <v>0</v>
      </c>
      <c r="J79" s="203">
        <v>0</v>
      </c>
      <c r="K79" s="216">
        <f t="shared" si="21"/>
        <v>0</v>
      </c>
      <c r="L79" s="216"/>
      <c r="M79" s="203"/>
      <c r="N79" s="203">
        <f t="shared" si="22"/>
        <v>0</v>
      </c>
      <c r="O79" s="203"/>
      <c r="P79" s="203">
        <f t="shared" si="22"/>
        <v>0</v>
      </c>
      <c r="Q79" s="204">
        <f t="shared" si="13"/>
        <v>0</v>
      </c>
      <c r="R79" s="204">
        <f t="shared" si="13"/>
        <v>0</v>
      </c>
      <c r="S79" s="205">
        <f t="shared" si="14"/>
        <v>0</v>
      </c>
    </row>
    <row r="80" spans="2:19">
      <c r="B80" s="233" t="s">
        <v>316</v>
      </c>
      <c r="C80" s="199"/>
      <c r="D80" s="216">
        <f>Sheet3!J20</f>
        <v>0</v>
      </c>
      <c r="E80" s="216" t="e">
        <f t="shared" si="19"/>
        <v>#DIV/0!</v>
      </c>
      <c r="F80" s="234">
        <f>Sheet3!L20</f>
        <v>0</v>
      </c>
      <c r="G80" s="216"/>
      <c r="H80" s="216"/>
      <c r="I80" s="216">
        <f t="shared" si="20"/>
        <v>0</v>
      </c>
      <c r="J80" s="203" t="e">
        <f>LLDP!Z6</f>
        <v>#REF!</v>
      </c>
      <c r="K80" s="216" t="e">
        <f t="shared" si="21"/>
        <v>#REF!</v>
      </c>
      <c r="L80" s="216"/>
      <c r="M80" s="203"/>
      <c r="N80" s="203">
        <f t="shared" si="22"/>
        <v>0</v>
      </c>
      <c r="O80" s="203"/>
      <c r="P80" s="203" t="e">
        <f t="shared" si="22"/>
        <v>#REF!</v>
      </c>
      <c r="Q80" s="204">
        <f t="shared" si="13"/>
        <v>0</v>
      </c>
      <c r="R80" s="204" t="e">
        <f t="shared" si="13"/>
        <v>#REF!</v>
      </c>
      <c r="S80" s="205" t="e">
        <f t="shared" si="14"/>
        <v>#REF!</v>
      </c>
    </row>
    <row r="81" spans="2:23">
      <c r="B81" s="233" t="s">
        <v>8</v>
      </c>
      <c r="C81" s="199"/>
      <c r="D81" s="216">
        <f>Sheet3!J10</f>
        <v>14100</v>
      </c>
      <c r="E81" s="216">
        <f t="shared" si="19"/>
        <v>20</v>
      </c>
      <c r="F81" s="234">
        <f>Sheet3!L10</f>
        <v>282000</v>
      </c>
      <c r="G81" s="216"/>
      <c r="H81" s="216"/>
      <c r="I81" s="216">
        <f t="shared" si="20"/>
        <v>14100</v>
      </c>
      <c r="J81" s="203">
        <v>0</v>
      </c>
      <c r="K81" s="216">
        <f t="shared" si="21"/>
        <v>0</v>
      </c>
      <c r="L81" s="216"/>
      <c r="M81" s="203"/>
      <c r="N81" s="203">
        <f t="shared" si="22"/>
        <v>0</v>
      </c>
      <c r="O81" s="203"/>
      <c r="P81" s="203">
        <f t="shared" si="22"/>
        <v>282000</v>
      </c>
      <c r="Q81" s="204">
        <f t="shared" si="13"/>
        <v>-14100</v>
      </c>
      <c r="R81" s="204">
        <f t="shared" si="13"/>
        <v>0</v>
      </c>
      <c r="S81" s="205">
        <f t="shared" si="14"/>
        <v>282000</v>
      </c>
    </row>
    <row r="82" spans="2:23">
      <c r="B82" s="193"/>
      <c r="F82" s="248">
        <f>SUM(F74:F81)</f>
        <v>1977331</v>
      </c>
      <c r="I82" s="193"/>
      <c r="J82" s="194"/>
      <c r="K82" s="193" t="e">
        <f>SUM(K74:K81)</f>
        <v>#REF!</v>
      </c>
      <c r="L82" s="193"/>
      <c r="M82" s="194"/>
      <c r="N82" s="193"/>
      <c r="O82" s="194"/>
      <c r="P82" s="193"/>
      <c r="Q82" s="204">
        <f t="shared" si="13"/>
        <v>0</v>
      </c>
      <c r="R82" s="204">
        <f t="shared" si="13"/>
        <v>0</v>
      </c>
      <c r="S82" s="205" t="e">
        <f t="shared" si="14"/>
        <v>#REF!</v>
      </c>
    </row>
    <row r="83" spans="2:23">
      <c r="B83" s="236" t="s">
        <v>373</v>
      </c>
      <c r="C83" s="236"/>
      <c r="D83" s="237"/>
      <c r="E83" s="238"/>
      <c r="F83" s="237"/>
      <c r="G83" s="237"/>
      <c r="H83" s="238"/>
      <c r="I83" s="237"/>
      <c r="J83" s="238"/>
      <c r="K83" s="237"/>
      <c r="L83" s="237"/>
      <c r="M83" s="238"/>
      <c r="N83" s="237">
        <f>SUM(N74:N82)</f>
        <v>0</v>
      </c>
      <c r="O83" s="238"/>
      <c r="P83" s="237" t="e">
        <f>SUM(P74:P82)</f>
        <v>#REF!</v>
      </c>
      <c r="Q83" s="204">
        <f t="shared" si="13"/>
        <v>0</v>
      </c>
      <c r="R83" s="204">
        <f t="shared" si="13"/>
        <v>0</v>
      </c>
      <c r="S83" s="205" t="e">
        <f t="shared" si="14"/>
        <v>#REF!</v>
      </c>
    </row>
    <row r="84" spans="2:23" ht="13.5" thickBot="1">
      <c r="B84" s="231" t="s">
        <v>374</v>
      </c>
      <c r="C84" s="231"/>
      <c r="D84" s="212">
        <f>+D71</f>
        <v>760110</v>
      </c>
      <c r="E84" s="232" t="e">
        <f>+F84/D84</f>
        <v>#REF!</v>
      </c>
      <c r="F84" s="212" t="e">
        <f>+F71</f>
        <v>#REF!</v>
      </c>
      <c r="G84" s="212"/>
      <c r="H84" s="232"/>
      <c r="I84" s="212">
        <f>+I71</f>
        <v>196157.41935483873</v>
      </c>
      <c r="J84" s="232" t="e">
        <f>+K84/I84</f>
        <v>#REF!</v>
      </c>
      <c r="K84" s="212" t="e">
        <f>+K71</f>
        <v>#REF!</v>
      </c>
      <c r="L84" s="231"/>
      <c r="M84" s="231"/>
      <c r="N84" s="239" t="e">
        <f>+N71+N83</f>
        <v>#REF!</v>
      </c>
      <c r="O84" s="240" t="e">
        <f>+P84/N84</f>
        <v>#REF!</v>
      </c>
      <c r="P84" s="241" t="e">
        <f>+P71+P83</f>
        <v>#REF!</v>
      </c>
      <c r="Q84" s="204" t="e">
        <f t="shared" si="13"/>
        <v>#REF!</v>
      </c>
      <c r="R84" s="204" t="e">
        <f t="shared" si="13"/>
        <v>#REF!</v>
      </c>
      <c r="S84" s="205" t="e">
        <f t="shared" si="14"/>
        <v>#REF!</v>
      </c>
    </row>
    <row r="85" spans="2:23" ht="13.5" hidden="1" thickTop="1">
      <c r="P85" s="39" t="e">
        <f>Budget!L31</f>
        <v>#REF!</v>
      </c>
      <c r="Q85" s="204">
        <f t="shared" si="13"/>
        <v>0</v>
      </c>
      <c r="R85" s="204">
        <f t="shared" si="13"/>
        <v>0</v>
      </c>
      <c r="S85" s="205" t="e">
        <f t="shared" si="14"/>
        <v>#REF!</v>
      </c>
    </row>
    <row r="86" spans="2:23" ht="13.5" hidden="1" thickTop="1">
      <c r="P86" s="39" t="e">
        <f>+P84-P85</f>
        <v>#REF!</v>
      </c>
      <c r="Q86" s="204">
        <f t="shared" si="13"/>
        <v>0</v>
      </c>
      <c r="R86" s="204">
        <f t="shared" si="13"/>
        <v>0</v>
      </c>
      <c r="S86" s="205" t="e">
        <f t="shared" si="14"/>
        <v>#REF!</v>
      </c>
    </row>
    <row r="87" spans="2:23" ht="13.5" thickTop="1">
      <c r="N87" s="39"/>
      <c r="P87" s="39"/>
      <c r="Q87" s="204">
        <f t="shared" si="13"/>
        <v>0</v>
      </c>
      <c r="R87" s="204">
        <f t="shared" si="13"/>
        <v>0</v>
      </c>
      <c r="S87" s="205">
        <f t="shared" si="14"/>
        <v>0</v>
      </c>
    </row>
    <row r="88" spans="2:23">
      <c r="Q88" s="204">
        <f t="shared" si="13"/>
        <v>0</v>
      </c>
      <c r="R88" s="204">
        <f t="shared" si="13"/>
        <v>0</v>
      </c>
      <c r="S88" s="205">
        <f t="shared" si="14"/>
        <v>0</v>
      </c>
    </row>
    <row r="89" spans="2:23" hidden="1">
      <c r="B89" s="140" t="s">
        <v>376</v>
      </c>
      <c r="N89" s="124" t="e">
        <f>#REF!-#REF!</f>
        <v>#REF!</v>
      </c>
      <c r="O89" s="124" t="e">
        <f>+P89/N89</f>
        <v>#REF!</v>
      </c>
      <c r="P89" s="39" t="e">
        <f>+P95-P96</f>
        <v>#REF!</v>
      </c>
      <c r="Q89" s="204" t="e">
        <f t="shared" si="13"/>
        <v>#REF!</v>
      </c>
      <c r="R89" s="204" t="e">
        <f t="shared" si="13"/>
        <v>#REF!</v>
      </c>
      <c r="S89" s="205" t="e">
        <f t="shared" si="14"/>
        <v>#REF!</v>
      </c>
    </row>
    <row r="90" spans="2:23">
      <c r="B90" s="140" t="s">
        <v>383</v>
      </c>
      <c r="N90" s="124" t="e">
        <f>N95</f>
        <v>#REF!</v>
      </c>
      <c r="O90" s="124" t="e">
        <f>+O95</f>
        <v>#REF!</v>
      </c>
      <c r="P90" s="39" t="e">
        <f>P95</f>
        <v>#REF!</v>
      </c>
      <c r="Q90" s="204" t="e">
        <f t="shared" si="13"/>
        <v>#REF!</v>
      </c>
      <c r="R90" s="204" t="e">
        <f t="shared" si="13"/>
        <v>#REF!</v>
      </c>
      <c r="S90" s="205" t="e">
        <f t="shared" si="14"/>
        <v>#REF!</v>
      </c>
    </row>
    <row r="91" spans="2:23" ht="13.5" thickBot="1">
      <c r="B91" s="231" t="s">
        <v>377</v>
      </c>
      <c r="C91" s="231"/>
      <c r="D91" s="239">
        <f>+D84</f>
        <v>760110</v>
      </c>
      <c r="E91" s="240" t="e">
        <f>+F91/D91</f>
        <v>#REF!</v>
      </c>
      <c r="F91" s="241" t="e">
        <f>F84+F90</f>
        <v>#REF!</v>
      </c>
      <c r="G91" s="212"/>
      <c r="H91" s="232"/>
      <c r="I91" s="239">
        <f>+I84</f>
        <v>196157.41935483873</v>
      </c>
      <c r="J91" s="240" t="e">
        <f>+K91/I91</f>
        <v>#REF!</v>
      </c>
      <c r="K91" s="241" t="e">
        <f>K84+K90</f>
        <v>#REF!</v>
      </c>
      <c r="L91" s="231"/>
      <c r="M91" s="231"/>
      <c r="N91" s="239" t="e">
        <f>+N84</f>
        <v>#REF!</v>
      </c>
      <c r="O91" s="240" t="e">
        <f>+P91/N91</f>
        <v>#REF!</v>
      </c>
      <c r="P91" s="241" t="e">
        <f>P84+P90</f>
        <v>#REF!</v>
      </c>
      <c r="Q91" s="204" t="e">
        <f t="shared" si="13"/>
        <v>#REF!</v>
      </c>
      <c r="R91" s="204" t="e">
        <f t="shared" si="13"/>
        <v>#REF!</v>
      </c>
      <c r="S91" s="205" t="e">
        <f t="shared" si="14"/>
        <v>#REF!</v>
      </c>
      <c r="U91" s="39" t="e">
        <f>#REF!</f>
        <v>#REF!</v>
      </c>
      <c r="V91" s="39" t="e">
        <f>+P91-U91</f>
        <v>#REF!</v>
      </c>
      <c r="W91" s="124" t="e">
        <f>+W54-V91</f>
        <v>#REF!</v>
      </c>
    </row>
    <row r="92" spans="2:23" ht="13.5" thickTop="1"/>
    <row r="93" spans="2:23">
      <c r="B93" s="140" t="s">
        <v>135</v>
      </c>
      <c r="N93" s="124" t="e">
        <f>#REF!</f>
        <v>#REF!</v>
      </c>
      <c r="O93" s="140" t="e">
        <f>P93/N93</f>
        <v>#REF!</v>
      </c>
      <c r="P93" s="124" t="e">
        <f>#REF!</f>
        <v>#REF!</v>
      </c>
    </row>
    <row r="94" spans="2:23">
      <c r="B94" s="140" t="s">
        <v>134</v>
      </c>
      <c r="N94" s="124" t="e">
        <f>#REF!</f>
        <v>#REF!</v>
      </c>
      <c r="O94" s="140" t="e">
        <f>P94/N94</f>
        <v>#REF!</v>
      </c>
      <c r="P94" s="124" t="e">
        <f>#REF!</f>
        <v>#REF!</v>
      </c>
    </row>
    <row r="95" spans="2:23">
      <c r="B95" s="140" t="s">
        <v>280</v>
      </c>
      <c r="N95" s="124" t="e">
        <f>+N93-N94</f>
        <v>#REF!</v>
      </c>
      <c r="O95" s="124" t="e">
        <f>+O93-O94</f>
        <v>#REF!</v>
      </c>
      <c r="P95" s="124" t="e">
        <f>+P93-P94</f>
        <v>#REF!</v>
      </c>
    </row>
    <row r="96" spans="2:23">
      <c r="P96" s="124" t="e">
        <f>+P84+P95</f>
        <v>#REF!</v>
      </c>
    </row>
    <row r="98" spans="14:16">
      <c r="N98" s="242" t="e">
        <f>N69-N51</f>
        <v>#REF!</v>
      </c>
      <c r="P98" s="242" t="e">
        <f>P69-P51</f>
        <v>#REF!</v>
      </c>
    </row>
    <row r="99" spans="14:16">
      <c r="N99" s="39" t="e">
        <f>+N98-N95</f>
        <v>#REF!</v>
      </c>
    </row>
  </sheetData>
  <mergeCells count="8">
    <mergeCell ref="D73:F73"/>
    <mergeCell ref="I73:K73"/>
    <mergeCell ref="C2:F2"/>
    <mergeCell ref="I2:K2"/>
    <mergeCell ref="M2:P2"/>
    <mergeCell ref="D54:D61"/>
    <mergeCell ref="I54:I61"/>
    <mergeCell ref="N54:N64"/>
  </mergeCells>
  <pageMargins left="0.45" right="0.45" top="0.5" bottom="0.5" header="0.05" footer="0.05"/>
  <pageSetup paperSize="9" scale="55" orientation="portrait" r:id="rId1"/>
  <rowBreaks count="1" manualBreakCount="1">
    <brk id="42" min="1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4"/>
  <sheetViews>
    <sheetView workbookViewId="0"/>
  </sheetViews>
  <sheetFormatPr defaultColWidth="9.140625" defaultRowHeight="15"/>
  <cols>
    <col min="1" max="1" width="24.85546875" style="143" customWidth="1"/>
    <col min="2" max="2" width="9" style="143" bestFit="1" customWidth="1"/>
    <col min="3" max="3" width="9.28515625" style="143" bestFit="1" customWidth="1"/>
    <col min="4" max="4" width="12.5703125" style="143" bestFit="1" customWidth="1"/>
    <col min="5" max="5" width="2.7109375" style="143" customWidth="1"/>
    <col min="6" max="6" width="11.5703125" style="143" bestFit="1" customWidth="1"/>
    <col min="7" max="7" width="9.28515625" style="143" bestFit="1" customWidth="1"/>
    <col min="8" max="8" width="13.28515625" style="143" bestFit="1" customWidth="1"/>
    <col min="9" max="9" width="2.7109375" style="143" customWidth="1"/>
    <col min="10" max="10" width="11.5703125" style="143" bestFit="1" customWidth="1"/>
    <col min="11" max="11" width="11.28515625" style="143" bestFit="1" customWidth="1"/>
    <col min="12" max="12" width="14.28515625" style="143" bestFit="1" customWidth="1"/>
    <col min="13" max="13" width="2.7109375" style="143" customWidth="1"/>
    <col min="14" max="14" width="11.5703125" style="143" bestFit="1" customWidth="1"/>
    <col min="15" max="15" width="10.28515625" style="144" bestFit="1" customWidth="1"/>
    <col min="16" max="16" width="12.28515625" style="143" bestFit="1" customWidth="1"/>
    <col min="17" max="17" width="9.140625" style="143"/>
    <col min="18" max="19" width="11.5703125" style="143" bestFit="1" customWidth="1"/>
    <col min="20" max="20" width="9.140625" style="143"/>
    <col min="21" max="21" width="10.5703125" style="143" bestFit="1" customWidth="1"/>
    <col min="22" max="23" width="9.140625" style="143"/>
    <col min="24" max="24" width="9.7109375" style="143" bestFit="1" customWidth="1"/>
    <col min="25" max="16384" width="9.140625" style="143"/>
  </cols>
  <sheetData>
    <row r="1" spans="1:24" ht="15.75" thickBot="1">
      <c r="F1" s="143">
        <v>10</v>
      </c>
    </row>
    <row r="2" spans="1:24" s="153" customFormat="1">
      <c r="A2" s="152"/>
      <c r="B2" s="359" t="s">
        <v>312</v>
      </c>
      <c r="C2" s="360"/>
      <c r="D2" s="361"/>
      <c r="F2" s="359" t="s">
        <v>303</v>
      </c>
      <c r="G2" s="360"/>
      <c r="H2" s="361"/>
      <c r="J2" s="359" t="s">
        <v>121</v>
      </c>
      <c r="K2" s="360"/>
      <c r="L2" s="361"/>
      <c r="N2" s="359" t="s">
        <v>311</v>
      </c>
      <c r="O2" s="360"/>
      <c r="P2" s="361"/>
    </row>
    <row r="3" spans="1:24" s="153" customFormat="1">
      <c r="A3" s="154"/>
      <c r="B3" s="155" t="s">
        <v>1</v>
      </c>
      <c r="C3" s="156" t="s">
        <v>304</v>
      </c>
      <c r="D3" s="157" t="s">
        <v>129</v>
      </c>
      <c r="F3" s="155" t="s">
        <v>1</v>
      </c>
      <c r="G3" s="156" t="s">
        <v>304</v>
      </c>
      <c r="H3" s="157" t="s">
        <v>129</v>
      </c>
      <c r="J3" s="155" t="s">
        <v>1</v>
      </c>
      <c r="K3" s="156" t="s">
        <v>304</v>
      </c>
      <c r="L3" s="157" t="s">
        <v>129</v>
      </c>
      <c r="N3" s="155" t="s">
        <v>1</v>
      </c>
      <c r="O3" s="156"/>
      <c r="P3" s="157" t="s">
        <v>129</v>
      </c>
    </row>
    <row r="4" spans="1:24" s="153" customFormat="1">
      <c r="A4" s="166" t="s">
        <v>0</v>
      </c>
      <c r="B4" s="167">
        <f>Sheet11!D43+Sheet11!D46+Sheet11!D48</f>
        <v>760110</v>
      </c>
      <c r="C4" s="168">
        <f>+D4/B4</f>
        <v>129.32049729644393</v>
      </c>
      <c r="D4" s="167">
        <f>Sheet11!F43+Sheet11!F46+Sheet11!F48</f>
        <v>98297803.199999988</v>
      </c>
      <c r="E4" s="162"/>
      <c r="F4" s="167">
        <f>B4/31*F1</f>
        <v>245196.77419354836</v>
      </c>
      <c r="G4" s="168">
        <f>+C4</f>
        <v>129.32049729644393</v>
      </c>
      <c r="H4" s="169">
        <f>+F4*G4</f>
        <v>31708968.774193544</v>
      </c>
      <c r="J4" s="167" t="e">
        <f>SUM(J5:J7)</f>
        <v>#REF!</v>
      </c>
      <c r="K4" s="170" t="e">
        <f>L4/J4</f>
        <v>#REF!</v>
      </c>
      <c r="L4" s="169" t="e">
        <f>SUM(L5:L7)</f>
        <v>#REF!</v>
      </c>
      <c r="N4" s="167" t="e">
        <f>+J4-F4</f>
        <v>#REF!</v>
      </c>
      <c r="O4" s="170" t="e">
        <f>+P4/J4</f>
        <v>#REF!</v>
      </c>
      <c r="P4" s="169" t="e">
        <f>+L4-H4</f>
        <v>#REF!</v>
      </c>
      <c r="W4" s="153">
        <v>44677903.329999998</v>
      </c>
      <c r="X4" s="174" t="e">
        <f>+L4-W4</f>
        <v>#REF!</v>
      </c>
    </row>
    <row r="5" spans="1:24">
      <c r="A5" s="171" t="s">
        <v>313</v>
      </c>
      <c r="B5" s="146"/>
      <c r="C5" s="147"/>
      <c r="D5" s="148"/>
      <c r="E5" s="144"/>
      <c r="F5" s="146"/>
      <c r="G5" s="147"/>
      <c r="H5" s="148"/>
      <c r="J5" s="146" t="e">
        <f>'PUR-SALE'!#REF!</f>
        <v>#REF!</v>
      </c>
      <c r="K5" s="147" t="e">
        <f>+L5/J5</f>
        <v>#REF!</v>
      </c>
      <c r="L5" s="148" t="e">
        <f>'PUR-SALE'!#REF!</f>
        <v>#REF!</v>
      </c>
      <c r="N5" s="146"/>
      <c r="O5" s="147"/>
      <c r="P5" s="148"/>
      <c r="W5" s="143">
        <v>13975497.719999999</v>
      </c>
      <c r="X5" s="174" t="e">
        <f t="shared" ref="X5:X31" si="0">+L5-W5</f>
        <v>#REF!</v>
      </c>
    </row>
    <row r="6" spans="1:24">
      <c r="A6" s="171" t="s">
        <v>315</v>
      </c>
      <c r="B6" s="146"/>
      <c r="C6" s="147"/>
      <c r="D6" s="148"/>
      <c r="E6" s="144"/>
      <c r="F6" s="146"/>
      <c r="G6" s="147"/>
      <c r="H6" s="148"/>
      <c r="J6" s="146" t="e">
        <f>'PUR-SALE'!#REF!</f>
        <v>#REF!</v>
      </c>
      <c r="K6" s="147" t="e">
        <f>+L6/J6</f>
        <v>#REF!</v>
      </c>
      <c r="L6" s="148" t="e">
        <f>'PUR-SALE'!#REF!</f>
        <v>#REF!</v>
      </c>
      <c r="N6" s="146"/>
      <c r="O6" s="147"/>
      <c r="P6" s="148"/>
      <c r="W6" s="143">
        <v>18303636.379999995</v>
      </c>
      <c r="X6" s="174" t="e">
        <f t="shared" si="0"/>
        <v>#REF!</v>
      </c>
    </row>
    <row r="7" spans="1:24">
      <c r="A7" s="172" t="s">
        <v>319</v>
      </c>
      <c r="B7" s="146"/>
      <c r="C7" s="147"/>
      <c r="D7" s="148"/>
      <c r="E7" s="144"/>
      <c r="F7" s="146"/>
      <c r="G7" s="147"/>
      <c r="H7" s="148"/>
      <c r="J7" s="146" t="e">
        <f>Sheet3!J22-J5-J6</f>
        <v>#REF!</v>
      </c>
      <c r="K7" s="147" t="e">
        <f>+L7/J7</f>
        <v>#REF!</v>
      </c>
      <c r="L7" s="148" t="e">
        <f>Sheet3!L22-L5-L6</f>
        <v>#REF!</v>
      </c>
      <c r="N7" s="146"/>
      <c r="O7" s="147"/>
      <c r="P7" s="148"/>
      <c r="W7" s="143">
        <v>12398769.230000004</v>
      </c>
      <c r="X7" s="174" t="e">
        <f t="shared" si="0"/>
        <v>#REF!</v>
      </c>
    </row>
    <row r="8" spans="1:24">
      <c r="A8" s="150"/>
      <c r="B8" s="146"/>
      <c r="C8" s="147"/>
      <c r="D8" s="148"/>
      <c r="E8" s="144"/>
      <c r="F8" s="146"/>
      <c r="G8" s="149"/>
      <c r="H8" s="148"/>
      <c r="J8" s="146"/>
      <c r="K8" s="149"/>
      <c r="L8" s="148"/>
      <c r="N8" s="146"/>
      <c r="O8" s="147"/>
      <c r="P8" s="148"/>
    </row>
    <row r="9" spans="1:24" s="153" customFormat="1">
      <c r="A9" s="166" t="s">
        <v>305</v>
      </c>
      <c r="B9" s="167">
        <f>+Sheet11!D14-Sheet11!D13+Sheet11!D25+Sheet11!D32</f>
        <v>760110</v>
      </c>
      <c r="C9" s="168">
        <f>+D9/B9</f>
        <v>72.885830340345478</v>
      </c>
      <c r="D9" s="169">
        <f>Sheet11!F14+Sheet11!F27+Sheet11!F32</f>
        <v>55401248.5</v>
      </c>
      <c r="E9" s="162"/>
      <c r="F9" s="180">
        <f>B9/31*F1</f>
        <v>245196.77419354836</v>
      </c>
      <c r="G9" s="168">
        <f>+C9</f>
        <v>72.885830340345478</v>
      </c>
      <c r="H9" s="169">
        <f>+F9*G9</f>
        <v>17871370.483870968</v>
      </c>
      <c r="J9" s="167" t="e">
        <f>SUM(J10:J12)</f>
        <v>#REF!</v>
      </c>
      <c r="K9" s="170" t="e">
        <f>L9/J9</f>
        <v>#REF!</v>
      </c>
      <c r="L9" s="169" t="e">
        <f>SUM(L10:L12)</f>
        <v>#REF!</v>
      </c>
      <c r="N9" s="167" t="e">
        <f>+J9-F9</f>
        <v>#REF!</v>
      </c>
      <c r="O9" s="170" t="e">
        <f>+P9/(J9+J10+J11)</f>
        <v>#REF!</v>
      </c>
      <c r="P9" s="169" t="e">
        <f>+L9-H9</f>
        <v>#REF!</v>
      </c>
      <c r="W9" s="153">
        <v>36261656.90644037</v>
      </c>
      <c r="X9" s="174" t="e">
        <f>+L9-W9</f>
        <v>#REF!</v>
      </c>
    </row>
    <row r="10" spans="1:24">
      <c r="A10" s="171" t="s">
        <v>314</v>
      </c>
      <c r="B10" s="146"/>
      <c r="C10" s="147"/>
      <c r="D10" s="148"/>
      <c r="E10" s="144"/>
      <c r="F10" s="163"/>
      <c r="G10" s="147"/>
      <c r="H10" s="148"/>
      <c r="J10" s="146" t="e">
        <f>'PUR-SALE'!#REF!</f>
        <v>#REF!</v>
      </c>
      <c r="K10" s="147" t="e">
        <f>L10/J10</f>
        <v>#REF!</v>
      </c>
      <c r="L10" s="148" t="e">
        <f>'PUR-SALE'!#REF!</f>
        <v>#REF!</v>
      </c>
      <c r="N10" s="146"/>
      <c r="O10" s="147"/>
      <c r="P10" s="148"/>
      <c r="Q10" s="145" t="e">
        <f>+J10-J5</f>
        <v>#REF!</v>
      </c>
      <c r="R10" s="145"/>
      <c r="W10" s="143">
        <v>15116339.669999998</v>
      </c>
      <c r="X10" s="174" t="e">
        <f t="shared" si="0"/>
        <v>#REF!</v>
      </c>
    </row>
    <row r="11" spans="1:24">
      <c r="A11" s="172" t="s">
        <v>318</v>
      </c>
      <c r="B11" s="146"/>
      <c r="C11" s="147"/>
      <c r="D11" s="148"/>
      <c r="E11" s="144"/>
      <c r="F11" s="163"/>
      <c r="G11" s="147"/>
      <c r="H11" s="148"/>
      <c r="J11" s="146" t="e">
        <f>'PUR-SALE'!#REF!</f>
        <v>#REF!</v>
      </c>
      <c r="K11" s="147" t="e">
        <f>L11/J11</f>
        <v>#REF!</v>
      </c>
      <c r="L11" s="148" t="e">
        <f>'PUR-SALE'!#REF!-L22-L23</f>
        <v>#REF!</v>
      </c>
      <c r="N11" s="146"/>
      <c r="O11" s="147"/>
      <c r="P11" s="148"/>
      <c r="R11" s="145"/>
      <c r="W11" s="143">
        <v>13737148.459340181</v>
      </c>
      <c r="X11" s="174" t="e">
        <f t="shared" si="0"/>
        <v>#REF!</v>
      </c>
    </row>
    <row r="12" spans="1:24">
      <c r="A12" s="172" t="s">
        <v>320</v>
      </c>
      <c r="B12" s="146"/>
      <c r="C12" s="147"/>
      <c r="D12" s="148"/>
      <c r="E12" s="144"/>
      <c r="F12" s="163"/>
      <c r="G12" s="147"/>
      <c r="H12" s="148"/>
      <c r="J12" s="146" t="e">
        <f>(Sheet3!F17*1000)-J10-J11</f>
        <v>#REF!</v>
      </c>
      <c r="K12" s="147" t="e">
        <f>L12/J12</f>
        <v>#REF!</v>
      </c>
      <c r="L12" s="148" t="e">
        <f>Sheet3!E17*100000-L10-L11-L22-L23</f>
        <v>#REF!</v>
      </c>
      <c r="N12" s="146"/>
      <c r="O12" s="147"/>
      <c r="P12" s="148"/>
      <c r="S12" s="145"/>
      <c r="U12" s="145"/>
      <c r="W12" s="143">
        <v>7408168.7771001905</v>
      </c>
      <c r="X12" s="174" t="e">
        <f t="shared" si="0"/>
        <v>#REF!</v>
      </c>
    </row>
    <row r="13" spans="1:24">
      <c r="A13" s="150"/>
      <c r="B13" s="146"/>
      <c r="C13" s="147"/>
      <c r="D13" s="148"/>
      <c r="E13" s="144"/>
      <c r="F13" s="146"/>
      <c r="G13" s="149"/>
      <c r="H13" s="148"/>
      <c r="J13" s="146"/>
      <c r="K13" s="149"/>
      <c r="L13" s="148"/>
      <c r="N13" s="146"/>
      <c r="O13" s="147"/>
      <c r="P13" s="148"/>
    </row>
    <row r="14" spans="1:24">
      <c r="A14" s="151" t="s">
        <v>306</v>
      </c>
      <c r="B14" s="146">
        <f>B4</f>
        <v>760110</v>
      </c>
      <c r="C14" s="147">
        <f>C4-C9</f>
        <v>56.434666956098454</v>
      </c>
      <c r="D14" s="148">
        <f>+D4-D9</f>
        <v>42896554.699999988</v>
      </c>
      <c r="E14" s="144"/>
      <c r="F14" s="146">
        <f>F4</f>
        <v>245196.77419354836</v>
      </c>
      <c r="G14" s="147">
        <f>G4-G9</f>
        <v>56.434666956098454</v>
      </c>
      <c r="H14" s="148">
        <f>+H4-H9</f>
        <v>13837598.290322576</v>
      </c>
      <c r="J14" s="146" t="e">
        <f>+J4-J9</f>
        <v>#REF!</v>
      </c>
      <c r="K14" s="165" t="e">
        <f>K4-K9</f>
        <v>#REF!</v>
      </c>
      <c r="L14" s="148" t="e">
        <f>+L4-L9</f>
        <v>#REF!</v>
      </c>
      <c r="N14" s="146"/>
      <c r="O14" s="147"/>
      <c r="P14" s="148" t="e">
        <f>+P4-P9</f>
        <v>#REF!</v>
      </c>
      <c r="W14" s="143">
        <v>8416246.4235596284</v>
      </c>
      <c r="X14" s="174" t="e">
        <f t="shared" si="0"/>
        <v>#REF!</v>
      </c>
    </row>
    <row r="15" spans="1:24">
      <c r="A15" s="150"/>
      <c r="B15" s="146"/>
      <c r="C15" s="147"/>
      <c r="D15" s="148"/>
      <c r="E15" s="144"/>
      <c r="F15" s="146"/>
      <c r="G15" s="149"/>
      <c r="H15" s="148"/>
      <c r="J15" s="146"/>
      <c r="K15" s="149"/>
      <c r="L15" s="148"/>
      <c r="N15" s="146"/>
      <c r="O15" s="147"/>
      <c r="P15" s="148"/>
    </row>
    <row r="16" spans="1:24">
      <c r="A16" s="150" t="s">
        <v>47</v>
      </c>
      <c r="B16" s="146"/>
      <c r="C16" s="147"/>
      <c r="D16" s="148">
        <v>15000000</v>
      </c>
      <c r="E16" s="144"/>
      <c r="F16" s="146"/>
      <c r="G16" s="149"/>
      <c r="H16" s="148">
        <f>D16/31*$F$1</f>
        <v>4838709.6774193542</v>
      </c>
      <c r="J16" s="146"/>
      <c r="K16" s="149"/>
      <c r="L16" s="148" t="e">
        <f>Sheet6!E39</f>
        <v>#REF!</v>
      </c>
      <c r="N16" s="146"/>
      <c r="O16" s="147"/>
      <c r="P16" s="148" t="e">
        <f t="shared" ref="P16:P26" si="1">+L16-H16</f>
        <v>#REF!</v>
      </c>
      <c r="W16" s="143">
        <v>3727653.8598196674</v>
      </c>
      <c r="X16" s="174" t="e">
        <f t="shared" si="0"/>
        <v>#REF!</v>
      </c>
    </row>
    <row r="17" spans="1:24">
      <c r="A17" s="150" t="s">
        <v>46</v>
      </c>
      <c r="B17" s="146"/>
      <c r="C17" s="147"/>
      <c r="D17" s="148">
        <v>7000000</v>
      </c>
      <c r="E17" s="144"/>
      <c r="F17" s="146"/>
      <c r="G17" s="149"/>
      <c r="H17" s="148">
        <f t="shared" ref="H17:H25" si="2">D17/31*$F$1</f>
        <v>2258064.5161290322</v>
      </c>
      <c r="J17" s="146"/>
      <c r="K17" s="149"/>
      <c r="L17" s="148" t="e">
        <f>Sheet6!E38</f>
        <v>#REF!</v>
      </c>
      <c r="N17" s="146"/>
      <c r="O17" s="147"/>
      <c r="P17" s="148" t="e">
        <f t="shared" si="1"/>
        <v>#REF!</v>
      </c>
      <c r="W17" s="143">
        <v>1631584.25</v>
      </c>
      <c r="X17" s="174" t="e">
        <f t="shared" si="0"/>
        <v>#REF!</v>
      </c>
    </row>
    <row r="18" spans="1:24">
      <c r="A18" s="150" t="s">
        <v>147</v>
      </c>
      <c r="B18" s="146"/>
      <c r="C18" s="147"/>
      <c r="D18" s="148">
        <v>2500000</v>
      </c>
      <c r="E18" s="144"/>
      <c r="F18" s="146"/>
      <c r="G18" s="149"/>
      <c r="H18" s="148">
        <f t="shared" si="2"/>
        <v>806451.6129032257</v>
      </c>
      <c r="J18" s="146"/>
      <c r="K18" s="149"/>
      <c r="L18" s="148" t="e">
        <f>Sheet6!E40</f>
        <v>#REF!</v>
      </c>
      <c r="N18" s="146"/>
      <c r="O18" s="147"/>
      <c r="P18" s="148" t="e">
        <f t="shared" si="1"/>
        <v>#REF!</v>
      </c>
      <c r="W18" s="143">
        <v>558284.88000000059</v>
      </c>
      <c r="X18" s="174" t="e">
        <f t="shared" si="0"/>
        <v>#REF!</v>
      </c>
    </row>
    <row r="19" spans="1:24">
      <c r="A19" s="164" t="s">
        <v>49</v>
      </c>
      <c r="B19" s="146"/>
      <c r="C19" s="147"/>
      <c r="D19" s="148"/>
      <c r="E19" s="144"/>
      <c r="F19" s="146"/>
      <c r="G19" s="149"/>
      <c r="H19" s="148"/>
      <c r="J19" s="146"/>
      <c r="K19" s="149"/>
      <c r="L19" s="148" t="e">
        <f>Sheet6!E41</f>
        <v>#REF!</v>
      </c>
      <c r="N19" s="146"/>
      <c r="O19" s="147"/>
      <c r="P19" s="148" t="e">
        <f t="shared" si="1"/>
        <v>#REF!</v>
      </c>
      <c r="W19" s="143">
        <v>49428</v>
      </c>
      <c r="X19" s="174" t="e">
        <f t="shared" si="0"/>
        <v>#REF!</v>
      </c>
    </row>
    <row r="20" spans="1:24">
      <c r="A20" s="164" t="s">
        <v>149</v>
      </c>
      <c r="B20" s="146"/>
      <c r="C20" s="147"/>
      <c r="D20" s="148">
        <v>2000000</v>
      </c>
      <c r="E20" s="144"/>
      <c r="F20" s="146"/>
      <c r="G20" s="149"/>
      <c r="H20" s="148">
        <f t="shared" si="2"/>
        <v>645161.29032258072</v>
      </c>
      <c r="J20" s="146"/>
      <c r="K20" s="149"/>
      <c r="L20" s="148" t="e">
        <f>Sheet6!E42-#REF!</f>
        <v>#REF!</v>
      </c>
      <c r="N20" s="146"/>
      <c r="O20" s="147"/>
      <c r="P20" s="148" t="e">
        <f t="shared" si="1"/>
        <v>#REF!</v>
      </c>
      <c r="W20" s="143">
        <v>724676.82000000007</v>
      </c>
      <c r="X20" s="174" t="e">
        <f t="shared" si="0"/>
        <v>#REF!</v>
      </c>
    </row>
    <row r="21" spans="1:24">
      <c r="A21" s="150" t="s">
        <v>307</v>
      </c>
      <c r="B21" s="146"/>
      <c r="C21" s="147"/>
      <c r="D21" s="148">
        <v>3000000</v>
      </c>
      <c r="E21" s="144"/>
      <c r="F21" s="146"/>
      <c r="G21" s="149"/>
      <c r="H21" s="148">
        <f t="shared" si="2"/>
        <v>967741.93548387091</v>
      </c>
      <c r="J21" s="146"/>
      <c r="K21" s="149"/>
      <c r="L21" s="148" t="e">
        <f>#REF!</f>
        <v>#REF!</v>
      </c>
      <c r="N21" s="146"/>
      <c r="O21" s="147"/>
      <c r="P21" s="148" t="e">
        <f t="shared" si="1"/>
        <v>#REF!</v>
      </c>
      <c r="W21" s="143">
        <v>379997.75</v>
      </c>
      <c r="X21" s="174" t="e">
        <f t="shared" si="0"/>
        <v>#REF!</v>
      </c>
    </row>
    <row r="22" spans="1:24">
      <c r="A22" s="150" t="s">
        <v>360</v>
      </c>
      <c r="B22" s="146"/>
      <c r="C22" s="147"/>
      <c r="D22" s="148"/>
      <c r="E22" s="144"/>
      <c r="F22" s="146"/>
      <c r="G22" s="149"/>
      <c r="H22" s="148"/>
      <c r="J22" s="146"/>
      <c r="K22" s="149"/>
      <c r="L22" s="148">
        <f>(6.31*99000)+(6.03*99000)</f>
        <v>1221660</v>
      </c>
      <c r="N22" s="146"/>
      <c r="O22" s="147"/>
      <c r="P22" s="148">
        <f>+L22-H22</f>
        <v>1221660</v>
      </c>
      <c r="X22" s="174"/>
    </row>
    <row r="23" spans="1:24">
      <c r="A23" s="178" t="s">
        <v>364</v>
      </c>
      <c r="B23" s="146"/>
      <c r="C23" s="147"/>
      <c r="D23" s="148"/>
      <c r="E23" s="144"/>
      <c r="F23" s="146"/>
      <c r="G23" s="149"/>
      <c r="H23" s="148"/>
      <c r="J23" s="146"/>
      <c r="K23" s="149"/>
      <c r="L23" s="148">
        <f>155995+471701.8</f>
        <v>627696.80000000005</v>
      </c>
      <c r="N23" s="146"/>
      <c r="O23" s="147"/>
      <c r="P23" s="148">
        <f>+L23-H23</f>
        <v>627696.80000000005</v>
      </c>
      <c r="W23" s="143">
        <v>780734.5</v>
      </c>
      <c r="X23" s="174">
        <f>+L23-W23</f>
        <v>-153037.69999999995</v>
      </c>
    </row>
    <row r="24" spans="1:24">
      <c r="A24" s="150" t="s">
        <v>53</v>
      </c>
      <c r="B24" s="146"/>
      <c r="C24" s="147"/>
      <c r="D24" s="148">
        <v>-2076444.48</v>
      </c>
      <c r="E24" s="144"/>
      <c r="F24" s="146"/>
      <c r="G24" s="149"/>
      <c r="H24" s="148">
        <f t="shared" si="2"/>
        <v>-669820.80000000005</v>
      </c>
      <c r="J24" s="146"/>
      <c r="K24" s="149"/>
      <c r="L24" s="148" t="e">
        <f>Sheet6!E43</f>
        <v>#REF!</v>
      </c>
      <c r="N24" s="146"/>
      <c r="O24" s="147"/>
      <c r="P24" s="148" t="e">
        <f t="shared" si="1"/>
        <v>#REF!</v>
      </c>
      <c r="W24" s="143">
        <v>-664193</v>
      </c>
      <c r="X24" s="174" t="e">
        <f t="shared" si="0"/>
        <v>#REF!</v>
      </c>
    </row>
    <row r="25" spans="1:24">
      <c r="A25" s="150" t="s">
        <v>308</v>
      </c>
      <c r="B25" s="146"/>
      <c r="C25" s="147"/>
      <c r="D25" s="148">
        <v>-2000000</v>
      </c>
      <c r="E25" s="144"/>
      <c r="F25" s="146"/>
      <c r="G25" s="149"/>
      <c r="H25" s="148">
        <f t="shared" si="2"/>
        <v>-645161.29032258072</v>
      </c>
      <c r="J25" s="146"/>
      <c r="K25" s="149"/>
      <c r="L25" s="148" t="e">
        <f>Sheet6!E46</f>
        <v>#REF!</v>
      </c>
      <c r="N25" s="146"/>
      <c r="O25" s="147"/>
      <c r="P25" s="148" t="e">
        <f t="shared" si="1"/>
        <v>#REF!</v>
      </c>
      <c r="W25" s="143">
        <v>-179034.71</v>
      </c>
      <c r="X25" s="174" t="e">
        <f t="shared" si="0"/>
        <v>#REF!</v>
      </c>
    </row>
    <row r="26" spans="1:24">
      <c r="A26" s="178" t="s">
        <v>361</v>
      </c>
      <c r="B26" s="146"/>
      <c r="C26" s="147"/>
      <c r="D26" s="148"/>
      <c r="E26" s="144"/>
      <c r="F26" s="146"/>
      <c r="G26" s="149"/>
      <c r="H26" s="148"/>
      <c r="J26" s="146"/>
      <c r="K26" s="149"/>
      <c r="L26" s="148" t="e">
        <f>-#REF!</f>
        <v>#REF!</v>
      </c>
      <c r="N26" s="146"/>
      <c r="O26" s="147"/>
      <c r="P26" s="148" t="e">
        <f t="shared" si="1"/>
        <v>#REF!</v>
      </c>
      <c r="X26" s="174"/>
    </row>
    <row r="27" spans="1:24">
      <c r="A27" s="186" t="s">
        <v>379</v>
      </c>
      <c r="B27" s="146"/>
      <c r="C27" s="147"/>
      <c r="D27" s="148"/>
      <c r="E27" s="144"/>
      <c r="F27" s="146"/>
      <c r="G27" s="149"/>
      <c r="H27" s="148"/>
      <c r="J27" s="146"/>
      <c r="K27" s="149"/>
      <c r="L27" s="148" t="e">
        <f>-#REF!</f>
        <v>#REF!</v>
      </c>
      <c r="N27" s="146"/>
      <c r="O27" s="147"/>
      <c r="P27" s="148"/>
      <c r="X27" s="174"/>
    </row>
    <row r="28" spans="1:24">
      <c r="A28" s="150"/>
      <c r="B28" s="146"/>
      <c r="C28" s="147"/>
      <c r="D28" s="148"/>
      <c r="E28" s="144"/>
      <c r="F28" s="146"/>
      <c r="G28" s="149"/>
      <c r="H28" s="148"/>
      <c r="J28" s="146"/>
      <c r="K28" s="149"/>
      <c r="L28" s="148"/>
      <c r="N28" s="146"/>
      <c r="O28" s="147"/>
      <c r="P28" s="148"/>
    </row>
    <row r="29" spans="1:24">
      <c r="A29" s="150" t="s">
        <v>309</v>
      </c>
      <c r="B29" s="146">
        <f>B4</f>
        <v>760110</v>
      </c>
      <c r="C29" s="147">
        <f>+D29/B29</f>
        <v>33.447205693912721</v>
      </c>
      <c r="D29" s="148">
        <f>SUM(D16:D28)</f>
        <v>25423555.52</v>
      </c>
      <c r="E29" s="144"/>
      <c r="F29" s="146">
        <f>F4</f>
        <v>245196.77419354836</v>
      </c>
      <c r="G29" s="147">
        <f>+H29/F29</f>
        <v>33.447205693912728</v>
      </c>
      <c r="H29" s="148">
        <f>SUM(H16:H28)</f>
        <v>8201146.9419354843</v>
      </c>
      <c r="J29" s="146" t="e">
        <f>J4</f>
        <v>#REF!</v>
      </c>
      <c r="K29" s="147" t="e">
        <f>+L29/J29</f>
        <v>#REF!</v>
      </c>
      <c r="L29" s="148" t="e">
        <f>SUM(L16:L28)</f>
        <v>#REF!</v>
      </c>
      <c r="N29" s="146" t="e">
        <f>N4</f>
        <v>#REF!</v>
      </c>
      <c r="O29" s="147" t="e">
        <f>+P29/J29</f>
        <v>#REF!</v>
      </c>
      <c r="P29" s="148" t="e">
        <f>SUM(P16:P28)</f>
        <v>#REF!</v>
      </c>
      <c r="W29" s="143">
        <v>7009132.3498196686</v>
      </c>
      <c r="X29" s="174" t="e">
        <f t="shared" si="0"/>
        <v>#REF!</v>
      </c>
    </row>
    <row r="30" spans="1:24">
      <c r="A30" s="150"/>
      <c r="B30" s="146"/>
      <c r="C30" s="149"/>
      <c r="D30" s="148"/>
      <c r="E30" s="144"/>
      <c r="F30" s="146"/>
      <c r="G30" s="149"/>
      <c r="H30" s="148"/>
      <c r="J30" s="146"/>
      <c r="K30" s="149"/>
      <c r="L30" s="148"/>
      <c r="N30" s="146"/>
      <c r="O30" s="149"/>
      <c r="P30" s="148"/>
    </row>
    <row r="31" spans="1:24" s="153" customFormat="1" ht="15.75" thickBot="1">
      <c r="A31" s="158" t="s">
        <v>310</v>
      </c>
      <c r="B31" s="159">
        <f>B4</f>
        <v>760110</v>
      </c>
      <c r="C31" s="160">
        <f>+D31/B31</f>
        <v>22.987461262185722</v>
      </c>
      <c r="D31" s="161">
        <f>D14-D29</f>
        <v>17472999.179999989</v>
      </c>
      <c r="E31" s="162"/>
      <c r="F31" s="159">
        <f>F4</f>
        <v>245196.77419354836</v>
      </c>
      <c r="G31" s="160">
        <f>+G14-G29</f>
        <v>22.987461262185725</v>
      </c>
      <c r="H31" s="161">
        <f>H14-H29</f>
        <v>5636451.3483870914</v>
      </c>
      <c r="J31" s="159" t="e">
        <f>J4</f>
        <v>#REF!</v>
      </c>
      <c r="K31" s="160" t="e">
        <f>+K14-K29</f>
        <v>#REF!</v>
      </c>
      <c r="L31" s="161" t="e">
        <f>L14-L29</f>
        <v>#REF!</v>
      </c>
      <c r="N31" s="159" t="e">
        <f>N4</f>
        <v>#REF!</v>
      </c>
      <c r="O31" s="160" t="e">
        <f>+P31/J31</f>
        <v>#REF!</v>
      </c>
      <c r="P31" s="161" t="e">
        <f>+P14-P29</f>
        <v>#REF!</v>
      </c>
      <c r="W31" s="153">
        <v>1407114.0737399599</v>
      </c>
      <c r="X31" s="174" t="e">
        <f t="shared" si="0"/>
        <v>#REF!</v>
      </c>
    </row>
    <row r="32" spans="1:24">
      <c r="B32" s="145"/>
      <c r="C32" s="144"/>
      <c r="D32" s="145"/>
      <c r="E32" s="144"/>
      <c r="F32" s="145"/>
      <c r="H32" s="145"/>
      <c r="J32" s="145"/>
      <c r="L32" s="145"/>
      <c r="N32" s="145"/>
      <c r="P32" s="145"/>
    </row>
    <row r="33" spans="1:21">
      <c r="B33" s="145"/>
      <c r="C33" s="144"/>
      <c r="D33" s="145"/>
      <c r="E33" s="144"/>
      <c r="F33" s="145"/>
      <c r="H33" s="145"/>
      <c r="J33" s="145"/>
      <c r="L33" s="145"/>
      <c r="N33" s="145"/>
      <c r="P33" s="145"/>
    </row>
    <row r="34" spans="1:21">
      <c r="B34" s="145"/>
      <c r="C34" s="144"/>
      <c r="D34" s="145"/>
      <c r="E34" s="144"/>
      <c r="F34" s="145"/>
      <c r="H34" s="145"/>
      <c r="J34" s="145"/>
      <c r="L34" s="145"/>
      <c r="N34" s="145"/>
      <c r="P34" s="145"/>
    </row>
    <row r="35" spans="1:21">
      <c r="A35" s="173" t="s">
        <v>321</v>
      </c>
      <c r="B35" s="145"/>
      <c r="C35" s="144"/>
      <c r="D35" s="145"/>
      <c r="E35" s="144"/>
      <c r="F35" s="145"/>
      <c r="H35" s="145"/>
      <c r="J35" s="145"/>
      <c r="L35" s="145" t="e">
        <f>-'PUR-SALE'!#REF!</f>
        <v>#REF!</v>
      </c>
      <c r="N35" s="145"/>
      <c r="P35" s="145"/>
    </row>
    <row r="36" spans="1:21">
      <c r="A36" s="173" t="s">
        <v>322</v>
      </c>
      <c r="B36" s="145"/>
      <c r="C36" s="144"/>
      <c r="D36" s="145"/>
      <c r="E36" s="144"/>
      <c r="F36" s="145"/>
      <c r="H36" s="145"/>
      <c r="J36" s="145"/>
      <c r="L36" s="145" t="e">
        <f>'PUR-SALE'!#REF!</f>
        <v>#REF!</v>
      </c>
      <c r="S36" s="143">
        <f>4095-460-270</f>
        <v>3365</v>
      </c>
      <c r="T36" s="144">
        <v>357.06</v>
      </c>
      <c r="U36" s="145">
        <f>+S36*T36</f>
        <v>1201506.8999999999</v>
      </c>
    </row>
    <row r="37" spans="1:21">
      <c r="A37" s="181" t="s">
        <v>365</v>
      </c>
      <c r="B37" s="145"/>
      <c r="C37" s="144"/>
      <c r="D37" s="145"/>
      <c r="E37" s="144"/>
      <c r="F37" s="145"/>
      <c r="H37" s="145"/>
      <c r="J37" s="145"/>
      <c r="L37" s="175" t="e">
        <f>-'PUR-SALE'!#REF!</f>
        <v>#REF!</v>
      </c>
      <c r="N37" s="145"/>
      <c r="S37" s="143">
        <f>4095-460-270</f>
        <v>3365</v>
      </c>
      <c r="T37" s="144" t="e">
        <f>#REF!</f>
        <v>#REF!</v>
      </c>
      <c r="U37" s="145" t="e">
        <f>+S37*T37</f>
        <v>#REF!</v>
      </c>
    </row>
    <row r="38" spans="1:21">
      <c r="A38" s="179" t="s">
        <v>363</v>
      </c>
      <c r="B38" s="145"/>
      <c r="C38" s="144"/>
      <c r="D38" s="145"/>
      <c r="E38" s="144"/>
      <c r="F38" s="145"/>
      <c r="H38" s="145"/>
      <c r="J38" s="145"/>
      <c r="L38" s="175" t="e">
        <f>-('PUR-SALE'!#REF!+'PUR-SALE'!#REF!+'PUR-SALE'!#REF!+'PUR-SALE'!#REF!)*1.1*6</f>
        <v>#REF!</v>
      </c>
      <c r="N38" s="145"/>
      <c r="T38" s="144"/>
      <c r="U38" s="145"/>
    </row>
    <row r="39" spans="1:21">
      <c r="A39" s="173" t="s">
        <v>323</v>
      </c>
      <c r="B39" s="145"/>
      <c r="C39" s="144"/>
      <c r="D39" s="145"/>
      <c r="E39" s="144"/>
      <c r="F39" s="144"/>
      <c r="J39" s="145"/>
      <c r="L39" s="175" t="e">
        <f>#REF!</f>
        <v>#REF!</v>
      </c>
      <c r="S39" s="143">
        <f>+S36-S37</f>
        <v>0</v>
      </c>
      <c r="T39" s="143" t="e">
        <f>+T36-T37</f>
        <v>#REF!</v>
      </c>
      <c r="U39" s="143" t="e">
        <f>+U36-U37</f>
        <v>#REF!</v>
      </c>
    </row>
    <row r="40" spans="1:21">
      <c r="A40" s="173" t="s">
        <v>324</v>
      </c>
      <c r="L40" s="175" t="e">
        <f>#REF!</f>
        <v>#REF!</v>
      </c>
      <c r="P40" s="145"/>
    </row>
    <row r="41" spans="1:21">
      <c r="A41" s="153" t="s">
        <v>325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74" t="e">
        <f>SUM(L35:L40)</f>
        <v>#REF!</v>
      </c>
      <c r="M41" s="153"/>
    </row>
    <row r="42" spans="1:21" s="153" customForma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O42" s="162"/>
    </row>
    <row r="43" spans="1:21">
      <c r="L43" s="145" t="e">
        <f>+L31+L39</f>
        <v>#REF!</v>
      </c>
    </row>
    <row r="45" spans="1:21">
      <c r="L45" s="145" t="e">
        <f>L31+L23+L39</f>
        <v>#REF!</v>
      </c>
    </row>
    <row r="49" spans="1:12">
      <c r="A49" s="177" t="s">
        <v>355</v>
      </c>
      <c r="J49" s="145" t="e">
        <f>#REF!</f>
        <v>#REF!</v>
      </c>
    </row>
    <row r="50" spans="1:12">
      <c r="A50" s="177" t="s">
        <v>66</v>
      </c>
      <c r="J50" s="145" t="e">
        <f>+J49*1.1</f>
        <v>#REF!</v>
      </c>
    </row>
    <row r="51" spans="1:12">
      <c r="A51" s="177" t="s">
        <v>356</v>
      </c>
      <c r="J51" s="145">
        <v>49500</v>
      </c>
    </row>
    <row r="52" spans="1:12">
      <c r="J52" s="145" t="e">
        <f>+J50-J51</f>
        <v>#REF!</v>
      </c>
    </row>
    <row r="53" spans="1:12">
      <c r="J53" s="145">
        <v>6</v>
      </c>
    </row>
    <row r="54" spans="1:12">
      <c r="J54" s="145" t="e">
        <f>+J52*J53</f>
        <v>#REF!</v>
      </c>
    </row>
    <row r="61" spans="1:12">
      <c r="J61" s="143">
        <v>0</v>
      </c>
      <c r="K61" s="143">
        <v>0</v>
      </c>
      <c r="L61" s="143">
        <v>0</v>
      </c>
    </row>
    <row r="62" spans="1:12">
      <c r="J62" s="143">
        <v>0</v>
      </c>
      <c r="K62" s="143">
        <v>0</v>
      </c>
      <c r="L62" s="143">
        <v>0</v>
      </c>
    </row>
    <row r="63" spans="1:12">
      <c r="J63" s="143">
        <v>0</v>
      </c>
      <c r="K63" s="143">
        <v>0</v>
      </c>
      <c r="L63" s="143">
        <v>0</v>
      </c>
    </row>
    <row r="64" spans="1:12">
      <c r="L64" s="143">
        <f>SUM(L61:L63)</f>
        <v>0</v>
      </c>
    </row>
  </sheetData>
  <mergeCells count="4">
    <mergeCell ref="B2:D2"/>
    <mergeCell ref="F2:H2"/>
    <mergeCell ref="J2:L2"/>
    <mergeCell ref="N2:P2"/>
  </mergeCells>
  <pageMargins left="0.45" right="0.45" top="0.5" bottom="0.5" header="0.3" footer="0.3"/>
  <pageSetup paperSize="9" scale="8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2.75"/>
  <cols>
    <col min="1" max="16384" width="9.140625" style="10"/>
  </cols>
  <sheetData/>
  <printOptions gridLines="1"/>
  <pageMargins left="0.2" right="0.2" top="0.25" bottom="0.25" header="0.25" footer="0"/>
  <pageSetup paperSize="9"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86"/>
  <sheetViews>
    <sheetView workbookViewId="0"/>
  </sheetViews>
  <sheetFormatPr defaultColWidth="9.140625" defaultRowHeight="12.75"/>
  <cols>
    <col min="1" max="1" width="9.140625" style="10"/>
    <col min="2" max="2" width="39.42578125" style="10" bestFit="1" customWidth="1"/>
    <col min="3" max="3" width="15.85546875" style="10" bestFit="1" customWidth="1"/>
    <col min="4" max="4" width="9.5703125" style="10" bestFit="1" customWidth="1"/>
    <col min="5" max="5" width="16.5703125" style="10" bestFit="1" customWidth="1"/>
    <col min="6" max="6" width="13.28515625" style="10" bestFit="1" customWidth="1"/>
    <col min="7" max="7" width="14" style="10" bestFit="1" customWidth="1"/>
    <col min="8" max="13" width="9.140625" style="10"/>
    <col min="14" max="14" width="9.42578125" style="10" bestFit="1" customWidth="1"/>
    <col min="15" max="16384" width="9.140625" style="10"/>
  </cols>
  <sheetData>
    <row r="3" spans="2:14">
      <c r="B3" s="9" t="s">
        <v>119</v>
      </c>
      <c r="C3" s="9" t="s">
        <v>1</v>
      </c>
      <c r="D3" s="9" t="s">
        <v>2</v>
      </c>
      <c r="E3" s="9" t="s">
        <v>129</v>
      </c>
    </row>
    <row r="4" spans="2:14">
      <c r="B4" s="10" t="s">
        <v>0</v>
      </c>
      <c r="C4" s="10" t="s">
        <v>1</v>
      </c>
      <c r="D4" s="10" t="s">
        <v>2</v>
      </c>
      <c r="E4" s="10" t="s">
        <v>3</v>
      </c>
    </row>
    <row r="5" spans="2:14">
      <c r="B5" s="10" t="s">
        <v>5</v>
      </c>
      <c r="C5" s="14">
        <f>'New Working'!B5</f>
        <v>306664.90000000002</v>
      </c>
      <c r="D5" s="14">
        <f>'New Working'!C5</f>
        <v>157.96893009274942</v>
      </c>
      <c r="E5" s="14">
        <f>'New Working'!D5</f>
        <v>48443526.149999999</v>
      </c>
      <c r="F5" s="14"/>
      <c r="N5" s="129"/>
    </row>
    <row r="6" spans="2:14">
      <c r="B6" s="10" t="s">
        <v>6</v>
      </c>
      <c r="C6" s="14">
        <f>'New Working'!B6</f>
        <v>85056.500000000015</v>
      </c>
      <c r="D6" s="14">
        <f>'New Working'!C6</f>
        <v>105.13316336787898</v>
      </c>
      <c r="E6" s="14">
        <f>'New Working'!D6</f>
        <v>8942258.9100000001</v>
      </c>
      <c r="F6" s="14"/>
      <c r="N6" s="129"/>
    </row>
    <row r="7" spans="2:14">
      <c r="B7" s="10" t="s">
        <v>7</v>
      </c>
      <c r="C7" s="14">
        <f>'New Working'!B7</f>
        <v>40640.5</v>
      </c>
      <c r="D7" s="14">
        <f>'New Working'!C7</f>
        <v>103.30194411978199</v>
      </c>
      <c r="E7" s="14">
        <f>'New Working'!D7</f>
        <v>4198242.66</v>
      </c>
      <c r="F7" s="14"/>
      <c r="N7" s="129"/>
    </row>
    <row r="8" spans="2:14">
      <c r="B8" s="10" t="s">
        <v>8</v>
      </c>
      <c r="C8" s="14">
        <f>'New Working'!B8</f>
        <v>14100</v>
      </c>
      <c r="D8" s="14">
        <f>'New Working'!C8</f>
        <v>20</v>
      </c>
      <c r="E8" s="14">
        <f>'New Working'!D8</f>
        <v>282000</v>
      </c>
      <c r="F8" s="14"/>
      <c r="N8" s="129"/>
    </row>
    <row r="9" spans="2:14">
      <c r="B9" s="10" t="s">
        <v>9</v>
      </c>
      <c r="C9" s="14">
        <f>'New Working'!B9</f>
        <v>0</v>
      </c>
      <c r="D9" s="14" t="e">
        <f>'New Working'!C9</f>
        <v>#DIV/0!</v>
      </c>
      <c r="E9" s="14">
        <f>'New Working'!D9</f>
        <v>0</v>
      </c>
      <c r="F9" s="14"/>
      <c r="N9" s="129"/>
    </row>
    <row r="10" spans="2:14">
      <c r="B10" s="10" t="s">
        <v>10</v>
      </c>
      <c r="C10" s="14">
        <f>'New Working'!B10</f>
        <v>0</v>
      </c>
      <c r="D10" s="14" t="e">
        <f>'New Working'!C10</f>
        <v>#DIV/0!</v>
      </c>
      <c r="E10" s="14">
        <f>'New Working'!D10</f>
        <v>0</v>
      </c>
      <c r="F10" s="14"/>
      <c r="N10" s="129"/>
    </row>
    <row r="11" spans="2:14">
      <c r="B11" s="10" t="s">
        <v>11</v>
      </c>
      <c r="C11" s="14">
        <f>'New Working'!B11</f>
        <v>7960</v>
      </c>
      <c r="D11" s="14">
        <f>'New Working'!C11</f>
        <v>15</v>
      </c>
      <c r="E11" s="14">
        <f>'New Working'!D11</f>
        <v>119400</v>
      </c>
      <c r="F11" s="14"/>
      <c r="N11" s="129"/>
    </row>
    <row r="12" spans="2:14">
      <c r="B12" s="10" t="s">
        <v>12</v>
      </c>
      <c r="C12" s="14">
        <f>'New Working'!B12</f>
        <v>12228.8</v>
      </c>
      <c r="D12" s="14">
        <f>'New Working'!C12</f>
        <v>103.29697108465263</v>
      </c>
      <c r="E12" s="14">
        <f>'New Working'!D12</f>
        <v>1263198</v>
      </c>
      <c r="F12" s="14"/>
      <c r="N12" s="129"/>
    </row>
    <row r="13" spans="2:14">
      <c r="B13" s="10" t="s">
        <v>13</v>
      </c>
      <c r="C13" s="14">
        <f>'New Working'!B13</f>
        <v>8500</v>
      </c>
      <c r="D13" s="14">
        <f>'New Working'!C13</f>
        <v>29.5</v>
      </c>
      <c r="E13" s="14">
        <f>'New Working'!D13</f>
        <v>250750</v>
      </c>
      <c r="F13" s="14"/>
      <c r="N13" s="129"/>
    </row>
    <row r="14" spans="2:14">
      <c r="B14" s="10" t="s">
        <v>14</v>
      </c>
      <c r="C14" s="14">
        <f>'New Working'!B14</f>
        <v>500</v>
      </c>
      <c r="D14" s="14">
        <f>'New Working'!C14</f>
        <v>141</v>
      </c>
      <c r="E14" s="14">
        <f>'New Working'!D14</f>
        <v>70500</v>
      </c>
      <c r="F14" s="14"/>
      <c r="N14" s="129"/>
    </row>
    <row r="15" spans="2:14">
      <c r="B15" s="10" t="s">
        <v>15</v>
      </c>
      <c r="C15" s="14">
        <f>'New Working'!B15</f>
        <v>125</v>
      </c>
      <c r="D15" s="14">
        <f>'New Working'!C15</f>
        <v>68.248000000000005</v>
      </c>
      <c r="E15" s="14">
        <f>'New Working'!D15</f>
        <v>8531</v>
      </c>
      <c r="F15" s="14"/>
      <c r="N15" s="129"/>
    </row>
    <row r="16" spans="2:14">
      <c r="B16" s="10" t="s">
        <v>288</v>
      </c>
      <c r="C16" s="14">
        <f>'New Working'!B16</f>
        <v>18000</v>
      </c>
      <c r="D16" s="14">
        <f>'New Working'!C16</f>
        <v>75.863888888888894</v>
      </c>
      <c r="E16" s="14">
        <f>'New Working'!D16</f>
        <v>1365550</v>
      </c>
      <c r="F16" s="14"/>
      <c r="N16" s="129"/>
    </row>
    <row r="17" spans="2:14">
      <c r="B17" s="10" t="s">
        <v>291</v>
      </c>
      <c r="C17" s="14">
        <f>'New Working'!B17</f>
        <v>0</v>
      </c>
      <c r="D17" s="14" t="e">
        <f>'New Working'!C17</f>
        <v>#DIV/0!</v>
      </c>
      <c r="E17" s="14">
        <f>'New Working'!D17</f>
        <v>0</v>
      </c>
      <c r="F17" s="14"/>
      <c r="N17" s="129"/>
    </row>
    <row r="18" spans="2:14">
      <c r="C18" s="14">
        <f>'New Working'!B18</f>
        <v>0</v>
      </c>
      <c r="D18" s="14" t="e">
        <f>'New Working'!C18</f>
        <v>#DIV/0!</v>
      </c>
      <c r="E18" s="14">
        <f>'New Working'!D18</f>
        <v>0</v>
      </c>
      <c r="F18" s="14"/>
      <c r="N18" s="129"/>
    </row>
    <row r="19" spans="2:14">
      <c r="C19" s="14"/>
      <c r="D19" s="14"/>
      <c r="E19" s="14"/>
      <c r="F19" s="14"/>
      <c r="N19" s="129"/>
    </row>
    <row r="20" spans="2:14">
      <c r="B20" s="21" t="s">
        <v>16</v>
      </c>
      <c r="C20" s="40">
        <f>SUM(C5:C17)</f>
        <v>493775.7</v>
      </c>
      <c r="D20" s="40">
        <f>E20/C20</f>
        <v>131.52521827218308</v>
      </c>
      <c r="E20" s="40">
        <f>SUM(E5:E17)</f>
        <v>64943956.719999999</v>
      </c>
      <c r="F20" s="14"/>
      <c r="N20" s="129"/>
    </row>
    <row r="21" spans="2:14">
      <c r="B21" s="21" t="s">
        <v>292</v>
      </c>
      <c r="C21" s="40" t="e">
        <f>'New Working'!B75</f>
        <v>#REF!</v>
      </c>
      <c r="D21" s="40" t="e">
        <f>'New Working'!C75</f>
        <v>#REF!</v>
      </c>
      <c r="E21" s="40" t="e">
        <f>+C21*D21</f>
        <v>#REF!</v>
      </c>
      <c r="F21" s="14"/>
      <c r="N21" s="129"/>
    </row>
    <row r="22" spans="2:14">
      <c r="C22" s="14"/>
      <c r="D22" s="14"/>
      <c r="E22" s="14"/>
      <c r="F22" s="14"/>
      <c r="N22" s="129"/>
    </row>
    <row r="23" spans="2:14">
      <c r="B23" s="21" t="s">
        <v>293</v>
      </c>
      <c r="C23" s="40">
        <f>+C20</f>
        <v>493775.7</v>
      </c>
      <c r="D23" s="40" t="e">
        <f>+D20-D21</f>
        <v>#REF!</v>
      </c>
      <c r="E23" s="40" t="e">
        <f>C23*D23</f>
        <v>#REF!</v>
      </c>
      <c r="F23" s="14"/>
      <c r="N23" s="129"/>
    </row>
    <row r="24" spans="2:14">
      <c r="B24" s="21"/>
      <c r="C24" s="40"/>
      <c r="D24" s="40"/>
      <c r="E24" s="40"/>
      <c r="F24" s="14"/>
      <c r="N24" s="129"/>
    </row>
    <row r="25" spans="2:14">
      <c r="B25" s="10" t="s">
        <v>294</v>
      </c>
      <c r="C25" s="14"/>
      <c r="D25" s="14"/>
      <c r="E25" s="14"/>
      <c r="F25" s="14"/>
      <c r="N25" s="129"/>
    </row>
    <row r="26" spans="2:14">
      <c r="B26" s="130" t="s">
        <v>295</v>
      </c>
      <c r="C26" s="133" t="e">
        <f>'New Working'!B118</f>
        <v>#REF!</v>
      </c>
      <c r="D26" s="133" t="e">
        <f>-'New Working'!C119</f>
        <v>#REF!</v>
      </c>
      <c r="E26" s="133" t="e">
        <f>C26*D26</f>
        <v>#REF!</v>
      </c>
      <c r="F26" s="14"/>
      <c r="N26" s="129"/>
    </row>
    <row r="27" spans="2:14">
      <c r="B27" s="130" t="s">
        <v>296</v>
      </c>
      <c r="C27" s="133"/>
      <c r="D27" s="133"/>
      <c r="E27" s="133"/>
      <c r="F27" s="14"/>
      <c r="N27" s="129"/>
    </row>
    <row r="28" spans="2:14">
      <c r="B28" s="134" t="s">
        <v>40</v>
      </c>
      <c r="C28" s="133" t="e">
        <f>-#REF!-#REF!</f>
        <v>#REF!</v>
      </c>
      <c r="D28" s="133">
        <v>15</v>
      </c>
      <c r="E28" s="133" t="e">
        <f t="shared" ref="E28:E33" si="0">C28*D28</f>
        <v>#REF!</v>
      </c>
      <c r="F28" s="14"/>
      <c r="N28" s="129"/>
    </row>
    <row r="29" spans="2:14">
      <c r="B29" s="134" t="s">
        <v>275</v>
      </c>
      <c r="C29" s="133" t="e">
        <f>-#REF!-#REF!-#REF!</f>
        <v>#REF!</v>
      </c>
      <c r="D29" s="133">
        <v>36</v>
      </c>
      <c r="E29" s="133" t="e">
        <f t="shared" si="0"/>
        <v>#REF!</v>
      </c>
      <c r="F29" s="14"/>
      <c r="N29" s="129"/>
    </row>
    <row r="30" spans="2:14">
      <c r="B30" s="134" t="s">
        <v>274</v>
      </c>
      <c r="C30" s="133" t="e">
        <f>-#REF!-#REF!</f>
        <v>#REF!</v>
      </c>
      <c r="D30" s="133">
        <v>36</v>
      </c>
      <c r="E30" s="133" t="e">
        <f t="shared" si="0"/>
        <v>#REF!</v>
      </c>
      <c r="F30" s="14"/>
      <c r="N30" s="129"/>
    </row>
    <row r="31" spans="2:14">
      <c r="B31" s="134" t="s">
        <v>41</v>
      </c>
      <c r="C31" s="133" t="e">
        <f>-#REF!-#REF!</f>
        <v>#REF!</v>
      </c>
      <c r="D31" s="133">
        <v>36</v>
      </c>
      <c r="E31" s="133" t="e">
        <f t="shared" si="0"/>
        <v>#REF!</v>
      </c>
      <c r="F31" s="14"/>
      <c r="N31" s="129"/>
    </row>
    <row r="32" spans="2:14">
      <c r="B32" s="134" t="s">
        <v>35</v>
      </c>
      <c r="C32" s="133" t="e">
        <f>-#REF!</f>
        <v>#REF!</v>
      </c>
      <c r="D32" s="133">
        <v>80</v>
      </c>
      <c r="E32" s="133" t="e">
        <f t="shared" si="0"/>
        <v>#REF!</v>
      </c>
      <c r="F32" s="14"/>
      <c r="N32" s="129"/>
    </row>
    <row r="33" spans="2:14">
      <c r="B33" s="134" t="s">
        <v>276</v>
      </c>
      <c r="C33" s="133" t="e">
        <f>-#REF!</f>
        <v>#REF!</v>
      </c>
      <c r="D33" s="133">
        <v>70</v>
      </c>
      <c r="E33" s="133" t="e">
        <f t="shared" si="0"/>
        <v>#REF!</v>
      </c>
      <c r="F33" s="14"/>
      <c r="N33" s="129"/>
    </row>
    <row r="34" spans="2:14">
      <c r="B34" s="134" t="s">
        <v>297</v>
      </c>
      <c r="C34" s="133"/>
      <c r="D34" s="133"/>
      <c r="E34" s="133">
        <v>1571475.43</v>
      </c>
      <c r="F34" s="14"/>
      <c r="N34" s="129"/>
    </row>
    <row r="35" spans="2:14">
      <c r="C35" s="14"/>
      <c r="D35" s="14"/>
      <c r="E35" s="14"/>
      <c r="F35" s="14"/>
      <c r="G35" s="14"/>
      <c r="H35" s="14"/>
      <c r="I35" s="14"/>
      <c r="N35" s="129"/>
    </row>
    <row r="36" spans="2:14">
      <c r="B36" s="21" t="s">
        <v>298</v>
      </c>
      <c r="C36" s="40">
        <f>$C$23</f>
        <v>493775.7</v>
      </c>
      <c r="D36" s="40" t="e">
        <f>E36/C36</f>
        <v>#REF!</v>
      </c>
      <c r="E36" s="40" t="e">
        <f>SUM(E26:E35)</f>
        <v>#REF!</v>
      </c>
      <c r="F36" s="14"/>
      <c r="G36" s="14"/>
      <c r="H36" s="14"/>
      <c r="I36" s="14"/>
      <c r="N36" s="129"/>
    </row>
    <row r="37" spans="2:14">
      <c r="C37" s="14"/>
      <c r="D37" s="14"/>
      <c r="E37" s="14"/>
      <c r="F37" s="14"/>
      <c r="G37" s="14"/>
      <c r="H37" s="14"/>
      <c r="I37" s="14"/>
      <c r="N37" s="129"/>
    </row>
    <row r="38" spans="2:14">
      <c r="B38" s="10" t="s">
        <v>46</v>
      </c>
      <c r="C38" s="40">
        <f t="shared" ref="C38:C46" si="1">$C$23</f>
        <v>493775.7</v>
      </c>
      <c r="D38" s="40" t="e">
        <f t="shared" ref="D38:D46" si="2">E38/C38</f>
        <v>#REF!</v>
      </c>
      <c r="E38" s="14" t="e">
        <f>'New Working'!D79</f>
        <v>#REF!</v>
      </c>
      <c r="F38" s="14"/>
      <c r="G38" s="14"/>
      <c r="H38" s="14"/>
      <c r="I38" s="14"/>
      <c r="N38" s="129"/>
    </row>
    <row r="39" spans="2:14">
      <c r="B39" s="10" t="s">
        <v>47</v>
      </c>
      <c r="C39" s="40">
        <f t="shared" si="1"/>
        <v>493775.7</v>
      </c>
      <c r="D39" s="40" t="e">
        <f t="shared" si="2"/>
        <v>#REF!</v>
      </c>
      <c r="E39" s="14" t="e">
        <f>'New Working'!D80</f>
        <v>#REF!</v>
      </c>
      <c r="F39" s="14"/>
      <c r="G39" s="14"/>
      <c r="H39" s="14"/>
      <c r="I39" s="14"/>
      <c r="N39" s="129"/>
    </row>
    <row r="40" spans="2:14">
      <c r="B40" s="10" t="s">
        <v>48</v>
      </c>
      <c r="C40" s="40">
        <f t="shared" si="1"/>
        <v>493775.7</v>
      </c>
      <c r="D40" s="40" t="e">
        <f t="shared" si="2"/>
        <v>#REF!</v>
      </c>
      <c r="E40" s="14" t="e">
        <f>'New Working'!D81</f>
        <v>#REF!</v>
      </c>
      <c r="F40" s="14"/>
      <c r="G40" s="14"/>
      <c r="H40" s="14"/>
      <c r="I40" s="14"/>
      <c r="N40" s="129"/>
    </row>
    <row r="41" spans="2:14">
      <c r="B41" s="10" t="s">
        <v>49</v>
      </c>
      <c r="C41" s="40">
        <f t="shared" si="1"/>
        <v>493775.7</v>
      </c>
      <c r="D41" s="40" t="e">
        <f t="shared" si="2"/>
        <v>#REF!</v>
      </c>
      <c r="E41" s="14" t="e">
        <f>'New Working'!D82</f>
        <v>#REF!</v>
      </c>
      <c r="F41" s="14"/>
      <c r="G41" s="14"/>
      <c r="H41" s="14"/>
      <c r="I41" s="14"/>
      <c r="N41" s="129"/>
    </row>
    <row r="42" spans="2:14">
      <c r="B42" s="10" t="s">
        <v>50</v>
      </c>
      <c r="C42" s="40">
        <f t="shared" si="1"/>
        <v>493775.7</v>
      </c>
      <c r="D42" s="40" t="e">
        <f t="shared" si="2"/>
        <v>#REF!</v>
      </c>
      <c r="E42" s="14" t="e">
        <f>'New Working'!D83</f>
        <v>#REF!</v>
      </c>
      <c r="F42" s="14"/>
      <c r="G42" s="14"/>
      <c r="H42" s="14"/>
      <c r="I42" s="14"/>
      <c r="N42" s="129"/>
    </row>
    <row r="43" spans="2:14">
      <c r="B43" s="10" t="s">
        <v>53</v>
      </c>
      <c r="C43" s="40">
        <f t="shared" si="1"/>
        <v>493775.7</v>
      </c>
      <c r="D43" s="40" t="e">
        <f t="shared" si="2"/>
        <v>#REF!</v>
      </c>
      <c r="E43" s="14" t="e">
        <f>-'New Working'!D89</f>
        <v>#REF!</v>
      </c>
      <c r="F43" s="14"/>
      <c r="G43" s="14"/>
      <c r="H43" s="14"/>
      <c r="I43" s="14"/>
      <c r="N43" s="129"/>
    </row>
    <row r="44" spans="2:14">
      <c r="B44" s="10" t="s">
        <v>287</v>
      </c>
      <c r="C44" s="40">
        <f t="shared" si="1"/>
        <v>493775.7</v>
      </c>
      <c r="D44" s="40" t="e">
        <f t="shared" si="2"/>
        <v>#REF!</v>
      </c>
      <c r="E44" s="14" t="e">
        <f>-'New Working'!D90</f>
        <v>#REF!</v>
      </c>
      <c r="F44" s="14"/>
      <c r="G44" s="14"/>
      <c r="H44" s="14"/>
      <c r="I44" s="14"/>
      <c r="N44" s="129"/>
    </row>
    <row r="45" spans="2:14">
      <c r="B45" s="10" t="s">
        <v>54</v>
      </c>
      <c r="C45" s="40">
        <f t="shared" si="1"/>
        <v>493775.7</v>
      </c>
      <c r="D45" s="40">
        <f t="shared" si="2"/>
        <v>0</v>
      </c>
      <c r="E45" s="14">
        <v>0</v>
      </c>
      <c r="F45" s="14"/>
      <c r="G45" s="14"/>
      <c r="H45" s="14"/>
      <c r="I45" s="14"/>
      <c r="N45" s="129"/>
    </row>
    <row r="46" spans="2:14">
      <c r="B46" s="10" t="s">
        <v>55</v>
      </c>
      <c r="C46" s="40">
        <f t="shared" si="1"/>
        <v>493775.7</v>
      </c>
      <c r="D46" s="40" t="e">
        <f t="shared" si="2"/>
        <v>#REF!</v>
      </c>
      <c r="E46" s="14" t="e">
        <f>-'New Working'!D92</f>
        <v>#REF!</v>
      </c>
      <c r="F46" s="14"/>
      <c r="G46" s="14"/>
      <c r="H46" s="14"/>
      <c r="I46" s="14"/>
      <c r="N46" s="129"/>
    </row>
    <row r="47" spans="2:14">
      <c r="C47" s="14"/>
      <c r="D47" s="14"/>
      <c r="E47" s="14"/>
      <c r="F47" s="14"/>
      <c r="G47" s="14"/>
      <c r="H47" s="14"/>
      <c r="I47" s="14"/>
      <c r="N47" s="129"/>
    </row>
    <row r="48" spans="2:14">
      <c r="B48" s="21" t="s">
        <v>299</v>
      </c>
      <c r="C48" s="40"/>
      <c r="D48" s="40"/>
      <c r="E48" s="40" t="e">
        <f>SUM(E38:E47)</f>
        <v>#REF!</v>
      </c>
      <c r="F48" s="14"/>
      <c r="G48" s="14"/>
      <c r="H48" s="14"/>
      <c r="I48" s="14"/>
      <c r="N48" s="129"/>
    </row>
    <row r="49" spans="2:14">
      <c r="C49" s="14"/>
      <c r="D49" s="14"/>
      <c r="E49" s="14"/>
      <c r="F49" s="14"/>
      <c r="G49" s="14"/>
      <c r="H49" s="14"/>
      <c r="I49" s="14"/>
      <c r="N49" s="129"/>
    </row>
    <row r="50" spans="2:14">
      <c r="B50" s="21" t="s">
        <v>300</v>
      </c>
      <c r="C50" s="40"/>
      <c r="D50" s="40"/>
      <c r="E50" s="40" t="e">
        <f>E23+E36-E48</f>
        <v>#REF!</v>
      </c>
      <c r="F50" s="14" t="e">
        <f>#REF!</f>
        <v>#REF!</v>
      </c>
      <c r="G50" s="14" t="e">
        <f>+E50-F50</f>
        <v>#REF!</v>
      </c>
      <c r="H50" s="14"/>
      <c r="I50" s="14"/>
      <c r="N50" s="129"/>
    </row>
    <row r="51" spans="2:14">
      <c r="C51" s="14"/>
      <c r="D51" s="14"/>
      <c r="E51" s="14" t="e">
        <f>+E50-E36</f>
        <v>#REF!</v>
      </c>
      <c r="F51" s="14"/>
      <c r="G51" s="14"/>
      <c r="H51" s="14"/>
      <c r="I51" s="14"/>
      <c r="N51" s="129"/>
    </row>
    <row r="52" spans="2:14">
      <c r="C52" s="14"/>
      <c r="D52" s="14"/>
      <c r="E52" s="14"/>
      <c r="F52" s="14"/>
      <c r="G52" s="14"/>
      <c r="H52" s="14"/>
      <c r="I52" s="14"/>
      <c r="N52" s="129"/>
    </row>
    <row r="53" spans="2:14">
      <c r="C53" s="14"/>
      <c r="D53" s="14"/>
      <c r="E53" s="14"/>
      <c r="F53" s="14"/>
      <c r="G53" s="14"/>
      <c r="H53" s="14"/>
      <c r="I53" s="14"/>
      <c r="N53" s="129"/>
    </row>
    <row r="54" spans="2:14">
      <c r="C54" s="14"/>
      <c r="D54" s="14"/>
      <c r="E54" s="14"/>
      <c r="F54" s="14"/>
      <c r="G54" s="14"/>
      <c r="H54" s="14"/>
      <c r="I54" s="14"/>
    </row>
    <row r="55" spans="2:14">
      <c r="C55" s="14"/>
      <c r="D55" s="14"/>
      <c r="E55" s="14"/>
      <c r="F55" s="14"/>
      <c r="G55" s="14"/>
      <c r="H55" s="14"/>
      <c r="I55" s="14"/>
    </row>
    <row r="56" spans="2:14">
      <c r="C56" s="14"/>
      <c r="D56" s="14"/>
      <c r="E56" s="14"/>
      <c r="F56" s="14"/>
      <c r="G56" s="14"/>
      <c r="H56" s="14"/>
      <c r="I56" s="14"/>
    </row>
    <row r="57" spans="2:14">
      <c r="C57" s="14"/>
      <c r="D57" s="14"/>
      <c r="E57" s="14"/>
      <c r="F57" s="14"/>
      <c r="G57" s="14"/>
      <c r="H57" s="14"/>
      <c r="I57" s="14"/>
    </row>
    <row r="58" spans="2:14">
      <c r="C58" s="14"/>
      <c r="D58" s="14"/>
      <c r="E58" s="14"/>
      <c r="F58" s="14"/>
      <c r="G58" s="14"/>
      <c r="H58" s="14"/>
      <c r="I58" s="14"/>
    </row>
    <row r="59" spans="2:14">
      <c r="C59" s="14"/>
      <c r="D59" s="14"/>
      <c r="E59" s="14"/>
      <c r="F59" s="14"/>
      <c r="G59" s="14"/>
      <c r="H59" s="14"/>
      <c r="I59" s="14"/>
    </row>
    <row r="60" spans="2:14">
      <c r="C60" s="14"/>
      <c r="D60" s="14"/>
      <c r="E60" s="14"/>
      <c r="F60" s="14"/>
      <c r="G60" s="14"/>
      <c r="H60" s="14"/>
      <c r="I60" s="14"/>
    </row>
    <row r="61" spans="2:14">
      <c r="C61" s="14"/>
      <c r="D61" s="14"/>
      <c r="E61" s="14"/>
      <c r="F61" s="14"/>
      <c r="G61" s="14"/>
      <c r="H61" s="14"/>
      <c r="I61" s="14"/>
    </row>
    <row r="62" spans="2:14">
      <c r="C62" s="14"/>
      <c r="D62" s="14"/>
      <c r="E62" s="14"/>
      <c r="F62" s="14"/>
      <c r="G62" s="14"/>
      <c r="H62" s="14"/>
      <c r="I62" s="14"/>
    </row>
    <row r="63" spans="2:14">
      <c r="C63" s="14"/>
      <c r="D63" s="14"/>
      <c r="E63" s="14"/>
      <c r="F63" s="14"/>
      <c r="G63" s="14"/>
      <c r="H63" s="14"/>
      <c r="I63" s="14"/>
    </row>
    <row r="64" spans="2:14">
      <c r="C64" s="14"/>
      <c r="D64" s="14"/>
      <c r="E64" s="14"/>
      <c r="F64" s="14"/>
      <c r="G64" s="14"/>
      <c r="H64" s="14"/>
      <c r="I64" s="14"/>
    </row>
    <row r="65" spans="3:9">
      <c r="C65" s="14"/>
      <c r="D65" s="14"/>
      <c r="E65" s="14"/>
      <c r="F65" s="14"/>
      <c r="G65" s="14"/>
      <c r="H65" s="14"/>
      <c r="I65" s="14"/>
    </row>
    <row r="66" spans="3:9">
      <c r="C66" s="14"/>
      <c r="D66" s="14"/>
      <c r="E66" s="14"/>
      <c r="F66" s="14"/>
      <c r="G66" s="14"/>
      <c r="H66" s="14"/>
      <c r="I66" s="14"/>
    </row>
    <row r="67" spans="3:9">
      <c r="C67" s="14"/>
      <c r="D67" s="14"/>
      <c r="E67" s="14"/>
      <c r="F67" s="14"/>
      <c r="G67" s="14"/>
      <c r="H67" s="14"/>
      <c r="I67" s="14"/>
    </row>
    <row r="68" spans="3:9">
      <c r="C68" s="14"/>
      <c r="D68" s="14"/>
      <c r="E68" s="14"/>
      <c r="F68" s="14"/>
      <c r="G68" s="14"/>
      <c r="H68" s="14"/>
      <c r="I68" s="14"/>
    </row>
    <row r="69" spans="3:9">
      <c r="C69" s="14"/>
      <c r="D69" s="14"/>
      <c r="E69" s="14"/>
      <c r="F69" s="14"/>
      <c r="G69" s="14"/>
      <c r="H69" s="14"/>
      <c r="I69" s="14"/>
    </row>
    <row r="70" spans="3:9">
      <c r="C70" s="14"/>
      <c r="D70" s="14"/>
      <c r="E70" s="14"/>
      <c r="F70" s="14"/>
      <c r="G70" s="14"/>
      <c r="H70" s="14"/>
      <c r="I70" s="14"/>
    </row>
    <row r="71" spans="3:9">
      <c r="C71" s="14"/>
      <c r="D71" s="14"/>
      <c r="E71" s="14"/>
      <c r="F71" s="14"/>
      <c r="G71" s="14"/>
      <c r="H71" s="14"/>
      <c r="I71" s="14"/>
    </row>
    <row r="72" spans="3:9">
      <c r="C72" s="14"/>
      <c r="D72" s="14"/>
      <c r="E72" s="14"/>
      <c r="F72" s="14"/>
      <c r="G72" s="14"/>
      <c r="H72" s="14"/>
      <c r="I72" s="14"/>
    </row>
    <row r="73" spans="3:9">
      <c r="C73" s="14"/>
      <c r="D73" s="14"/>
      <c r="E73" s="14"/>
      <c r="F73" s="14"/>
      <c r="G73" s="14"/>
      <c r="H73" s="14"/>
      <c r="I73" s="14"/>
    </row>
    <row r="74" spans="3:9">
      <c r="C74" s="14"/>
      <c r="D74" s="14"/>
      <c r="E74" s="14"/>
      <c r="F74" s="14"/>
      <c r="G74" s="14"/>
      <c r="H74" s="14"/>
      <c r="I74" s="14"/>
    </row>
    <row r="75" spans="3:9">
      <c r="C75" s="14"/>
      <c r="D75" s="14"/>
      <c r="E75" s="14"/>
      <c r="F75" s="14"/>
      <c r="G75" s="14"/>
      <c r="H75" s="14"/>
      <c r="I75" s="14"/>
    </row>
    <row r="76" spans="3:9">
      <c r="C76" s="14"/>
      <c r="D76" s="14"/>
      <c r="E76" s="14"/>
      <c r="F76" s="14"/>
      <c r="G76" s="14"/>
      <c r="H76" s="14"/>
      <c r="I76" s="14"/>
    </row>
    <row r="77" spans="3:9">
      <c r="C77" s="14"/>
      <c r="D77" s="14"/>
      <c r="E77" s="14"/>
      <c r="F77" s="14"/>
      <c r="G77" s="14"/>
      <c r="H77" s="14"/>
      <c r="I77" s="14"/>
    </row>
    <row r="78" spans="3:9">
      <c r="C78" s="14"/>
      <c r="D78" s="14"/>
      <c r="E78" s="14"/>
      <c r="F78" s="14"/>
      <c r="G78" s="14"/>
      <c r="H78" s="14"/>
      <c r="I78" s="14"/>
    </row>
    <row r="79" spans="3:9">
      <c r="C79" s="14"/>
      <c r="D79" s="14"/>
      <c r="E79" s="14"/>
      <c r="F79" s="14"/>
      <c r="G79" s="14"/>
      <c r="H79" s="14"/>
      <c r="I79" s="14"/>
    </row>
    <row r="80" spans="3:9">
      <c r="C80" s="14"/>
      <c r="D80" s="14"/>
      <c r="E80" s="14"/>
      <c r="F80" s="14"/>
      <c r="G80" s="14"/>
      <c r="H80" s="14"/>
      <c r="I80" s="14"/>
    </row>
    <row r="81" spans="3:9">
      <c r="C81" s="14"/>
      <c r="D81" s="14"/>
      <c r="E81" s="14"/>
      <c r="F81" s="14"/>
      <c r="G81" s="14"/>
      <c r="H81" s="14"/>
      <c r="I81" s="14"/>
    </row>
    <row r="82" spans="3:9">
      <c r="C82" s="14"/>
      <c r="D82" s="14"/>
      <c r="E82" s="14"/>
      <c r="F82" s="14"/>
      <c r="G82" s="14"/>
      <c r="H82" s="14"/>
      <c r="I82" s="14"/>
    </row>
    <row r="83" spans="3:9">
      <c r="C83" s="14"/>
      <c r="D83" s="14"/>
      <c r="E83" s="14"/>
      <c r="F83" s="14"/>
      <c r="G83" s="14"/>
      <c r="H83" s="14"/>
      <c r="I83" s="14"/>
    </row>
    <row r="84" spans="3:9">
      <c r="C84" s="14"/>
      <c r="D84" s="14"/>
      <c r="E84" s="14"/>
      <c r="F84" s="14"/>
      <c r="G84" s="14"/>
      <c r="H84" s="14"/>
      <c r="I84" s="14"/>
    </row>
    <row r="85" spans="3:9">
      <c r="C85" s="14"/>
      <c r="D85" s="14"/>
      <c r="E85" s="14"/>
      <c r="F85" s="14"/>
      <c r="G85" s="14"/>
      <c r="H85" s="14"/>
      <c r="I85" s="14"/>
    </row>
    <row r="86" spans="3:9">
      <c r="C86" s="14"/>
      <c r="D86" s="14"/>
      <c r="E86" s="14"/>
      <c r="F86" s="14"/>
      <c r="G86" s="14"/>
      <c r="H86" s="14"/>
      <c r="I86" s="14"/>
    </row>
  </sheetData>
  <pageMargins left="0.7" right="0.7" top="0.75" bottom="0.75" header="0.3" footer="0.3"/>
  <pageSetup paperSize="9" scale="96" orientation="portrait" r:id="rId1"/>
  <colBreaks count="1" manualBreakCount="1">
    <brk id="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33"/>
  <sheetViews>
    <sheetView workbookViewId="0"/>
  </sheetViews>
  <sheetFormatPr defaultColWidth="10.7109375" defaultRowHeight="12.75"/>
  <cols>
    <col min="1" max="1" width="24" style="10" customWidth="1"/>
    <col min="2" max="2" width="13" style="10" customWidth="1"/>
    <col min="3" max="3" width="11.42578125" style="10" customWidth="1"/>
    <col min="4" max="4" width="13" style="10" customWidth="1"/>
    <col min="5" max="6" width="11.42578125" style="10" customWidth="1"/>
    <col min="7" max="7" width="13" style="10" customWidth="1"/>
    <col min="8" max="8" width="11.42578125" style="10" customWidth="1"/>
    <col min="9" max="10" width="13" style="10" customWidth="1"/>
    <col min="11" max="11" width="7.85546875" style="10" customWidth="1"/>
    <col min="12" max="12" width="15.28515625" style="10" customWidth="1"/>
    <col min="13" max="13" width="10.7109375" style="109" customWidth="1"/>
    <col min="14" max="16384" width="10.7109375" style="109"/>
  </cols>
  <sheetData>
    <row r="3" spans="1:12" s="107" customFormat="1" ht="25.5" customHeight="1">
      <c r="A3" s="111" t="s">
        <v>69</v>
      </c>
      <c r="B3" s="111" t="s">
        <v>70</v>
      </c>
      <c r="C3" s="111" t="s">
        <v>71</v>
      </c>
      <c r="D3" s="111"/>
      <c r="E3" s="111"/>
      <c r="F3" s="111" t="s">
        <v>72</v>
      </c>
      <c r="G3" s="111"/>
      <c r="H3" s="111"/>
      <c r="I3" s="111" t="s">
        <v>73</v>
      </c>
      <c r="J3" s="111" t="s">
        <v>74</v>
      </c>
      <c r="K3" s="111" t="s">
        <v>2</v>
      </c>
      <c r="L3" s="111" t="s">
        <v>3</v>
      </c>
    </row>
    <row r="4" spans="1:12" s="107" customFormat="1" ht="25.5" customHeight="1">
      <c r="A4" s="111"/>
      <c r="B4" s="111"/>
      <c r="C4" s="111" t="s">
        <v>75</v>
      </c>
      <c r="D4" s="111" t="s">
        <v>76</v>
      </c>
      <c r="E4" s="111" t="s">
        <v>77</v>
      </c>
      <c r="F4" s="111" t="s">
        <v>62</v>
      </c>
      <c r="G4" s="111" t="s">
        <v>78</v>
      </c>
      <c r="H4" s="111" t="s">
        <v>79</v>
      </c>
      <c r="I4" s="111"/>
      <c r="J4" s="111"/>
      <c r="K4" s="111"/>
      <c r="L4" s="111"/>
    </row>
    <row r="5" spans="1:12" s="108" customFormat="1">
      <c r="A5" s="106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22"/>
    </row>
    <row r="6" spans="1:12">
      <c r="A6" s="113" t="s">
        <v>80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</row>
    <row r="7" spans="1:12">
      <c r="A7" s="115" t="s">
        <v>81</v>
      </c>
      <c r="B7" s="116">
        <f>'ERP STOCK'!B7</f>
        <v>36409.129999999997</v>
      </c>
      <c r="C7" s="116">
        <f>'ERP STOCK'!C7</f>
        <v>11390</v>
      </c>
      <c r="D7" s="116">
        <f>'ERP STOCK'!D7</f>
        <v>173100</v>
      </c>
      <c r="E7" s="116">
        <f>'ERP STOCK'!E7</f>
        <v>28116.2</v>
      </c>
      <c r="F7" s="116">
        <f>'ERP STOCK'!F7</f>
        <v>49171.199999999997</v>
      </c>
      <c r="G7" s="116">
        <f>'ERP STOCK'!G7</f>
        <v>174000</v>
      </c>
      <c r="H7" s="116">
        <f>'ERP STOCK'!H7</f>
        <v>0</v>
      </c>
      <c r="I7" s="116">
        <f>'ERP STOCK'!I7</f>
        <v>25844.13</v>
      </c>
      <c r="J7" s="116">
        <f>'ERP STOCK'!J7</f>
        <v>40500</v>
      </c>
      <c r="K7" s="116">
        <f>'ERP STOCK'!K7</f>
        <v>50</v>
      </c>
      <c r="L7" s="116">
        <f>'ERP STOCK'!L7</f>
        <v>1292206.5</v>
      </c>
    </row>
    <row r="8" spans="1:12">
      <c r="A8" s="115"/>
      <c r="B8" s="116" t="e">
        <f>#REF!</f>
        <v>#REF!</v>
      </c>
      <c r="C8" s="116" t="e">
        <f>#REF!</f>
        <v>#REF!</v>
      </c>
      <c r="D8" s="116" t="e">
        <f>#REF!</f>
        <v>#REF!</v>
      </c>
      <c r="E8" s="116" t="e">
        <f>#REF!</f>
        <v>#REF!</v>
      </c>
      <c r="F8" s="116" t="e">
        <f>#REF!</f>
        <v>#REF!</v>
      </c>
      <c r="G8" s="116" t="e">
        <f>#REF!</f>
        <v>#REF!</v>
      </c>
      <c r="H8" s="116" t="e">
        <f>#REF!</f>
        <v>#REF!</v>
      </c>
      <c r="I8" s="116" t="e">
        <f>#REF!</f>
        <v>#REF!</v>
      </c>
      <c r="J8" s="116"/>
      <c r="K8" s="116"/>
      <c r="L8" s="116"/>
    </row>
    <row r="9" spans="1:12">
      <c r="A9" s="117"/>
      <c r="B9" s="118" t="e">
        <f t="shared" ref="B9:I9" si="0">+B7-B8</f>
        <v>#REF!</v>
      </c>
      <c r="C9" s="118" t="e">
        <f t="shared" si="0"/>
        <v>#REF!</v>
      </c>
      <c r="D9" s="118" t="e">
        <f t="shared" si="0"/>
        <v>#REF!</v>
      </c>
      <c r="E9" s="118" t="e">
        <f t="shared" si="0"/>
        <v>#REF!</v>
      </c>
      <c r="F9" s="118" t="e">
        <f t="shared" si="0"/>
        <v>#REF!</v>
      </c>
      <c r="G9" s="118" t="e">
        <f t="shared" si="0"/>
        <v>#REF!</v>
      </c>
      <c r="H9" s="118" t="e">
        <f t="shared" si="0"/>
        <v>#REF!</v>
      </c>
      <c r="I9" s="118" t="e">
        <f t="shared" si="0"/>
        <v>#REF!</v>
      </c>
      <c r="J9" s="118"/>
      <c r="K9" s="118"/>
      <c r="L9" s="118"/>
    </row>
    <row r="10" spans="1:12">
      <c r="A10" s="115" t="s">
        <v>82</v>
      </c>
      <c r="B10" s="116">
        <f>'ERP STOCK'!B8</f>
        <v>182370.97899999999</v>
      </c>
      <c r="C10" s="116">
        <f>'ERP STOCK'!C8</f>
        <v>5495.1</v>
      </c>
      <c r="D10" s="116">
        <f>'ERP STOCK'!D8</f>
        <v>690008.29</v>
      </c>
      <c r="E10" s="116">
        <f>'ERP STOCK'!E8</f>
        <v>8597.2999999999993</v>
      </c>
      <c r="F10" s="116">
        <f>'ERP STOCK'!F8</f>
        <v>10.6</v>
      </c>
      <c r="G10" s="116">
        <f>'ERP STOCK'!G8</f>
        <v>705935.42</v>
      </c>
      <c r="H10" s="116">
        <f>'ERP STOCK'!H8</f>
        <v>0</v>
      </c>
      <c r="I10" s="116">
        <f>'ERP STOCK'!I8</f>
        <v>180525.649</v>
      </c>
      <c r="J10" s="116">
        <f>'ERP STOCK'!J8</f>
        <v>89833.87</v>
      </c>
      <c r="K10" s="116">
        <f>'ERP STOCK'!K8</f>
        <v>9</v>
      </c>
      <c r="L10" s="116">
        <f>'ERP STOCK'!L8</f>
        <v>1624730.84</v>
      </c>
    </row>
    <row r="11" spans="1:12">
      <c r="A11" s="115"/>
      <c r="B11" s="116" t="e">
        <f>#REF!</f>
        <v>#REF!</v>
      </c>
      <c r="C11" s="116" t="e">
        <f>#REF!</f>
        <v>#REF!</v>
      </c>
      <c r="D11" s="116" t="e">
        <f>#REF!</f>
        <v>#REF!</v>
      </c>
      <c r="E11" s="116" t="e">
        <f>#REF!</f>
        <v>#REF!</v>
      </c>
      <c r="F11" s="116" t="e">
        <f>#REF!</f>
        <v>#REF!</v>
      </c>
      <c r="G11" s="116" t="e">
        <f>#REF!</f>
        <v>#REF!</v>
      </c>
      <c r="H11" s="116" t="e">
        <f>#REF!</f>
        <v>#REF!</v>
      </c>
      <c r="I11" s="116" t="e">
        <f>#REF!</f>
        <v>#REF!</v>
      </c>
      <c r="J11" s="116"/>
      <c r="K11" s="116"/>
      <c r="L11" s="116"/>
    </row>
    <row r="12" spans="1:12">
      <c r="A12" s="117"/>
      <c r="B12" s="118" t="e">
        <f t="shared" ref="B12:I12" si="1">+B10-B11</f>
        <v>#REF!</v>
      </c>
      <c r="C12" s="118" t="e">
        <f t="shared" si="1"/>
        <v>#REF!</v>
      </c>
      <c r="D12" s="118" t="e">
        <f t="shared" si="1"/>
        <v>#REF!</v>
      </c>
      <c r="E12" s="120" t="e">
        <f t="shared" si="1"/>
        <v>#REF!</v>
      </c>
      <c r="F12" s="118" t="e">
        <f t="shared" si="1"/>
        <v>#REF!</v>
      </c>
      <c r="G12" s="119" t="e">
        <f t="shared" si="1"/>
        <v>#REF!</v>
      </c>
      <c r="H12" s="118" t="e">
        <f t="shared" si="1"/>
        <v>#REF!</v>
      </c>
      <c r="I12" s="118" t="e">
        <f t="shared" si="1"/>
        <v>#REF!</v>
      </c>
      <c r="J12" s="118"/>
      <c r="K12" s="118"/>
      <c r="L12" s="118"/>
    </row>
    <row r="13" spans="1:12">
      <c r="A13" s="115" t="s">
        <v>83</v>
      </c>
      <c r="B13" s="116">
        <f>'ERP STOCK'!B9</f>
        <v>5623632.3839999996</v>
      </c>
      <c r="C13" s="116">
        <f>'ERP STOCK'!C9</f>
        <v>73519</v>
      </c>
      <c r="D13" s="116">
        <f>'ERP STOCK'!D9</f>
        <v>578465</v>
      </c>
      <c r="E13" s="116">
        <f>'ERP STOCK'!E9</f>
        <v>176380.3</v>
      </c>
      <c r="F13" s="116">
        <f>'ERP STOCK'!F9</f>
        <v>213703.5</v>
      </c>
      <c r="G13" s="116">
        <f>'ERP STOCK'!G9</f>
        <v>428251.45</v>
      </c>
      <c r="H13" s="116">
        <f>'ERP STOCK'!H9</f>
        <v>128775.9</v>
      </c>
      <c r="I13" s="116">
        <f>'ERP STOCK'!I9</f>
        <v>5681265.8339999998</v>
      </c>
      <c r="J13" s="116">
        <f>'ERP STOCK'!J9</f>
        <v>519703.9</v>
      </c>
      <c r="K13" s="116">
        <f>'ERP STOCK'!K9</f>
        <v>16</v>
      </c>
      <c r="L13" s="116">
        <f>'ERP STOCK'!L9</f>
        <v>90900253.349999994</v>
      </c>
    </row>
    <row r="14" spans="1:12">
      <c r="A14" s="115"/>
      <c r="B14" s="116" t="e">
        <f>#REF!</f>
        <v>#REF!</v>
      </c>
      <c r="C14" s="116" t="e">
        <f>#REF!</f>
        <v>#REF!</v>
      </c>
      <c r="D14" s="116" t="e">
        <f>#REF!</f>
        <v>#REF!</v>
      </c>
      <c r="E14" s="116" t="e">
        <f>#REF!</f>
        <v>#REF!</v>
      </c>
      <c r="F14" s="116" t="e">
        <f>#REF!</f>
        <v>#REF!</v>
      </c>
      <c r="G14" s="116" t="e">
        <f>#REF!</f>
        <v>#REF!</v>
      </c>
      <c r="H14" s="116" t="e">
        <f>#REF!</f>
        <v>#REF!</v>
      </c>
      <c r="I14" s="116" t="e">
        <f>#REF!</f>
        <v>#REF!</v>
      </c>
      <c r="J14" s="116"/>
      <c r="K14" s="116"/>
      <c r="L14" s="116"/>
    </row>
    <row r="15" spans="1:12">
      <c r="A15" s="117"/>
      <c r="B15" s="118" t="e">
        <f t="shared" ref="B15:I15" si="2">+B13-B14</f>
        <v>#REF!</v>
      </c>
      <c r="C15" s="118" t="e">
        <f t="shared" si="2"/>
        <v>#REF!</v>
      </c>
      <c r="D15" s="118" t="e">
        <f t="shared" si="2"/>
        <v>#REF!</v>
      </c>
      <c r="E15" s="118" t="e">
        <f t="shared" si="2"/>
        <v>#REF!</v>
      </c>
      <c r="F15" s="118" t="e">
        <f t="shared" si="2"/>
        <v>#REF!</v>
      </c>
      <c r="G15" s="119" t="e">
        <f t="shared" si="2"/>
        <v>#REF!</v>
      </c>
      <c r="H15" s="118" t="e">
        <f t="shared" si="2"/>
        <v>#REF!</v>
      </c>
      <c r="I15" s="118" t="e">
        <f t="shared" si="2"/>
        <v>#REF!</v>
      </c>
      <c r="J15" s="118"/>
      <c r="K15" s="118"/>
      <c r="L15" s="118"/>
    </row>
    <row r="16" spans="1:12">
      <c r="A16" s="115" t="s">
        <v>84</v>
      </c>
      <c r="B16" s="116">
        <f>'ERP STOCK'!B10</f>
        <v>771450.44</v>
      </c>
      <c r="C16" s="116">
        <f>'ERP STOCK'!C10</f>
        <v>3003.4</v>
      </c>
      <c r="D16" s="116">
        <f>'ERP STOCK'!D10</f>
        <v>275216.2</v>
      </c>
      <c r="E16" s="116">
        <f>'ERP STOCK'!E10</f>
        <v>68732.7</v>
      </c>
      <c r="F16" s="116">
        <f>'ERP STOCK'!F10</f>
        <v>115312.1</v>
      </c>
      <c r="G16" s="116">
        <f>'ERP STOCK'!G10</f>
        <v>245377.7</v>
      </c>
      <c r="H16" s="116">
        <f>'ERP STOCK'!H10</f>
        <v>14916.3</v>
      </c>
      <c r="I16" s="116">
        <f>'ERP STOCK'!I10</f>
        <v>742796.64</v>
      </c>
      <c r="J16" s="116">
        <f>'ERP STOCK'!J10</f>
        <v>274076.48</v>
      </c>
      <c r="K16" s="116">
        <f>'ERP STOCK'!K10</f>
        <v>21</v>
      </c>
      <c r="L16" s="116">
        <f>'ERP STOCK'!L10</f>
        <v>15598729.439999999</v>
      </c>
    </row>
    <row r="17" spans="1:12">
      <c r="A17" s="115"/>
      <c r="B17" s="116" t="e">
        <f>#REF!</f>
        <v>#REF!</v>
      </c>
      <c r="C17" s="116" t="e">
        <f>#REF!</f>
        <v>#REF!</v>
      </c>
      <c r="D17" s="116" t="e">
        <f>#REF!</f>
        <v>#REF!</v>
      </c>
      <c r="E17" s="116" t="e">
        <f>#REF!</f>
        <v>#REF!</v>
      </c>
      <c r="F17" s="116" t="e">
        <f>#REF!</f>
        <v>#REF!</v>
      </c>
      <c r="G17" s="116" t="e">
        <f>#REF!</f>
        <v>#REF!</v>
      </c>
      <c r="H17" s="116" t="e">
        <f>#REF!</f>
        <v>#REF!</v>
      </c>
      <c r="I17" s="116" t="e">
        <f>#REF!</f>
        <v>#REF!</v>
      </c>
      <c r="J17" s="116"/>
      <c r="K17" s="116"/>
      <c r="L17" s="116"/>
    </row>
    <row r="18" spans="1:12">
      <c r="A18" s="117"/>
      <c r="B18" s="118" t="e">
        <f t="shared" ref="B18:I18" si="3">+B16-B17</f>
        <v>#REF!</v>
      </c>
      <c r="C18" s="118" t="e">
        <f t="shared" si="3"/>
        <v>#REF!</v>
      </c>
      <c r="D18" s="119" t="e">
        <f t="shared" si="3"/>
        <v>#REF!</v>
      </c>
      <c r="E18" s="118" t="e">
        <f t="shared" si="3"/>
        <v>#REF!</v>
      </c>
      <c r="F18" s="118" t="e">
        <f t="shared" si="3"/>
        <v>#REF!</v>
      </c>
      <c r="G18" s="119" t="e">
        <f t="shared" si="3"/>
        <v>#REF!</v>
      </c>
      <c r="H18" s="118" t="e">
        <f t="shared" si="3"/>
        <v>#REF!</v>
      </c>
      <c r="I18" s="118" t="e">
        <f t="shared" si="3"/>
        <v>#REF!</v>
      </c>
      <c r="J18" s="118"/>
      <c r="K18" s="118"/>
      <c r="L18" s="118"/>
    </row>
    <row r="19" spans="1:12">
      <c r="A19" s="115" t="s">
        <v>85</v>
      </c>
      <c r="B19" s="116">
        <f>'ERP STOCK'!B11</f>
        <v>682335.87</v>
      </c>
      <c r="C19" s="116">
        <f>'ERP STOCK'!C11</f>
        <v>2804.7</v>
      </c>
      <c r="D19" s="116">
        <f>'ERP STOCK'!D11</f>
        <v>114635.1</v>
      </c>
      <c r="E19" s="116">
        <f>'ERP STOCK'!E11</f>
        <v>4950.5</v>
      </c>
      <c r="F19" s="116">
        <f>'ERP STOCK'!F11</f>
        <v>27043.200000000001</v>
      </c>
      <c r="G19" s="116">
        <f>'ERP STOCK'!G11</f>
        <v>88553.3</v>
      </c>
      <c r="H19" s="116">
        <f>'ERP STOCK'!H11</f>
        <v>3777.4</v>
      </c>
      <c r="I19" s="116">
        <f>'ERP STOCK'!I11</f>
        <v>685352.27</v>
      </c>
      <c r="J19" s="116">
        <f>'ERP STOCK'!J11</f>
        <v>146015.04000000001</v>
      </c>
      <c r="K19" s="116">
        <f>'ERP STOCK'!K11</f>
        <v>16</v>
      </c>
      <c r="L19" s="116">
        <f>'ERP STOCK'!L11</f>
        <v>10965636.32</v>
      </c>
    </row>
    <row r="20" spans="1:12">
      <c r="A20" s="115"/>
      <c r="B20" s="116" t="e">
        <f>#REF!</f>
        <v>#REF!</v>
      </c>
      <c r="C20" s="116" t="e">
        <f>#REF!</f>
        <v>#REF!</v>
      </c>
      <c r="D20" s="116" t="e">
        <f>#REF!</f>
        <v>#REF!</v>
      </c>
      <c r="E20" s="116" t="e">
        <f>#REF!</f>
        <v>#REF!</v>
      </c>
      <c r="F20" s="116" t="e">
        <f>#REF!</f>
        <v>#REF!</v>
      </c>
      <c r="G20" s="116" t="e">
        <f>#REF!</f>
        <v>#REF!</v>
      </c>
      <c r="H20" s="116" t="e">
        <f>#REF!</f>
        <v>#REF!</v>
      </c>
      <c r="I20" s="116" t="e">
        <f>#REF!</f>
        <v>#REF!</v>
      </c>
      <c r="J20" s="116"/>
      <c r="K20" s="116"/>
      <c r="L20" s="116"/>
    </row>
    <row r="21" spans="1:12">
      <c r="A21" s="117"/>
      <c r="B21" s="118" t="e">
        <f t="shared" ref="B21:I21" si="4">+B19-B20</f>
        <v>#REF!</v>
      </c>
      <c r="C21" s="118" t="e">
        <f t="shared" si="4"/>
        <v>#REF!</v>
      </c>
      <c r="D21" s="118" t="e">
        <f t="shared" si="4"/>
        <v>#REF!</v>
      </c>
      <c r="E21" s="118" t="e">
        <f t="shared" si="4"/>
        <v>#REF!</v>
      </c>
      <c r="F21" s="118" t="e">
        <f t="shared" si="4"/>
        <v>#REF!</v>
      </c>
      <c r="G21" s="118" t="e">
        <f t="shared" si="4"/>
        <v>#REF!</v>
      </c>
      <c r="H21" s="118" t="e">
        <f t="shared" si="4"/>
        <v>#REF!</v>
      </c>
      <c r="I21" s="118" t="e">
        <f t="shared" si="4"/>
        <v>#REF!</v>
      </c>
      <c r="J21" s="118"/>
      <c r="K21" s="118"/>
      <c r="L21" s="118"/>
    </row>
    <row r="22" spans="1:12">
      <c r="A22" s="115" t="s">
        <v>86</v>
      </c>
      <c r="B22" s="116">
        <f>'ERP STOCK'!B12</f>
        <v>-151002.69</v>
      </c>
      <c r="C22" s="116">
        <f>'ERP STOCK'!C12</f>
        <v>0</v>
      </c>
      <c r="D22" s="116">
        <f>'ERP STOCK'!D12</f>
        <v>42534</v>
      </c>
      <c r="E22" s="116">
        <f>'ERP STOCK'!E12</f>
        <v>0</v>
      </c>
      <c r="F22" s="116">
        <f>'ERP STOCK'!F12</f>
        <v>0</v>
      </c>
      <c r="G22" s="116">
        <f>'ERP STOCK'!G12</f>
        <v>179189</v>
      </c>
      <c r="H22" s="116">
        <f>'ERP STOCK'!H12</f>
        <v>0</v>
      </c>
      <c r="I22" s="116">
        <f>'ERP STOCK'!I12</f>
        <v>-287657.69</v>
      </c>
      <c r="J22" s="116">
        <f>'ERP STOCK'!J12</f>
        <v>0</v>
      </c>
      <c r="K22" s="116">
        <f>'ERP STOCK'!K12</f>
        <v>15</v>
      </c>
      <c r="L22" s="116">
        <f>'ERP STOCK'!L12</f>
        <v>-4314865.3499999996</v>
      </c>
    </row>
    <row r="23" spans="1:12">
      <c r="A23" s="115" t="s">
        <v>87</v>
      </c>
      <c r="B23" s="116">
        <f>'ERP STOCK'!B19</f>
        <v>-21868</v>
      </c>
      <c r="C23" s="116">
        <f>'ERP STOCK'!C19</f>
        <v>0</v>
      </c>
      <c r="D23" s="116">
        <f>'ERP STOCK'!D19</f>
        <v>0</v>
      </c>
      <c r="E23" s="116">
        <f>'ERP STOCK'!E19</f>
        <v>0</v>
      </c>
      <c r="F23" s="116">
        <f>'ERP STOCK'!F19</f>
        <v>3978</v>
      </c>
      <c r="G23" s="116">
        <f>'ERP STOCK'!G19</f>
        <v>0</v>
      </c>
      <c r="H23" s="116">
        <f>'ERP STOCK'!H19</f>
        <v>0</v>
      </c>
      <c r="I23" s="116">
        <f>'ERP STOCK'!I19</f>
        <v>-25846</v>
      </c>
      <c r="J23" s="116">
        <f>'ERP STOCK'!J19</f>
        <v>0</v>
      </c>
      <c r="K23" s="116">
        <f>'ERP STOCK'!K19</f>
        <v>15</v>
      </c>
      <c r="L23" s="116">
        <f>'ERP STOCK'!L19</f>
        <v>-387690</v>
      </c>
    </row>
    <row r="24" spans="1:12">
      <c r="A24" s="115" t="s">
        <v>88</v>
      </c>
      <c r="B24" s="116">
        <f>'ERP STOCK'!B13</f>
        <v>-38316.75</v>
      </c>
      <c r="C24" s="116">
        <f>'ERP STOCK'!C13</f>
        <v>38647.85</v>
      </c>
      <c r="D24" s="116">
        <f>'ERP STOCK'!D13</f>
        <v>71320.42</v>
      </c>
      <c r="E24" s="116">
        <f>'ERP STOCK'!E13</f>
        <v>64792.2</v>
      </c>
      <c r="F24" s="116">
        <f>'ERP STOCK'!F13</f>
        <v>18635</v>
      </c>
      <c r="G24" s="116">
        <f>'ERP STOCK'!G13</f>
        <v>179189</v>
      </c>
      <c r="H24" s="116">
        <f>'ERP STOCK'!H13</f>
        <v>0</v>
      </c>
      <c r="I24" s="116">
        <f>'ERP STOCK'!I13</f>
        <v>-61380.28</v>
      </c>
      <c r="J24" s="116">
        <f>'ERP STOCK'!J13</f>
        <v>132065</v>
      </c>
      <c r="K24" s="116">
        <f>'ERP STOCK'!K13</f>
        <v>15</v>
      </c>
      <c r="L24" s="116">
        <f>'ERP STOCK'!L13</f>
        <v>-920704.2</v>
      </c>
    </row>
    <row r="25" spans="1:12">
      <c r="A25" s="115"/>
      <c r="B25" s="116" t="e">
        <f>#REF!</f>
        <v>#REF!</v>
      </c>
      <c r="C25" s="116" t="e">
        <f>#REF!</f>
        <v>#REF!</v>
      </c>
      <c r="D25" s="116" t="e">
        <f>#REF!</f>
        <v>#REF!</v>
      </c>
      <c r="E25" s="116" t="e">
        <f>#REF!</f>
        <v>#REF!</v>
      </c>
      <c r="F25" s="116" t="e">
        <f>#REF!</f>
        <v>#REF!</v>
      </c>
      <c r="G25" s="116" t="e">
        <f>#REF!</f>
        <v>#REF!</v>
      </c>
      <c r="H25" s="116" t="e">
        <f>#REF!</f>
        <v>#REF!</v>
      </c>
      <c r="I25" s="116" t="e">
        <f>#REF!</f>
        <v>#REF!</v>
      </c>
      <c r="J25" s="116"/>
      <c r="K25" s="116"/>
      <c r="L25" s="116"/>
    </row>
    <row r="26" spans="1:12">
      <c r="A26" s="117"/>
      <c r="B26" s="118" t="e">
        <f t="shared" ref="B26:I26" si="5">+B22+B23+B24-B25</f>
        <v>#REF!</v>
      </c>
      <c r="C26" s="118" t="e">
        <f t="shared" si="5"/>
        <v>#REF!</v>
      </c>
      <c r="D26" s="119" t="e">
        <f t="shared" si="5"/>
        <v>#REF!</v>
      </c>
      <c r="E26" s="118" t="e">
        <f t="shared" si="5"/>
        <v>#REF!</v>
      </c>
      <c r="F26" s="119" t="e">
        <f t="shared" si="5"/>
        <v>#REF!</v>
      </c>
      <c r="G26" s="119" t="e">
        <f t="shared" si="5"/>
        <v>#REF!</v>
      </c>
      <c r="H26" s="118" t="e">
        <f t="shared" si="5"/>
        <v>#REF!</v>
      </c>
      <c r="I26" s="118" t="e">
        <f t="shared" si="5"/>
        <v>#REF!</v>
      </c>
      <c r="J26" s="118"/>
      <c r="K26" s="118"/>
      <c r="L26" s="118"/>
    </row>
    <row r="27" spans="1:12">
      <c r="A27" s="115" t="s">
        <v>89</v>
      </c>
      <c r="B27" s="116">
        <f>'ERP STOCK'!B14</f>
        <v>44360.71</v>
      </c>
      <c r="C27" s="116">
        <f>'ERP STOCK'!C14</f>
        <v>35352.199999999997</v>
      </c>
      <c r="D27" s="116">
        <f>'ERP STOCK'!D14</f>
        <v>0</v>
      </c>
      <c r="E27" s="116">
        <f>'ERP STOCK'!E14</f>
        <v>2433.2399999999998</v>
      </c>
      <c r="F27" s="116">
        <f>'ERP STOCK'!F14</f>
        <v>176.4</v>
      </c>
      <c r="G27" s="116">
        <f>'ERP STOCK'!G14</f>
        <v>33533.300000000003</v>
      </c>
      <c r="H27" s="116">
        <f>'ERP STOCK'!H14</f>
        <v>6496.6</v>
      </c>
      <c r="I27" s="116">
        <f>'ERP STOCK'!I14</f>
        <v>41939.85</v>
      </c>
      <c r="J27" s="116">
        <f>'ERP STOCK'!J14</f>
        <v>155020.37</v>
      </c>
      <c r="K27" s="116">
        <f>'ERP STOCK'!K14</f>
        <v>125.32</v>
      </c>
      <c r="L27" s="116">
        <f>'ERP STOCK'!L14</f>
        <v>5255956.59</v>
      </c>
    </row>
    <row r="28" spans="1:12">
      <c r="A28" s="115" t="s">
        <v>90</v>
      </c>
      <c r="B28" s="116">
        <f>'ERP STOCK'!B15</f>
        <v>-12123.14</v>
      </c>
      <c r="C28" s="116">
        <f>'ERP STOCK'!C15</f>
        <v>0</v>
      </c>
      <c r="D28" s="116">
        <f>'ERP STOCK'!D15</f>
        <v>0</v>
      </c>
      <c r="E28" s="116">
        <f>'ERP STOCK'!E15</f>
        <v>0</v>
      </c>
      <c r="F28" s="116">
        <f>'ERP STOCK'!F15</f>
        <v>2013.74</v>
      </c>
      <c r="G28" s="116">
        <f>'ERP STOCK'!G15</f>
        <v>0</v>
      </c>
      <c r="H28" s="116">
        <f>'ERP STOCK'!H15</f>
        <v>0</v>
      </c>
      <c r="I28" s="116">
        <f>'ERP STOCK'!I15</f>
        <v>-14136.88</v>
      </c>
      <c r="J28" s="116">
        <f>'ERP STOCK'!J15</f>
        <v>13651.03</v>
      </c>
      <c r="K28" s="116">
        <f>'ERP STOCK'!K15</f>
        <v>111.34</v>
      </c>
      <c r="L28" s="116">
        <f>'ERP STOCK'!L15</f>
        <v>-1574046.11</v>
      </c>
    </row>
    <row r="29" spans="1:12">
      <c r="A29" s="115" t="s">
        <v>91</v>
      </c>
      <c r="B29" s="116">
        <f>'ERP STOCK'!B18</f>
        <v>-10553.18</v>
      </c>
      <c r="C29" s="116">
        <f>'ERP STOCK'!C18</f>
        <v>5834.3</v>
      </c>
      <c r="D29" s="116">
        <f>'ERP STOCK'!D18</f>
        <v>1723.26</v>
      </c>
      <c r="E29" s="116">
        <f>'ERP STOCK'!E18</f>
        <v>2164.8000000000002</v>
      </c>
      <c r="F29" s="116">
        <f>'ERP STOCK'!F18</f>
        <v>0</v>
      </c>
      <c r="G29" s="116">
        <f>'ERP STOCK'!G18</f>
        <v>14882</v>
      </c>
      <c r="H29" s="116">
        <f>'ERP STOCK'!H18</f>
        <v>0</v>
      </c>
      <c r="I29" s="116">
        <f>'ERP STOCK'!I18</f>
        <v>-15712.82</v>
      </c>
      <c r="J29" s="116">
        <f>'ERP STOCK'!J18</f>
        <v>21942.25</v>
      </c>
      <c r="K29" s="116">
        <f>'ERP STOCK'!K18</f>
        <v>104.19</v>
      </c>
      <c r="L29" s="116">
        <f>'ERP STOCK'!L18</f>
        <v>-1637171.09</v>
      </c>
    </row>
    <row r="30" spans="1:12">
      <c r="A30" s="115" t="s">
        <v>92</v>
      </c>
      <c r="B30" s="116">
        <f>'ERP STOCK'!B22</f>
        <v>17502.87</v>
      </c>
      <c r="C30" s="116">
        <f>'ERP STOCK'!C22</f>
        <v>8104.91</v>
      </c>
      <c r="D30" s="116">
        <f>'ERP STOCK'!D22</f>
        <v>1955.6</v>
      </c>
      <c r="E30" s="116">
        <f>'ERP STOCK'!E22</f>
        <v>0</v>
      </c>
      <c r="F30" s="116">
        <f>'ERP STOCK'!F22</f>
        <v>0</v>
      </c>
      <c r="G30" s="116">
        <f>'ERP STOCK'!G22</f>
        <v>9192</v>
      </c>
      <c r="H30" s="116">
        <f>'ERP STOCK'!H22</f>
        <v>0</v>
      </c>
      <c r="I30" s="116">
        <f>'ERP STOCK'!I22</f>
        <v>18371.38</v>
      </c>
      <c r="J30" s="116">
        <f>'ERP STOCK'!J22</f>
        <v>746.1</v>
      </c>
      <c r="K30" s="116">
        <f>'ERP STOCK'!K22</f>
        <v>12</v>
      </c>
      <c r="L30" s="116">
        <f>'ERP STOCK'!L22</f>
        <v>220456.56</v>
      </c>
    </row>
    <row r="31" spans="1:12">
      <c r="A31" s="115"/>
      <c r="B31" s="116" t="e">
        <f>#REF!</f>
        <v>#REF!</v>
      </c>
      <c r="C31" s="116" t="e">
        <f>#REF!</f>
        <v>#REF!</v>
      </c>
      <c r="D31" s="116" t="e">
        <f>#REF!</f>
        <v>#REF!</v>
      </c>
      <c r="E31" s="116" t="e">
        <f>#REF!</f>
        <v>#REF!</v>
      </c>
      <c r="F31" s="116" t="e">
        <f>#REF!</f>
        <v>#REF!</v>
      </c>
      <c r="G31" s="116" t="e">
        <f>#REF!</f>
        <v>#REF!</v>
      </c>
      <c r="H31" s="116" t="e">
        <f>#REF!</f>
        <v>#REF!</v>
      </c>
      <c r="I31" s="116" t="e">
        <f>#REF!</f>
        <v>#REF!</v>
      </c>
      <c r="J31" s="116"/>
      <c r="K31" s="116"/>
      <c r="L31" s="116"/>
    </row>
    <row r="32" spans="1:12">
      <c r="A32" s="117"/>
      <c r="B32" s="118" t="e">
        <f t="shared" ref="B32:I32" si="6">+B27+B28+B29+B30-B31</f>
        <v>#REF!</v>
      </c>
      <c r="C32" s="118" t="e">
        <f t="shared" si="6"/>
        <v>#REF!</v>
      </c>
      <c r="D32" s="119" t="e">
        <f t="shared" si="6"/>
        <v>#REF!</v>
      </c>
      <c r="E32" s="120" t="e">
        <f t="shared" si="6"/>
        <v>#REF!</v>
      </c>
      <c r="F32" s="118" t="e">
        <f t="shared" si="6"/>
        <v>#REF!</v>
      </c>
      <c r="G32" s="119" t="e">
        <f t="shared" si="6"/>
        <v>#REF!</v>
      </c>
      <c r="H32" s="118" t="e">
        <f t="shared" si="6"/>
        <v>#REF!</v>
      </c>
      <c r="I32" s="118" t="e">
        <f t="shared" si="6"/>
        <v>#REF!</v>
      </c>
      <c r="J32" s="118"/>
      <c r="K32" s="118"/>
      <c r="L32" s="118"/>
    </row>
    <row r="33" spans="1:12">
      <c r="A33" s="115" t="s">
        <v>93</v>
      </c>
      <c r="B33" s="116">
        <f>'ERP STOCK'!B16</f>
        <v>28833.32</v>
      </c>
      <c r="C33" s="116">
        <f>'ERP STOCK'!C16</f>
        <v>19858.599999999999</v>
      </c>
      <c r="D33" s="116">
        <f>'ERP STOCK'!D16</f>
        <v>0</v>
      </c>
      <c r="E33" s="116">
        <f>'ERP STOCK'!E16</f>
        <v>0</v>
      </c>
      <c r="F33" s="116">
        <f>'ERP STOCK'!F16</f>
        <v>0</v>
      </c>
      <c r="G33" s="116">
        <f>'ERP STOCK'!G16</f>
        <v>26234</v>
      </c>
      <c r="H33" s="116">
        <f>'ERP STOCK'!H16</f>
        <v>20708.599999999999</v>
      </c>
      <c r="I33" s="116">
        <f>'ERP STOCK'!I16</f>
        <v>1749.32</v>
      </c>
      <c r="J33" s="116">
        <f>'ERP STOCK'!J16</f>
        <v>172321.68</v>
      </c>
      <c r="K33" s="116">
        <f>'ERP STOCK'!K16</f>
        <v>129.53</v>
      </c>
      <c r="L33" s="116">
        <f>'ERP STOCK'!L16</f>
        <v>226584.16</v>
      </c>
    </row>
    <row r="34" spans="1:12">
      <c r="A34" s="115"/>
      <c r="B34" s="116" t="e">
        <f>#REF!</f>
        <v>#REF!</v>
      </c>
      <c r="C34" s="116" t="e">
        <f>#REF!</f>
        <v>#REF!</v>
      </c>
      <c r="D34" s="116" t="e">
        <f>#REF!</f>
        <v>#REF!</v>
      </c>
      <c r="E34" s="116" t="e">
        <f>#REF!</f>
        <v>#REF!</v>
      </c>
      <c r="F34" s="116" t="e">
        <f>#REF!</f>
        <v>#REF!</v>
      </c>
      <c r="G34" s="116" t="e">
        <f>#REF!</f>
        <v>#REF!</v>
      </c>
      <c r="H34" s="116" t="e">
        <f>#REF!</f>
        <v>#REF!</v>
      </c>
      <c r="I34" s="116" t="e">
        <f>#REF!</f>
        <v>#REF!</v>
      </c>
      <c r="J34" s="116"/>
      <c r="K34" s="116"/>
      <c r="L34" s="116"/>
    </row>
    <row r="35" spans="1:12">
      <c r="A35" s="117"/>
      <c r="B35" s="118" t="e">
        <f t="shared" ref="B35:I35" si="7">+B33-B34</f>
        <v>#REF!</v>
      </c>
      <c r="C35" s="118" t="e">
        <f t="shared" si="7"/>
        <v>#REF!</v>
      </c>
      <c r="D35" s="118" t="e">
        <f t="shared" si="7"/>
        <v>#REF!</v>
      </c>
      <c r="E35" s="119" t="e">
        <f t="shared" si="7"/>
        <v>#REF!</v>
      </c>
      <c r="F35" s="118" t="e">
        <f t="shared" si="7"/>
        <v>#REF!</v>
      </c>
      <c r="G35" s="118" t="e">
        <f t="shared" si="7"/>
        <v>#REF!</v>
      </c>
      <c r="H35" s="119" t="e">
        <f t="shared" si="7"/>
        <v>#REF!</v>
      </c>
      <c r="I35" s="118" t="e">
        <f t="shared" si="7"/>
        <v>#REF!</v>
      </c>
      <c r="J35" s="118"/>
      <c r="K35" s="118"/>
      <c r="L35" s="118"/>
    </row>
    <row r="36" spans="1:12">
      <c r="A36" s="115" t="s">
        <v>94</v>
      </c>
      <c r="B36" s="116">
        <f>'ERP STOCK'!B17</f>
        <v>26898.11</v>
      </c>
      <c r="C36" s="116">
        <f>'ERP STOCK'!C17</f>
        <v>1315.84</v>
      </c>
      <c r="D36" s="116">
        <f>'ERP STOCK'!D17</f>
        <v>0</v>
      </c>
      <c r="E36" s="116">
        <f>'ERP STOCK'!E17</f>
        <v>0</v>
      </c>
      <c r="F36" s="116">
        <f>'ERP STOCK'!F17</f>
        <v>0</v>
      </c>
      <c r="G36" s="116">
        <f>'ERP STOCK'!G17</f>
        <v>1307.8900000000001</v>
      </c>
      <c r="H36" s="116">
        <f>'ERP STOCK'!H17</f>
        <v>1111.0899999999999</v>
      </c>
      <c r="I36" s="116">
        <f>'ERP STOCK'!I17</f>
        <v>25794.97</v>
      </c>
      <c r="J36" s="116">
        <f>'ERP STOCK'!J17</f>
        <v>1999.09</v>
      </c>
      <c r="K36" s="116">
        <f>'ERP STOCK'!K17</f>
        <v>116.36</v>
      </c>
      <c r="L36" s="116">
        <f>'ERP STOCK'!L17</f>
        <v>3001532.11</v>
      </c>
    </row>
    <row r="37" spans="1:12">
      <c r="A37" s="115"/>
      <c r="B37" s="116" t="e">
        <f>#REF!</f>
        <v>#REF!</v>
      </c>
      <c r="C37" s="116" t="e">
        <f>#REF!</f>
        <v>#REF!</v>
      </c>
      <c r="D37" s="116" t="e">
        <f>#REF!</f>
        <v>#REF!</v>
      </c>
      <c r="E37" s="116" t="e">
        <f>#REF!</f>
        <v>#REF!</v>
      </c>
      <c r="F37" s="116" t="e">
        <f>#REF!</f>
        <v>#REF!</v>
      </c>
      <c r="G37" s="116" t="e">
        <f>#REF!</f>
        <v>#REF!</v>
      </c>
      <c r="H37" s="116" t="e">
        <f>#REF!</f>
        <v>#REF!</v>
      </c>
      <c r="I37" s="116" t="e">
        <f>#REF!</f>
        <v>#REF!</v>
      </c>
      <c r="J37" s="116"/>
      <c r="K37" s="116"/>
      <c r="L37" s="116"/>
    </row>
    <row r="38" spans="1:12">
      <c r="A38" s="117"/>
      <c r="B38" s="118" t="e">
        <f t="shared" ref="B38:I38" si="8">B36-B37</f>
        <v>#REF!</v>
      </c>
      <c r="C38" s="118" t="e">
        <f t="shared" si="8"/>
        <v>#REF!</v>
      </c>
      <c r="D38" s="118" t="e">
        <f t="shared" si="8"/>
        <v>#REF!</v>
      </c>
      <c r="E38" s="118" t="e">
        <f t="shared" si="8"/>
        <v>#REF!</v>
      </c>
      <c r="F38" s="118" t="e">
        <f t="shared" si="8"/>
        <v>#REF!</v>
      </c>
      <c r="G38" s="119" t="e">
        <f t="shared" si="8"/>
        <v>#REF!</v>
      </c>
      <c r="H38" s="118" t="e">
        <f t="shared" si="8"/>
        <v>#REF!</v>
      </c>
      <c r="I38" s="118" t="e">
        <f t="shared" si="8"/>
        <v>#REF!</v>
      </c>
      <c r="J38" s="118"/>
      <c r="K38" s="118"/>
      <c r="L38" s="118"/>
    </row>
    <row r="39" spans="1:12">
      <c r="A39" s="115" t="s">
        <v>22</v>
      </c>
      <c r="B39" s="116">
        <f>'ERP STOCK'!B20</f>
        <v>6045.1790000000001</v>
      </c>
      <c r="C39" s="116">
        <f>'ERP STOCK'!C20</f>
        <v>7573.9</v>
      </c>
      <c r="D39" s="116">
        <f>'ERP STOCK'!D20</f>
        <v>0</v>
      </c>
      <c r="E39" s="116">
        <f>'ERP STOCK'!E20</f>
        <v>50</v>
      </c>
      <c r="F39" s="116">
        <f>'ERP STOCK'!F20</f>
        <v>2800</v>
      </c>
      <c r="G39" s="116">
        <f>'ERP STOCK'!G20</f>
        <v>3934.9850000000001</v>
      </c>
      <c r="H39" s="116">
        <f>'ERP STOCK'!H20</f>
        <v>0</v>
      </c>
      <c r="I39" s="116">
        <f>'ERP STOCK'!I20</f>
        <v>6934.0940000000001</v>
      </c>
      <c r="J39" s="116">
        <f>'ERP STOCK'!J20</f>
        <v>0</v>
      </c>
      <c r="K39" s="116">
        <f>'ERP STOCK'!K20</f>
        <v>172.49</v>
      </c>
      <c r="L39" s="116">
        <f>'ERP STOCK'!L20</f>
        <v>1196057.97</v>
      </c>
    </row>
    <row r="40" spans="1:12">
      <c r="A40" s="115"/>
      <c r="B40" s="116" t="e">
        <f>#REF!</f>
        <v>#REF!</v>
      </c>
      <c r="C40" s="116" t="e">
        <f>#REF!</f>
        <v>#REF!</v>
      </c>
      <c r="D40" s="116" t="e">
        <f>#REF!</f>
        <v>#REF!</v>
      </c>
      <c r="E40" s="116" t="e">
        <f>#REF!</f>
        <v>#REF!</v>
      </c>
      <c r="F40" s="116" t="e">
        <f>#REF!</f>
        <v>#REF!</v>
      </c>
      <c r="G40" s="116" t="e">
        <f>#REF!</f>
        <v>#REF!</v>
      </c>
      <c r="H40" s="116" t="e">
        <f>#REF!</f>
        <v>#REF!</v>
      </c>
      <c r="I40" s="116" t="e">
        <f>#REF!</f>
        <v>#REF!</v>
      </c>
      <c r="J40" s="116"/>
      <c r="K40" s="116"/>
      <c r="L40" s="116"/>
    </row>
    <row r="41" spans="1:12">
      <c r="A41" s="117"/>
      <c r="B41" s="118" t="e">
        <f t="shared" ref="B41:I41" si="9">+B39-B40</f>
        <v>#REF!</v>
      </c>
      <c r="C41" s="119" t="e">
        <f t="shared" si="9"/>
        <v>#REF!</v>
      </c>
      <c r="D41" s="118" t="e">
        <f t="shared" si="9"/>
        <v>#REF!</v>
      </c>
      <c r="E41" s="118" t="e">
        <f t="shared" si="9"/>
        <v>#REF!</v>
      </c>
      <c r="F41" s="118" t="e">
        <f t="shared" si="9"/>
        <v>#REF!</v>
      </c>
      <c r="G41" s="119" t="e">
        <f t="shared" si="9"/>
        <v>#REF!</v>
      </c>
      <c r="H41" s="119" t="e">
        <f t="shared" si="9"/>
        <v>#REF!</v>
      </c>
      <c r="I41" s="118" t="e">
        <f t="shared" si="9"/>
        <v>#REF!</v>
      </c>
      <c r="J41" s="118"/>
      <c r="K41" s="118"/>
      <c r="L41" s="118"/>
    </row>
    <row r="42" spans="1:12">
      <c r="A42" s="115" t="s">
        <v>23</v>
      </c>
      <c r="B42" s="116">
        <f>'ERP STOCK'!B21</f>
        <v>34787.135000000002</v>
      </c>
      <c r="C42" s="116">
        <f>'ERP STOCK'!C21</f>
        <v>15045</v>
      </c>
      <c r="D42" s="116">
        <f>'ERP STOCK'!D21</f>
        <v>0</v>
      </c>
      <c r="E42" s="116">
        <f>'ERP STOCK'!E21</f>
        <v>0</v>
      </c>
      <c r="F42" s="116">
        <f>'ERP STOCK'!F21</f>
        <v>0</v>
      </c>
      <c r="G42" s="116">
        <f>'ERP STOCK'!G21</f>
        <v>13989.215</v>
      </c>
      <c r="H42" s="116">
        <f>'ERP STOCK'!H21</f>
        <v>0</v>
      </c>
      <c r="I42" s="116">
        <f>'ERP STOCK'!I21</f>
        <v>35842.92</v>
      </c>
      <c r="J42" s="116">
        <f>'ERP STOCK'!J21</f>
        <v>709</v>
      </c>
      <c r="K42" s="116">
        <f>'ERP STOCK'!K21</f>
        <v>171.21</v>
      </c>
      <c r="L42" s="116">
        <f>'ERP STOCK'!L21</f>
        <v>6136551.6399999997</v>
      </c>
    </row>
    <row r="43" spans="1:12">
      <c r="A43" s="115"/>
      <c r="B43" s="116" t="e">
        <f>#REF!</f>
        <v>#REF!</v>
      </c>
      <c r="C43" s="116" t="e">
        <f>#REF!</f>
        <v>#REF!</v>
      </c>
      <c r="D43" s="116" t="e">
        <f>#REF!</f>
        <v>#REF!</v>
      </c>
      <c r="E43" s="116" t="e">
        <f>#REF!</f>
        <v>#REF!</v>
      </c>
      <c r="F43" s="116" t="e">
        <f>#REF!</f>
        <v>#REF!</v>
      </c>
      <c r="G43" s="116" t="e">
        <f>#REF!</f>
        <v>#REF!</v>
      </c>
      <c r="H43" s="116" t="e">
        <f>#REF!</f>
        <v>#REF!</v>
      </c>
      <c r="I43" s="116" t="e">
        <f>#REF!</f>
        <v>#REF!</v>
      </c>
      <c r="J43" s="116"/>
      <c r="K43" s="116"/>
      <c r="L43" s="116"/>
    </row>
    <row r="44" spans="1:12">
      <c r="A44" s="117"/>
      <c r="B44" s="118" t="e">
        <f t="shared" ref="B44:I44" si="10">+B42-B43</f>
        <v>#REF!</v>
      </c>
      <c r="C44" s="118" t="e">
        <f t="shared" si="10"/>
        <v>#REF!</v>
      </c>
      <c r="D44" s="118" t="e">
        <f t="shared" si="10"/>
        <v>#REF!</v>
      </c>
      <c r="E44" s="118" t="e">
        <f t="shared" si="10"/>
        <v>#REF!</v>
      </c>
      <c r="F44" s="118" t="e">
        <f t="shared" si="10"/>
        <v>#REF!</v>
      </c>
      <c r="G44" s="118" t="e">
        <f t="shared" si="10"/>
        <v>#REF!</v>
      </c>
      <c r="H44" s="119" t="e">
        <f t="shared" si="10"/>
        <v>#REF!</v>
      </c>
      <c r="I44" s="118" t="e">
        <f t="shared" si="10"/>
        <v>#REF!</v>
      </c>
      <c r="J44" s="118"/>
      <c r="K44" s="118"/>
      <c r="L44" s="118"/>
    </row>
    <row r="45" spans="1:12">
      <c r="A45" s="113" t="s">
        <v>95</v>
      </c>
      <c r="B45" s="121">
        <f t="shared" ref="B45:J45" si="11">+B7+B10+B13+B16+B19+B22+B23+B24+B27+B28+B29+B30+B33+B36+B39+B42</f>
        <v>7220762.3670000006</v>
      </c>
      <c r="C45" s="121">
        <f t="shared" si="11"/>
        <v>227944.8</v>
      </c>
      <c r="D45" s="121">
        <f t="shared" si="11"/>
        <v>1948957.87</v>
      </c>
      <c r="E45" s="121">
        <f t="shared" si="11"/>
        <v>356217.24</v>
      </c>
      <c r="F45" s="121">
        <f t="shared" si="11"/>
        <v>432843.74000000005</v>
      </c>
      <c r="G45" s="121">
        <f t="shared" si="11"/>
        <v>2103569.2600000002</v>
      </c>
      <c r="H45" s="121">
        <f t="shared" si="11"/>
        <v>175785.88999999998</v>
      </c>
      <c r="I45" s="121">
        <f t="shared" si="11"/>
        <v>7041683.3869999982</v>
      </c>
      <c r="J45" s="121">
        <f t="shared" si="11"/>
        <v>1568583.8100000003</v>
      </c>
      <c r="K45" s="121"/>
      <c r="L45" s="121">
        <f>+L7+L10+L13+L16+L19+L22+L23+L24+L27+L28+L29+L30+L33+L36+L39+L42</f>
        <v>127584218.72999999</v>
      </c>
    </row>
    <row r="46" spans="1:12">
      <c r="A46" s="113"/>
      <c r="B46" s="121" t="e">
        <f t="shared" ref="B46:I46" si="12">B8+B11+B14+B17+B20+B25+B31+B34+B40+B43+B37</f>
        <v>#REF!</v>
      </c>
      <c r="C46" s="121" t="e">
        <f t="shared" si="12"/>
        <v>#REF!</v>
      </c>
      <c r="D46" s="121" t="e">
        <f t="shared" si="12"/>
        <v>#REF!</v>
      </c>
      <c r="E46" s="121" t="e">
        <f t="shared" si="12"/>
        <v>#REF!</v>
      </c>
      <c r="F46" s="121" t="e">
        <f t="shared" si="12"/>
        <v>#REF!</v>
      </c>
      <c r="G46" s="121" t="e">
        <f t="shared" si="12"/>
        <v>#REF!</v>
      </c>
      <c r="H46" s="121" t="e">
        <f t="shared" si="12"/>
        <v>#REF!</v>
      </c>
      <c r="I46" s="121" t="e">
        <f t="shared" si="12"/>
        <v>#REF!</v>
      </c>
      <c r="J46" s="121"/>
      <c r="K46" s="121"/>
      <c r="L46" s="121">
        <f>L8+L11+L14+L17+L20+L25+L31+L34+L40+L43</f>
        <v>0</v>
      </c>
    </row>
    <row r="47" spans="1:12">
      <c r="A47" s="117"/>
      <c r="B47" s="118" t="e">
        <f t="shared" ref="B47:I47" si="13">+B45-B46</f>
        <v>#REF!</v>
      </c>
      <c r="C47" s="118" t="e">
        <f t="shared" si="13"/>
        <v>#REF!</v>
      </c>
      <c r="D47" s="118" t="e">
        <f t="shared" si="13"/>
        <v>#REF!</v>
      </c>
      <c r="E47" s="118" t="e">
        <f t="shared" si="13"/>
        <v>#REF!</v>
      </c>
      <c r="F47" s="118" t="e">
        <f t="shared" si="13"/>
        <v>#REF!</v>
      </c>
      <c r="G47" s="118" t="e">
        <f t="shared" si="13"/>
        <v>#REF!</v>
      </c>
      <c r="H47" s="118" t="e">
        <f t="shared" si="13"/>
        <v>#REF!</v>
      </c>
      <c r="I47" s="118" t="e">
        <f t="shared" si="13"/>
        <v>#REF!</v>
      </c>
      <c r="J47" s="118"/>
      <c r="K47" s="118"/>
      <c r="L47" s="118"/>
    </row>
    <row r="48" spans="1:12">
      <c r="A48" s="115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</row>
    <row r="49" spans="1:12">
      <c r="A49" s="113" t="s">
        <v>96</v>
      </c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</row>
    <row r="50" spans="1:12">
      <c r="A50" s="115" t="s">
        <v>97</v>
      </c>
      <c r="B50" s="116">
        <f>'ERP STOCK'!B26</f>
        <v>2758.6</v>
      </c>
      <c r="C50" s="116">
        <f>'ERP STOCK'!C26</f>
        <v>0</v>
      </c>
      <c r="D50" s="116">
        <f>'ERP STOCK'!D26</f>
        <v>17602</v>
      </c>
      <c r="E50" s="116">
        <f>'ERP STOCK'!E26</f>
        <v>0</v>
      </c>
      <c r="F50" s="116">
        <f>'ERP STOCK'!F26</f>
        <v>22274</v>
      </c>
      <c r="G50" s="116">
        <f>'ERP STOCK'!G26</f>
        <v>0</v>
      </c>
      <c r="H50" s="116">
        <f>'ERP STOCK'!H26</f>
        <v>0</v>
      </c>
      <c r="I50" s="116">
        <f>'ERP STOCK'!I26</f>
        <v>-1913.4</v>
      </c>
      <c r="J50" s="116">
        <f>'ERP STOCK'!J26</f>
        <v>0</v>
      </c>
      <c r="K50" s="116">
        <f>'ERP STOCK'!K26</f>
        <v>85.68</v>
      </c>
      <c r="L50" s="116">
        <f>'ERP STOCK'!L26</f>
        <v>-163933.41</v>
      </c>
    </row>
    <row r="51" spans="1:12">
      <c r="A51" s="115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</row>
    <row r="52" spans="1:12">
      <c r="A52" s="117"/>
      <c r="B52" s="118">
        <f t="shared" ref="B52:I52" si="14">+B50-B51</f>
        <v>2758.6</v>
      </c>
      <c r="C52" s="118">
        <f t="shared" si="14"/>
        <v>0</v>
      </c>
      <c r="D52" s="120">
        <f t="shared" si="14"/>
        <v>17602</v>
      </c>
      <c r="E52" s="118">
        <f t="shared" si="14"/>
        <v>0</v>
      </c>
      <c r="F52" s="119">
        <f t="shared" si="14"/>
        <v>22274</v>
      </c>
      <c r="G52" s="118">
        <f t="shared" si="14"/>
        <v>0</v>
      </c>
      <c r="H52" s="118">
        <f t="shared" si="14"/>
        <v>0</v>
      </c>
      <c r="I52" s="118">
        <f t="shared" si="14"/>
        <v>-1913.4</v>
      </c>
      <c r="J52" s="118"/>
      <c r="K52" s="118"/>
      <c r="L52" s="118"/>
    </row>
    <row r="53" spans="1:12">
      <c r="A53" s="115" t="s">
        <v>98</v>
      </c>
      <c r="B53" s="116">
        <f>'ERP STOCK'!B27</f>
        <v>8807.4</v>
      </c>
      <c r="C53" s="116">
        <f>'ERP STOCK'!C27</f>
        <v>1253.9000000000001</v>
      </c>
      <c r="D53" s="116">
        <f>'ERP STOCK'!D27</f>
        <v>0</v>
      </c>
      <c r="E53" s="116">
        <f>'ERP STOCK'!E27</f>
        <v>0</v>
      </c>
      <c r="F53" s="116">
        <f>'ERP STOCK'!F27</f>
        <v>0</v>
      </c>
      <c r="G53" s="116">
        <f>'ERP STOCK'!G27</f>
        <v>0</v>
      </c>
      <c r="H53" s="116">
        <f>'ERP STOCK'!H27</f>
        <v>0</v>
      </c>
      <c r="I53" s="116">
        <f>'ERP STOCK'!I27</f>
        <v>10061.299999999999</v>
      </c>
      <c r="J53" s="116">
        <f>'ERP STOCK'!J27</f>
        <v>0</v>
      </c>
      <c r="K53" s="116">
        <f>'ERP STOCK'!K27</f>
        <v>0</v>
      </c>
      <c r="L53" s="116">
        <f>'ERP STOCK'!L27</f>
        <v>0</v>
      </c>
    </row>
    <row r="54" spans="1:12">
      <c r="A54" s="115"/>
      <c r="B54" s="116" t="e">
        <f>#REF!</f>
        <v>#REF!</v>
      </c>
      <c r="C54" s="116" t="e">
        <f>#REF!</f>
        <v>#REF!</v>
      </c>
      <c r="D54" s="116" t="e">
        <f>#REF!</f>
        <v>#REF!</v>
      </c>
      <c r="E54" s="116" t="e">
        <f>#REF!</f>
        <v>#REF!</v>
      </c>
      <c r="F54" s="116" t="e">
        <f>#REF!</f>
        <v>#REF!</v>
      </c>
      <c r="G54" s="116" t="e">
        <f>#REF!</f>
        <v>#REF!</v>
      </c>
      <c r="H54" s="116" t="e">
        <f>#REF!</f>
        <v>#REF!</v>
      </c>
      <c r="I54" s="116" t="e">
        <f>#REF!</f>
        <v>#REF!</v>
      </c>
      <c r="J54" s="116"/>
      <c r="K54" s="116"/>
      <c r="L54" s="116"/>
    </row>
    <row r="55" spans="1:12">
      <c r="A55" s="117"/>
      <c r="B55" s="118" t="e">
        <f t="shared" ref="B55:I55" si="15">+B53-B54</f>
        <v>#REF!</v>
      </c>
      <c r="C55" s="120" t="e">
        <f t="shared" si="15"/>
        <v>#REF!</v>
      </c>
      <c r="D55" s="120" t="e">
        <f t="shared" si="15"/>
        <v>#REF!</v>
      </c>
      <c r="E55" s="118" t="e">
        <f t="shared" si="15"/>
        <v>#REF!</v>
      </c>
      <c r="F55" s="120" t="e">
        <f t="shared" si="15"/>
        <v>#REF!</v>
      </c>
      <c r="G55" s="118" t="e">
        <f t="shared" si="15"/>
        <v>#REF!</v>
      </c>
      <c r="H55" s="118" t="e">
        <f t="shared" si="15"/>
        <v>#REF!</v>
      </c>
      <c r="I55" s="118" t="e">
        <f t="shared" si="15"/>
        <v>#REF!</v>
      </c>
      <c r="J55" s="118"/>
      <c r="K55" s="118"/>
      <c r="L55" s="118"/>
    </row>
    <row r="56" spans="1:12">
      <c r="A56" s="115" t="s">
        <v>99</v>
      </c>
      <c r="B56" s="116">
        <f>'ERP STOCK'!B28</f>
        <v>267536.18</v>
      </c>
      <c r="C56" s="116">
        <f>'ERP STOCK'!C28</f>
        <v>18506</v>
      </c>
      <c r="D56" s="116">
        <f>'ERP STOCK'!D28</f>
        <v>481097</v>
      </c>
      <c r="E56" s="116">
        <f>'ERP STOCK'!E28</f>
        <v>175106.5</v>
      </c>
      <c r="F56" s="116">
        <f>'ERP STOCK'!F28</f>
        <v>520652.9</v>
      </c>
      <c r="G56" s="116">
        <f>'ERP STOCK'!G28</f>
        <v>0</v>
      </c>
      <c r="H56" s="116">
        <f>'ERP STOCK'!H28</f>
        <v>0</v>
      </c>
      <c r="I56" s="116">
        <f>'ERP STOCK'!I28</f>
        <v>421592.78</v>
      </c>
      <c r="J56" s="116">
        <f>'ERP STOCK'!J28</f>
        <v>815</v>
      </c>
      <c r="K56" s="116">
        <f>'ERP STOCK'!K28</f>
        <v>158.33000000000001</v>
      </c>
      <c r="L56" s="116">
        <f>'ERP STOCK'!L28</f>
        <v>66749397.75</v>
      </c>
    </row>
    <row r="57" spans="1:12">
      <c r="A57" s="115"/>
      <c r="B57" s="116" t="e">
        <f>#REF!</f>
        <v>#REF!</v>
      </c>
      <c r="C57" s="116" t="e">
        <f>#REF!</f>
        <v>#REF!</v>
      </c>
      <c r="D57" s="116" t="e">
        <f>#REF!</f>
        <v>#REF!</v>
      </c>
      <c r="E57" s="116" t="e">
        <f>#REF!</f>
        <v>#REF!</v>
      </c>
      <c r="F57" s="116" t="e">
        <f>#REF!</f>
        <v>#REF!</v>
      </c>
      <c r="G57" s="116" t="e">
        <f>#REF!</f>
        <v>#REF!</v>
      </c>
      <c r="H57" s="116" t="e">
        <f>#REF!</f>
        <v>#REF!</v>
      </c>
      <c r="I57" s="116" t="e">
        <f>#REF!</f>
        <v>#REF!</v>
      </c>
      <c r="J57" s="116"/>
      <c r="K57" s="116"/>
      <c r="L57" s="116"/>
    </row>
    <row r="58" spans="1:12">
      <c r="A58" s="117"/>
      <c r="B58" s="118" t="e">
        <f t="shared" ref="B58:I58" si="16">+B56-B57</f>
        <v>#REF!</v>
      </c>
      <c r="C58" s="120" t="e">
        <f t="shared" si="16"/>
        <v>#REF!</v>
      </c>
      <c r="D58" s="119" t="e">
        <f t="shared" si="16"/>
        <v>#REF!</v>
      </c>
      <c r="E58" s="119" t="e">
        <f t="shared" si="16"/>
        <v>#REF!</v>
      </c>
      <c r="F58" s="119" t="e">
        <f t="shared" si="16"/>
        <v>#REF!</v>
      </c>
      <c r="G58" s="118" t="e">
        <f t="shared" si="16"/>
        <v>#REF!</v>
      </c>
      <c r="H58" s="118" t="e">
        <f t="shared" si="16"/>
        <v>#REF!</v>
      </c>
      <c r="I58" s="118" t="e">
        <f t="shared" si="16"/>
        <v>#REF!</v>
      </c>
      <c r="J58" s="118"/>
      <c r="K58" s="118"/>
      <c r="L58" s="118"/>
    </row>
    <row r="59" spans="1:12">
      <c r="A59" s="113" t="s">
        <v>95</v>
      </c>
      <c r="B59" s="121">
        <f t="shared" ref="B59:J59" si="17">+B50+B53+B56</f>
        <v>279102.18</v>
      </c>
      <c r="C59" s="121">
        <f t="shared" si="17"/>
        <v>19759.900000000001</v>
      </c>
      <c r="D59" s="121">
        <f t="shared" si="17"/>
        <v>498699</v>
      </c>
      <c r="E59" s="121">
        <f t="shared" si="17"/>
        <v>175106.5</v>
      </c>
      <c r="F59" s="121">
        <f t="shared" si="17"/>
        <v>542926.9</v>
      </c>
      <c r="G59" s="121">
        <f t="shared" si="17"/>
        <v>0</v>
      </c>
      <c r="H59" s="121">
        <f t="shared" si="17"/>
        <v>0</v>
      </c>
      <c r="I59" s="121">
        <f t="shared" si="17"/>
        <v>429740.68000000005</v>
      </c>
      <c r="J59" s="121">
        <f t="shared" si="17"/>
        <v>815</v>
      </c>
      <c r="K59" s="121"/>
      <c r="L59" s="121">
        <f>+L50+L53+L56</f>
        <v>66585464.340000004</v>
      </c>
    </row>
    <row r="60" spans="1:12">
      <c r="A60" s="113"/>
      <c r="B60" s="121" t="e">
        <f t="shared" ref="B60:J60" si="18">B51+B54+B57</f>
        <v>#REF!</v>
      </c>
      <c r="C60" s="121" t="e">
        <f t="shared" si="18"/>
        <v>#REF!</v>
      </c>
      <c r="D60" s="121" t="e">
        <f t="shared" si="18"/>
        <v>#REF!</v>
      </c>
      <c r="E60" s="121" t="e">
        <f t="shared" si="18"/>
        <v>#REF!</v>
      </c>
      <c r="F60" s="121" t="e">
        <f t="shared" si="18"/>
        <v>#REF!</v>
      </c>
      <c r="G60" s="121" t="e">
        <f t="shared" si="18"/>
        <v>#REF!</v>
      </c>
      <c r="H60" s="121" t="e">
        <f t="shared" si="18"/>
        <v>#REF!</v>
      </c>
      <c r="I60" s="121" t="e">
        <f t="shared" si="18"/>
        <v>#REF!</v>
      </c>
      <c r="J60" s="121">
        <f t="shared" si="18"/>
        <v>0</v>
      </c>
      <c r="K60" s="121"/>
      <c r="L60" s="121">
        <f>L51+L54+L57</f>
        <v>0</v>
      </c>
    </row>
    <row r="61" spans="1:12">
      <c r="A61" s="117"/>
      <c r="B61" s="118" t="e">
        <f t="shared" ref="B61:I61" si="19">+B59-B60</f>
        <v>#REF!</v>
      </c>
      <c r="C61" s="118" t="e">
        <f t="shared" si="19"/>
        <v>#REF!</v>
      </c>
      <c r="D61" s="118" t="e">
        <f t="shared" si="19"/>
        <v>#REF!</v>
      </c>
      <c r="E61" s="118" t="e">
        <f t="shared" si="19"/>
        <v>#REF!</v>
      </c>
      <c r="F61" s="118" t="e">
        <f t="shared" si="19"/>
        <v>#REF!</v>
      </c>
      <c r="G61" s="118" t="e">
        <f t="shared" si="19"/>
        <v>#REF!</v>
      </c>
      <c r="H61" s="118" t="e">
        <f t="shared" si="19"/>
        <v>#REF!</v>
      </c>
      <c r="I61" s="118" t="e">
        <f t="shared" si="19"/>
        <v>#REF!</v>
      </c>
      <c r="J61" s="118"/>
      <c r="K61" s="118"/>
      <c r="L61" s="118"/>
    </row>
    <row r="62" spans="1:12">
      <c r="A62" s="115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</row>
    <row r="63" spans="1:12">
      <c r="A63" s="113" t="s">
        <v>100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</row>
    <row r="64" spans="1:12">
      <c r="A64" s="115" t="s">
        <v>101</v>
      </c>
      <c r="B64" s="116">
        <f>'ERP STOCK'!B32</f>
        <v>12133</v>
      </c>
      <c r="C64" s="116">
        <f>'ERP STOCK'!C32</f>
        <v>270</v>
      </c>
      <c r="D64" s="116">
        <f>'ERP STOCK'!D32</f>
        <v>0</v>
      </c>
      <c r="E64" s="116">
        <f>'ERP STOCK'!E32</f>
        <v>0</v>
      </c>
      <c r="F64" s="116">
        <f>'ERP STOCK'!F32</f>
        <v>0</v>
      </c>
      <c r="G64" s="116">
        <f>'ERP STOCK'!G32</f>
        <v>530</v>
      </c>
      <c r="H64" s="116">
        <f>'ERP STOCK'!H32</f>
        <v>0</v>
      </c>
      <c r="I64" s="116">
        <f>'ERP STOCK'!I32</f>
        <v>11873</v>
      </c>
      <c r="J64" s="116">
        <f>'ERP STOCK'!J32</f>
        <v>340</v>
      </c>
      <c r="K64" s="116">
        <f>'ERP STOCK'!K32</f>
        <v>202.41</v>
      </c>
      <c r="L64" s="116">
        <f>'ERP STOCK'!L32</f>
        <v>2403269.86</v>
      </c>
    </row>
    <row r="65" spans="1:12">
      <c r="A65" s="115"/>
      <c r="B65" s="116" t="e">
        <f>#REF!</f>
        <v>#REF!</v>
      </c>
      <c r="C65" s="116" t="e">
        <f>#REF!</f>
        <v>#REF!</v>
      </c>
      <c r="D65" s="116" t="e">
        <f>#REF!</f>
        <v>#REF!</v>
      </c>
      <c r="E65" s="116" t="e">
        <f>#REF!</f>
        <v>#REF!</v>
      </c>
      <c r="F65" s="116" t="e">
        <f>#REF!</f>
        <v>#REF!</v>
      </c>
      <c r="G65" s="116" t="e">
        <f>#REF!</f>
        <v>#REF!</v>
      </c>
      <c r="H65" s="116" t="e">
        <f>#REF!</f>
        <v>#REF!</v>
      </c>
      <c r="I65" s="116" t="e">
        <f>#REF!</f>
        <v>#REF!</v>
      </c>
      <c r="J65" s="116"/>
      <c r="K65" s="116"/>
      <c r="L65" s="116"/>
    </row>
    <row r="66" spans="1:12">
      <c r="A66" s="117"/>
      <c r="B66" s="118" t="e">
        <f t="shared" ref="B66:I66" si="20">+B64-B65</f>
        <v>#REF!</v>
      </c>
      <c r="C66" s="118" t="e">
        <f t="shared" si="20"/>
        <v>#REF!</v>
      </c>
      <c r="D66" s="118" t="e">
        <f t="shared" si="20"/>
        <v>#REF!</v>
      </c>
      <c r="E66" s="118" t="e">
        <f t="shared" si="20"/>
        <v>#REF!</v>
      </c>
      <c r="F66" s="118" t="e">
        <f t="shared" si="20"/>
        <v>#REF!</v>
      </c>
      <c r="G66" s="118" t="e">
        <f t="shared" si="20"/>
        <v>#REF!</v>
      </c>
      <c r="H66" s="118" t="e">
        <f t="shared" si="20"/>
        <v>#REF!</v>
      </c>
      <c r="I66" s="118" t="e">
        <f t="shared" si="20"/>
        <v>#REF!</v>
      </c>
      <c r="J66" s="118"/>
      <c r="K66" s="118"/>
      <c r="L66" s="118"/>
    </row>
    <row r="67" spans="1:12">
      <c r="A67" s="115" t="s">
        <v>102</v>
      </c>
      <c r="B67" s="116">
        <f>'ERP STOCK'!B33</f>
        <v>10403.299999999999</v>
      </c>
      <c r="C67" s="116">
        <f>'ERP STOCK'!C33</f>
        <v>2210</v>
      </c>
      <c r="D67" s="116">
        <f>'ERP STOCK'!D33</f>
        <v>0</v>
      </c>
      <c r="E67" s="116">
        <f>'ERP STOCK'!E33</f>
        <v>0</v>
      </c>
      <c r="F67" s="116">
        <f>'ERP STOCK'!F33</f>
        <v>0</v>
      </c>
      <c r="G67" s="116">
        <f>'ERP STOCK'!G33</f>
        <v>1680</v>
      </c>
      <c r="H67" s="116">
        <f>'ERP STOCK'!H33</f>
        <v>0</v>
      </c>
      <c r="I67" s="116">
        <f>'ERP STOCK'!I33</f>
        <v>10933.3</v>
      </c>
      <c r="J67" s="116">
        <f>'ERP STOCK'!J33</f>
        <v>510</v>
      </c>
      <c r="K67" s="116">
        <f>'ERP STOCK'!K33</f>
        <v>75.83</v>
      </c>
      <c r="L67" s="116">
        <f>'ERP STOCK'!L33</f>
        <v>829064.14</v>
      </c>
    </row>
    <row r="68" spans="1:12">
      <c r="A68" s="115"/>
      <c r="B68" s="116" t="e">
        <f>#REF!</f>
        <v>#REF!</v>
      </c>
      <c r="C68" s="116" t="e">
        <f>#REF!</f>
        <v>#REF!</v>
      </c>
      <c r="D68" s="116" t="e">
        <f>#REF!</f>
        <v>#REF!</v>
      </c>
      <c r="E68" s="116" t="e">
        <f>#REF!</f>
        <v>#REF!</v>
      </c>
      <c r="F68" s="116" t="e">
        <f>#REF!</f>
        <v>#REF!</v>
      </c>
      <c r="G68" s="116" t="e">
        <f>#REF!</f>
        <v>#REF!</v>
      </c>
      <c r="H68" s="116" t="e">
        <f>#REF!</f>
        <v>#REF!</v>
      </c>
      <c r="I68" s="116" t="e">
        <f>#REF!</f>
        <v>#REF!</v>
      </c>
      <c r="J68" s="116"/>
      <c r="K68" s="116"/>
      <c r="L68" s="116"/>
    </row>
    <row r="69" spans="1:12">
      <c r="A69" s="117"/>
      <c r="B69" s="118" t="e">
        <f t="shared" ref="B69:I69" si="21">+B67-B68</f>
        <v>#REF!</v>
      </c>
      <c r="C69" s="118" t="e">
        <f t="shared" si="21"/>
        <v>#REF!</v>
      </c>
      <c r="D69" s="118" t="e">
        <f t="shared" si="21"/>
        <v>#REF!</v>
      </c>
      <c r="E69" s="118" t="e">
        <f t="shared" si="21"/>
        <v>#REF!</v>
      </c>
      <c r="F69" s="118" t="e">
        <f t="shared" si="21"/>
        <v>#REF!</v>
      </c>
      <c r="G69" s="118" t="e">
        <f t="shared" si="21"/>
        <v>#REF!</v>
      </c>
      <c r="H69" s="118" t="e">
        <f t="shared" si="21"/>
        <v>#REF!</v>
      </c>
      <c r="I69" s="118" t="e">
        <f t="shared" si="21"/>
        <v>#REF!</v>
      </c>
      <c r="J69" s="118"/>
      <c r="K69" s="118"/>
      <c r="L69" s="118"/>
    </row>
    <row r="70" spans="1:12">
      <c r="A70" s="113" t="s">
        <v>95</v>
      </c>
      <c r="B70" s="121">
        <f t="shared" ref="B70:J70" si="22">+B64+B67</f>
        <v>22536.3</v>
      </c>
      <c r="C70" s="121">
        <f t="shared" si="22"/>
        <v>2480</v>
      </c>
      <c r="D70" s="121">
        <f t="shared" si="22"/>
        <v>0</v>
      </c>
      <c r="E70" s="121">
        <f t="shared" si="22"/>
        <v>0</v>
      </c>
      <c r="F70" s="121">
        <f t="shared" si="22"/>
        <v>0</v>
      </c>
      <c r="G70" s="121">
        <f t="shared" si="22"/>
        <v>2210</v>
      </c>
      <c r="H70" s="121">
        <f t="shared" si="22"/>
        <v>0</v>
      </c>
      <c r="I70" s="121">
        <f t="shared" si="22"/>
        <v>22806.3</v>
      </c>
      <c r="J70" s="121">
        <f t="shared" si="22"/>
        <v>850</v>
      </c>
      <c r="K70" s="121"/>
      <c r="L70" s="121">
        <f>+L64+L67</f>
        <v>3232334</v>
      </c>
    </row>
    <row r="71" spans="1:12">
      <c r="A71" s="113"/>
      <c r="B71" s="121" t="e">
        <f t="shared" ref="B71:J71" si="23">B65+B68</f>
        <v>#REF!</v>
      </c>
      <c r="C71" s="121" t="e">
        <f t="shared" si="23"/>
        <v>#REF!</v>
      </c>
      <c r="D71" s="121" t="e">
        <f t="shared" si="23"/>
        <v>#REF!</v>
      </c>
      <c r="E71" s="121" t="e">
        <f t="shared" si="23"/>
        <v>#REF!</v>
      </c>
      <c r="F71" s="121" t="e">
        <f t="shared" si="23"/>
        <v>#REF!</v>
      </c>
      <c r="G71" s="121" t="e">
        <f t="shared" si="23"/>
        <v>#REF!</v>
      </c>
      <c r="H71" s="121" t="e">
        <f t="shared" si="23"/>
        <v>#REF!</v>
      </c>
      <c r="I71" s="121" t="e">
        <f t="shared" si="23"/>
        <v>#REF!</v>
      </c>
      <c r="J71" s="121">
        <f t="shared" si="23"/>
        <v>0</v>
      </c>
      <c r="K71" s="121"/>
      <c r="L71" s="121">
        <f>L65+L68</f>
        <v>0</v>
      </c>
    </row>
    <row r="72" spans="1:12">
      <c r="A72" s="117"/>
      <c r="B72" s="118" t="e">
        <f t="shared" ref="B72:I72" si="24">+B70-B71</f>
        <v>#REF!</v>
      </c>
      <c r="C72" s="118" t="e">
        <f t="shared" si="24"/>
        <v>#REF!</v>
      </c>
      <c r="D72" s="118" t="e">
        <f t="shared" si="24"/>
        <v>#REF!</v>
      </c>
      <c r="E72" s="118" t="e">
        <f t="shared" si="24"/>
        <v>#REF!</v>
      </c>
      <c r="F72" s="118" t="e">
        <f t="shared" si="24"/>
        <v>#REF!</v>
      </c>
      <c r="G72" s="118" t="e">
        <f t="shared" si="24"/>
        <v>#REF!</v>
      </c>
      <c r="H72" s="118" t="e">
        <f t="shared" si="24"/>
        <v>#REF!</v>
      </c>
      <c r="I72" s="118" t="e">
        <f t="shared" si="24"/>
        <v>#REF!</v>
      </c>
      <c r="J72" s="118"/>
      <c r="K72" s="118"/>
      <c r="L72" s="118"/>
    </row>
    <row r="73" spans="1:12">
      <c r="A73" s="115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</row>
    <row r="74" spans="1:12">
      <c r="A74" s="113" t="s">
        <v>103</v>
      </c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</row>
    <row r="75" spans="1:12">
      <c r="A75" s="115" t="s">
        <v>20</v>
      </c>
      <c r="B75" s="116">
        <f>'ERP STOCK'!B37</f>
        <v>136400.33100000001</v>
      </c>
      <c r="C75" s="116">
        <f>'ERP STOCK'!C37</f>
        <v>963286</v>
      </c>
      <c r="D75" s="116">
        <f>'ERP STOCK'!D37</f>
        <v>0</v>
      </c>
      <c r="E75" s="116">
        <f>'ERP STOCK'!E37</f>
        <v>13500</v>
      </c>
      <c r="F75" s="116">
        <f>'ERP STOCK'!F37</f>
        <v>213775</v>
      </c>
      <c r="G75" s="116">
        <f>'ERP STOCK'!G37</f>
        <v>483033.14</v>
      </c>
      <c r="H75" s="116">
        <f>'ERP STOCK'!H37</f>
        <v>306195</v>
      </c>
      <c r="I75" s="116">
        <f>'ERP STOCK'!I37</f>
        <v>110183.19100000001</v>
      </c>
      <c r="J75" s="116">
        <f>'ERP STOCK'!J37</f>
        <v>3560688.44</v>
      </c>
      <c r="K75" s="116">
        <f>'ERP STOCK'!K37</f>
        <v>72.83</v>
      </c>
      <c r="L75" s="116">
        <f>'ERP STOCK'!L37</f>
        <v>8024422.6399999997</v>
      </c>
    </row>
    <row r="76" spans="1:12">
      <c r="A76" s="115"/>
      <c r="B76" s="116" t="e">
        <f>#REF!+#REF!</f>
        <v>#REF!</v>
      </c>
      <c r="C76" s="116" t="e">
        <f>#REF!+#REF!</f>
        <v>#REF!</v>
      </c>
      <c r="D76" s="116" t="e">
        <f>#REF!+#REF!</f>
        <v>#REF!</v>
      </c>
      <c r="E76" s="116" t="e">
        <f>#REF!+#REF!</f>
        <v>#REF!</v>
      </c>
      <c r="F76" s="116" t="e">
        <f>#REF!+#REF!</f>
        <v>#REF!</v>
      </c>
      <c r="G76" s="116" t="e">
        <f>#REF!+#REF!</f>
        <v>#REF!</v>
      </c>
      <c r="H76" s="116" t="e">
        <f>#REF!+#REF!</f>
        <v>#REF!</v>
      </c>
      <c r="I76" s="116" t="e">
        <f>#REF!+#REF!</f>
        <v>#REF!</v>
      </c>
      <c r="J76" s="116"/>
      <c r="K76" s="116"/>
      <c r="L76" s="116"/>
    </row>
    <row r="77" spans="1:12">
      <c r="A77" s="117"/>
      <c r="B77" s="118" t="e">
        <f t="shared" ref="B77:I77" si="25">B75-B76</f>
        <v>#REF!</v>
      </c>
      <c r="C77" s="118" t="e">
        <f t="shared" si="25"/>
        <v>#REF!</v>
      </c>
      <c r="D77" s="118" t="e">
        <f t="shared" si="25"/>
        <v>#REF!</v>
      </c>
      <c r="E77" s="118" t="e">
        <f t="shared" si="25"/>
        <v>#REF!</v>
      </c>
      <c r="F77" s="118" t="e">
        <f t="shared" si="25"/>
        <v>#REF!</v>
      </c>
      <c r="G77" s="118" t="e">
        <f t="shared" si="25"/>
        <v>#REF!</v>
      </c>
      <c r="H77" s="118" t="e">
        <f t="shared" si="25"/>
        <v>#REF!</v>
      </c>
      <c r="I77" s="118" t="e">
        <f t="shared" si="25"/>
        <v>#REF!</v>
      </c>
      <c r="J77" s="118"/>
      <c r="K77" s="118"/>
      <c r="L77" s="118"/>
    </row>
    <row r="78" spans="1:12">
      <c r="A78" s="115" t="s">
        <v>32</v>
      </c>
      <c r="B78" s="116">
        <f>'ERP STOCK'!B38</f>
        <v>31719.681</v>
      </c>
      <c r="C78" s="116">
        <f>'ERP STOCK'!C38</f>
        <v>8100</v>
      </c>
      <c r="D78" s="116">
        <f>'ERP STOCK'!D38</f>
        <v>0</v>
      </c>
      <c r="E78" s="116">
        <f>'ERP STOCK'!E38</f>
        <v>0</v>
      </c>
      <c r="F78" s="116">
        <f>'ERP STOCK'!F38</f>
        <v>0</v>
      </c>
      <c r="G78" s="116">
        <f>'ERP STOCK'!G38</f>
        <v>10859.25</v>
      </c>
      <c r="H78" s="116">
        <f>'ERP STOCK'!H38</f>
        <v>2550</v>
      </c>
      <c r="I78" s="116">
        <f>'ERP STOCK'!I38</f>
        <v>26410.431</v>
      </c>
      <c r="J78" s="116">
        <f>'ERP STOCK'!J38</f>
        <v>23206.99</v>
      </c>
      <c r="K78" s="116">
        <f>'ERP STOCK'!K38</f>
        <v>101.34</v>
      </c>
      <c r="L78" s="116">
        <f>'ERP STOCK'!L38</f>
        <v>2676324.38</v>
      </c>
    </row>
    <row r="79" spans="1:12">
      <c r="A79" s="115"/>
      <c r="B79" s="116" t="e">
        <f>+#REF!+#REF!</f>
        <v>#REF!</v>
      </c>
      <c r="C79" s="116" t="e">
        <f>+#REF!+#REF!</f>
        <v>#REF!</v>
      </c>
      <c r="D79" s="116" t="e">
        <f>+#REF!+#REF!</f>
        <v>#REF!</v>
      </c>
      <c r="E79" s="116" t="e">
        <f>+#REF!+#REF!</f>
        <v>#REF!</v>
      </c>
      <c r="F79" s="116" t="e">
        <f>+#REF!+#REF!</f>
        <v>#REF!</v>
      </c>
      <c r="G79" s="116" t="e">
        <f>+#REF!+#REF!</f>
        <v>#REF!</v>
      </c>
      <c r="H79" s="116" t="e">
        <f>+#REF!+#REF!</f>
        <v>#REF!</v>
      </c>
      <c r="I79" s="116" t="e">
        <f>+#REF!+#REF!</f>
        <v>#REF!</v>
      </c>
      <c r="J79" s="116"/>
      <c r="K79" s="116"/>
      <c r="L79" s="116"/>
    </row>
    <row r="80" spans="1:12">
      <c r="A80" s="117"/>
      <c r="B80" s="118" t="e">
        <f t="shared" ref="B80:I80" si="26">B78-B79</f>
        <v>#REF!</v>
      </c>
      <c r="C80" s="118" t="e">
        <f t="shared" si="26"/>
        <v>#REF!</v>
      </c>
      <c r="D80" s="118" t="e">
        <f t="shared" si="26"/>
        <v>#REF!</v>
      </c>
      <c r="E80" s="118" t="e">
        <f t="shared" si="26"/>
        <v>#REF!</v>
      </c>
      <c r="F80" s="118" t="e">
        <f t="shared" si="26"/>
        <v>#REF!</v>
      </c>
      <c r="G80" s="118" t="e">
        <f t="shared" si="26"/>
        <v>#REF!</v>
      </c>
      <c r="H80" s="118" t="e">
        <f t="shared" si="26"/>
        <v>#REF!</v>
      </c>
      <c r="I80" s="118" t="e">
        <f t="shared" si="26"/>
        <v>#REF!</v>
      </c>
      <c r="J80" s="118"/>
      <c r="K80" s="118"/>
      <c r="L80" s="118"/>
    </row>
    <row r="81" spans="1:12">
      <c r="A81" s="115" t="s">
        <v>25</v>
      </c>
      <c r="B81" s="116">
        <f>'ERP STOCK'!B39</f>
        <v>14658.539000000001</v>
      </c>
      <c r="C81" s="116">
        <f>'ERP STOCK'!C39</f>
        <v>23000</v>
      </c>
      <c r="D81" s="116">
        <f>'ERP STOCK'!D39</f>
        <v>0</v>
      </c>
      <c r="E81" s="116">
        <f>'ERP STOCK'!E39</f>
        <v>0</v>
      </c>
      <c r="F81" s="116">
        <f>'ERP STOCK'!F39</f>
        <v>2600</v>
      </c>
      <c r="G81" s="116">
        <f>'ERP STOCK'!G39</f>
        <v>17509.25</v>
      </c>
      <c r="H81" s="116">
        <f>'ERP STOCK'!H39</f>
        <v>350</v>
      </c>
      <c r="I81" s="116">
        <f>'ERP STOCK'!I39</f>
        <v>17199.289000000001</v>
      </c>
      <c r="J81" s="116">
        <f>'ERP STOCK'!J39</f>
        <v>75037.279999999999</v>
      </c>
      <c r="K81" s="116">
        <f>'ERP STOCK'!K39</f>
        <v>89.66</v>
      </c>
      <c r="L81" s="116">
        <f>'ERP STOCK'!L39</f>
        <v>1542131.25</v>
      </c>
    </row>
    <row r="82" spans="1:12">
      <c r="A82" s="115"/>
      <c r="B82" s="116" t="e">
        <f>#REF!</f>
        <v>#REF!</v>
      </c>
      <c r="C82" s="116" t="e">
        <f>#REF!</f>
        <v>#REF!</v>
      </c>
      <c r="D82" s="116" t="e">
        <f>#REF!</f>
        <v>#REF!</v>
      </c>
      <c r="E82" s="116" t="e">
        <f>#REF!</f>
        <v>#REF!</v>
      </c>
      <c r="F82" s="116" t="e">
        <f>#REF!</f>
        <v>#REF!</v>
      </c>
      <c r="G82" s="116" t="e">
        <f>#REF!</f>
        <v>#REF!</v>
      </c>
      <c r="H82" s="116" t="e">
        <f>#REF!</f>
        <v>#REF!</v>
      </c>
      <c r="I82" s="116" t="e">
        <f>#REF!</f>
        <v>#REF!</v>
      </c>
      <c r="J82" s="116"/>
      <c r="K82" s="116"/>
      <c r="L82" s="116"/>
    </row>
    <row r="83" spans="1:12">
      <c r="A83" s="117"/>
      <c r="B83" s="118" t="e">
        <f t="shared" ref="B83:I83" si="27">B81-B82</f>
        <v>#REF!</v>
      </c>
      <c r="C83" s="118" t="e">
        <f t="shared" si="27"/>
        <v>#REF!</v>
      </c>
      <c r="D83" s="118" t="e">
        <f t="shared" si="27"/>
        <v>#REF!</v>
      </c>
      <c r="E83" s="118" t="e">
        <f t="shared" si="27"/>
        <v>#REF!</v>
      </c>
      <c r="F83" s="118" t="e">
        <f t="shared" si="27"/>
        <v>#REF!</v>
      </c>
      <c r="G83" s="118" t="e">
        <f t="shared" si="27"/>
        <v>#REF!</v>
      </c>
      <c r="H83" s="118" t="e">
        <f t="shared" si="27"/>
        <v>#REF!</v>
      </c>
      <c r="I83" s="118" t="e">
        <f t="shared" si="27"/>
        <v>#REF!</v>
      </c>
      <c r="J83" s="118"/>
      <c r="K83" s="118"/>
      <c r="L83" s="118"/>
    </row>
    <row r="84" spans="1:12">
      <c r="A84" s="115" t="s">
        <v>24</v>
      </c>
      <c r="B84" s="116">
        <f>'ERP STOCK'!B40</f>
        <v>1093.32</v>
      </c>
      <c r="C84" s="116">
        <f>'ERP STOCK'!C40</f>
        <v>0</v>
      </c>
      <c r="D84" s="116">
        <f>'ERP STOCK'!D40</f>
        <v>0</v>
      </c>
      <c r="E84" s="116">
        <f>'ERP STOCK'!E40</f>
        <v>0</v>
      </c>
      <c r="F84" s="116">
        <f>'ERP STOCK'!F40</f>
        <v>0</v>
      </c>
      <c r="G84" s="116">
        <f>'ERP STOCK'!G40</f>
        <v>158.75</v>
      </c>
      <c r="H84" s="116">
        <f>'ERP STOCK'!H40</f>
        <v>0</v>
      </c>
      <c r="I84" s="116">
        <f>'ERP STOCK'!I40</f>
        <v>934.57</v>
      </c>
      <c r="J84" s="116">
        <f>'ERP STOCK'!J40</f>
        <v>5030</v>
      </c>
      <c r="K84" s="116">
        <f>'ERP STOCK'!K40</f>
        <v>92.85</v>
      </c>
      <c r="L84" s="116">
        <f>'ERP STOCK'!L40</f>
        <v>86774.82</v>
      </c>
    </row>
    <row r="85" spans="1:12">
      <c r="A85" s="115"/>
      <c r="B85" s="116" t="e">
        <f>#REF!</f>
        <v>#REF!</v>
      </c>
      <c r="C85" s="116" t="e">
        <f>#REF!</f>
        <v>#REF!</v>
      </c>
      <c r="D85" s="116" t="e">
        <f>#REF!</f>
        <v>#REF!</v>
      </c>
      <c r="E85" s="116" t="e">
        <f>#REF!</f>
        <v>#REF!</v>
      </c>
      <c r="F85" s="116" t="e">
        <f>#REF!</f>
        <v>#REF!</v>
      </c>
      <c r="G85" s="116" t="e">
        <f>#REF!</f>
        <v>#REF!</v>
      </c>
      <c r="H85" s="116" t="e">
        <f>#REF!</f>
        <v>#REF!</v>
      </c>
      <c r="I85" s="116" t="e">
        <f>#REF!</f>
        <v>#REF!</v>
      </c>
      <c r="J85" s="116"/>
      <c r="K85" s="116"/>
      <c r="L85" s="116"/>
    </row>
    <row r="86" spans="1:12">
      <c r="A86" s="117"/>
      <c r="B86" s="118" t="e">
        <f t="shared" ref="B86:I86" si="28">B84-B85</f>
        <v>#REF!</v>
      </c>
      <c r="C86" s="118" t="e">
        <f t="shared" si="28"/>
        <v>#REF!</v>
      </c>
      <c r="D86" s="118" t="e">
        <f t="shared" si="28"/>
        <v>#REF!</v>
      </c>
      <c r="E86" s="118" t="e">
        <f t="shared" si="28"/>
        <v>#REF!</v>
      </c>
      <c r="F86" s="118" t="e">
        <f t="shared" si="28"/>
        <v>#REF!</v>
      </c>
      <c r="G86" s="118" t="e">
        <f t="shared" si="28"/>
        <v>#REF!</v>
      </c>
      <c r="H86" s="118" t="e">
        <f t="shared" si="28"/>
        <v>#REF!</v>
      </c>
      <c r="I86" s="118" t="e">
        <f t="shared" si="28"/>
        <v>#REF!</v>
      </c>
      <c r="J86" s="118"/>
      <c r="K86" s="118"/>
      <c r="L86" s="118"/>
    </row>
    <row r="87" spans="1:12">
      <c r="A87" s="115" t="s">
        <v>104</v>
      </c>
      <c r="B87" s="116">
        <f>'ERP STOCK'!B41</f>
        <v>55988.7</v>
      </c>
      <c r="C87" s="116">
        <f>'ERP STOCK'!C41</f>
        <v>64175</v>
      </c>
      <c r="D87" s="116">
        <f>'ERP STOCK'!D41</f>
        <v>0</v>
      </c>
      <c r="E87" s="116">
        <f>'ERP STOCK'!E41</f>
        <v>0</v>
      </c>
      <c r="F87" s="116">
        <f>'ERP STOCK'!F41</f>
        <v>14425</v>
      </c>
      <c r="G87" s="116">
        <f>'ERP STOCK'!G41</f>
        <v>51317.2</v>
      </c>
      <c r="H87" s="116">
        <f>'ERP STOCK'!H41</f>
        <v>5530</v>
      </c>
      <c r="I87" s="116">
        <f>'ERP STOCK'!I41</f>
        <v>48891.5</v>
      </c>
      <c r="J87" s="116">
        <f>'ERP STOCK'!J41</f>
        <v>83289.34</v>
      </c>
      <c r="K87" s="116">
        <f>'ERP STOCK'!K41</f>
        <v>31.19</v>
      </c>
      <c r="L87" s="116">
        <f>'ERP STOCK'!L41</f>
        <v>1524747.14</v>
      </c>
    </row>
    <row r="88" spans="1:12">
      <c r="A88" s="115"/>
      <c r="B88" s="116" t="e">
        <f>#REF!+#REF!+#REF!</f>
        <v>#REF!</v>
      </c>
      <c r="C88" s="116" t="e">
        <f>#REF!+#REF!+#REF!</f>
        <v>#REF!</v>
      </c>
      <c r="D88" s="116" t="e">
        <f>#REF!+#REF!+#REF!</f>
        <v>#REF!</v>
      </c>
      <c r="E88" s="116" t="e">
        <f>#REF!+#REF!+#REF!</f>
        <v>#REF!</v>
      </c>
      <c r="F88" s="116" t="e">
        <f>#REF!+#REF!+#REF!</f>
        <v>#REF!</v>
      </c>
      <c r="G88" s="116" t="e">
        <f>#REF!+#REF!+#REF!</f>
        <v>#REF!</v>
      </c>
      <c r="H88" s="116" t="e">
        <f>#REF!+#REF!+#REF!</f>
        <v>#REF!</v>
      </c>
      <c r="I88" s="116" t="e">
        <f>#REF!+#REF!+#REF!</f>
        <v>#REF!</v>
      </c>
      <c r="J88" s="116"/>
      <c r="K88" s="116"/>
      <c r="L88" s="116"/>
    </row>
    <row r="89" spans="1:12">
      <c r="A89" s="117"/>
      <c r="B89" s="118" t="e">
        <f t="shared" ref="B89:I89" si="29">B87-B88</f>
        <v>#REF!</v>
      </c>
      <c r="C89" s="118" t="e">
        <f t="shared" si="29"/>
        <v>#REF!</v>
      </c>
      <c r="D89" s="118" t="e">
        <f t="shared" si="29"/>
        <v>#REF!</v>
      </c>
      <c r="E89" s="118" t="e">
        <f t="shared" si="29"/>
        <v>#REF!</v>
      </c>
      <c r="F89" s="118" t="e">
        <f t="shared" si="29"/>
        <v>#REF!</v>
      </c>
      <c r="G89" s="118" t="e">
        <f t="shared" si="29"/>
        <v>#REF!</v>
      </c>
      <c r="H89" s="118" t="e">
        <f t="shared" si="29"/>
        <v>#REF!</v>
      </c>
      <c r="I89" s="118" t="e">
        <f t="shared" si="29"/>
        <v>#REF!</v>
      </c>
      <c r="J89" s="118"/>
      <c r="K89" s="118"/>
      <c r="L89" s="118"/>
    </row>
    <row r="90" spans="1:12">
      <c r="A90" s="115" t="s">
        <v>105</v>
      </c>
      <c r="B90" s="116">
        <f>'ERP STOCK'!B42</f>
        <v>3770.46</v>
      </c>
      <c r="C90" s="116">
        <f>'ERP STOCK'!C42</f>
        <v>277.32</v>
      </c>
      <c r="D90" s="116">
        <f>'ERP STOCK'!D42</f>
        <v>0</v>
      </c>
      <c r="E90" s="116">
        <f>'ERP STOCK'!E42</f>
        <v>0</v>
      </c>
      <c r="F90" s="116">
        <f>'ERP STOCK'!F42</f>
        <v>0</v>
      </c>
      <c r="G90" s="116">
        <f>'ERP STOCK'!G42</f>
        <v>0</v>
      </c>
      <c r="H90" s="116">
        <f>'ERP STOCK'!H42</f>
        <v>0</v>
      </c>
      <c r="I90" s="116">
        <f>'ERP STOCK'!I42</f>
        <v>4047.78</v>
      </c>
      <c r="J90" s="116">
        <f>'ERP STOCK'!J42</f>
        <v>0</v>
      </c>
      <c r="K90" s="116">
        <f>'ERP STOCK'!K42</f>
        <v>0</v>
      </c>
      <c r="L90" s="116">
        <f>'ERP STOCK'!L42</f>
        <v>0</v>
      </c>
    </row>
    <row r="91" spans="1:12">
      <c r="A91" s="115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</row>
    <row r="92" spans="1:12">
      <c r="A92" s="117"/>
      <c r="B92" s="118">
        <f t="shared" ref="B92:I92" si="30">B90-B91</f>
        <v>3770.46</v>
      </c>
      <c r="C92" s="118">
        <f t="shared" si="30"/>
        <v>277.32</v>
      </c>
      <c r="D92" s="118">
        <f t="shared" si="30"/>
        <v>0</v>
      </c>
      <c r="E92" s="118">
        <f t="shared" si="30"/>
        <v>0</v>
      </c>
      <c r="F92" s="118">
        <f t="shared" si="30"/>
        <v>0</v>
      </c>
      <c r="G92" s="118">
        <f t="shared" si="30"/>
        <v>0</v>
      </c>
      <c r="H92" s="118">
        <f t="shared" si="30"/>
        <v>0</v>
      </c>
      <c r="I92" s="118">
        <f t="shared" si="30"/>
        <v>4047.78</v>
      </c>
      <c r="J92" s="118"/>
      <c r="K92" s="118"/>
      <c r="L92" s="118"/>
    </row>
    <row r="93" spans="1:12">
      <c r="A93" s="113" t="s">
        <v>95</v>
      </c>
      <c r="B93" s="121">
        <f t="shared" ref="B93:J93" si="31">+B75+B78+B81+B84+B87+B90</f>
        <v>243631.03099999999</v>
      </c>
      <c r="C93" s="121">
        <f t="shared" si="31"/>
        <v>1058838.32</v>
      </c>
      <c r="D93" s="121">
        <f t="shared" si="31"/>
        <v>0</v>
      </c>
      <c r="E93" s="121">
        <f t="shared" si="31"/>
        <v>13500</v>
      </c>
      <c r="F93" s="121">
        <f t="shared" si="31"/>
        <v>230800</v>
      </c>
      <c r="G93" s="121">
        <f t="shared" si="31"/>
        <v>562877.59</v>
      </c>
      <c r="H93" s="121">
        <f t="shared" si="31"/>
        <v>314625</v>
      </c>
      <c r="I93" s="121">
        <f t="shared" si="31"/>
        <v>207666.761</v>
      </c>
      <c r="J93" s="121">
        <f t="shared" si="31"/>
        <v>3747252.05</v>
      </c>
      <c r="K93" s="121"/>
      <c r="L93" s="121">
        <f>+L75+L78+L81+L84+L87+L90</f>
        <v>13854400.23</v>
      </c>
    </row>
    <row r="94" spans="1:12">
      <c r="A94" s="113"/>
      <c r="B94" s="121" t="e">
        <f t="shared" ref="B94:J94" si="32">B76+B79+B82+B85+B88+B91</f>
        <v>#REF!</v>
      </c>
      <c r="C94" s="121" t="e">
        <f t="shared" si="32"/>
        <v>#REF!</v>
      </c>
      <c r="D94" s="121" t="e">
        <f t="shared" si="32"/>
        <v>#REF!</v>
      </c>
      <c r="E94" s="121" t="e">
        <f t="shared" si="32"/>
        <v>#REF!</v>
      </c>
      <c r="F94" s="121" t="e">
        <f t="shared" si="32"/>
        <v>#REF!</v>
      </c>
      <c r="G94" s="121" t="e">
        <f t="shared" si="32"/>
        <v>#REF!</v>
      </c>
      <c r="H94" s="121" t="e">
        <f t="shared" si="32"/>
        <v>#REF!</v>
      </c>
      <c r="I94" s="121" t="e">
        <f t="shared" si="32"/>
        <v>#REF!</v>
      </c>
      <c r="J94" s="121">
        <f t="shared" si="32"/>
        <v>0</v>
      </c>
      <c r="K94" s="121"/>
      <c r="L94" s="121">
        <f>L88+L91</f>
        <v>0</v>
      </c>
    </row>
    <row r="95" spans="1:12">
      <c r="A95" s="117"/>
      <c r="B95" s="118" t="e">
        <f t="shared" ref="B95:I95" si="33">+B93-B94</f>
        <v>#REF!</v>
      </c>
      <c r="C95" s="118" t="e">
        <f t="shared" si="33"/>
        <v>#REF!</v>
      </c>
      <c r="D95" s="118" t="e">
        <f t="shared" si="33"/>
        <v>#REF!</v>
      </c>
      <c r="E95" s="118" t="e">
        <f t="shared" si="33"/>
        <v>#REF!</v>
      </c>
      <c r="F95" s="118" t="e">
        <f t="shared" si="33"/>
        <v>#REF!</v>
      </c>
      <c r="G95" s="118" t="e">
        <f t="shared" si="33"/>
        <v>#REF!</v>
      </c>
      <c r="H95" s="118" t="e">
        <f t="shared" si="33"/>
        <v>#REF!</v>
      </c>
      <c r="I95" s="118" t="e">
        <f t="shared" si="33"/>
        <v>#REF!</v>
      </c>
      <c r="J95" s="118"/>
      <c r="K95" s="118"/>
      <c r="L95" s="118"/>
    </row>
    <row r="96" spans="1:12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1:12" s="110" customFormat="1">
      <c r="A97" s="21" t="s">
        <v>106</v>
      </c>
      <c r="B97" s="40">
        <f t="shared" ref="B97:J97" si="34">B45+B59+B70+B93</f>
        <v>7766031.8780000005</v>
      </c>
      <c r="C97" s="40">
        <f t="shared" si="34"/>
        <v>1309023.02</v>
      </c>
      <c r="D97" s="40">
        <f t="shared" si="34"/>
        <v>2447656.87</v>
      </c>
      <c r="E97" s="40">
        <f t="shared" si="34"/>
        <v>544823.74</v>
      </c>
      <c r="F97" s="40">
        <f t="shared" si="34"/>
        <v>1206570.6400000001</v>
      </c>
      <c r="G97" s="40">
        <f t="shared" si="34"/>
        <v>2668656.85</v>
      </c>
      <c r="H97" s="40">
        <f t="shared" si="34"/>
        <v>490410.89</v>
      </c>
      <c r="I97" s="40">
        <f t="shared" si="34"/>
        <v>7701897.1279999977</v>
      </c>
      <c r="J97" s="40">
        <f t="shared" si="34"/>
        <v>5317500.8600000003</v>
      </c>
      <c r="K97" s="40"/>
      <c r="L97" s="40">
        <f>L45+L59+L70+L93</f>
        <v>211256417.29999998</v>
      </c>
    </row>
    <row r="98" spans="1:12">
      <c r="A98" s="21" t="s">
        <v>107</v>
      </c>
      <c r="B98" s="40" t="e">
        <f t="shared" ref="B98:J98" si="35">B46+B60+B71+B94</f>
        <v>#REF!</v>
      </c>
      <c r="C98" s="40" t="e">
        <f t="shared" si="35"/>
        <v>#REF!</v>
      </c>
      <c r="D98" s="40" t="e">
        <f t="shared" si="35"/>
        <v>#REF!</v>
      </c>
      <c r="E98" s="40" t="e">
        <f t="shared" si="35"/>
        <v>#REF!</v>
      </c>
      <c r="F98" s="40" t="e">
        <f t="shared" si="35"/>
        <v>#REF!</v>
      </c>
      <c r="G98" s="40" t="e">
        <f t="shared" si="35"/>
        <v>#REF!</v>
      </c>
      <c r="H98" s="40" t="e">
        <f t="shared" si="35"/>
        <v>#REF!</v>
      </c>
      <c r="I98" s="40" t="e">
        <f t="shared" si="35"/>
        <v>#REF!</v>
      </c>
      <c r="J98" s="40">
        <f t="shared" si="35"/>
        <v>0</v>
      </c>
      <c r="K98" s="40"/>
      <c r="L98" s="40">
        <f>L46+L60+L71+L94</f>
        <v>0</v>
      </c>
    </row>
    <row r="99" spans="1:12">
      <c r="A99" s="10" t="s">
        <v>108</v>
      </c>
      <c r="B99" s="14" t="e">
        <f t="shared" ref="B99:L99" si="36">B97-B98</f>
        <v>#REF!</v>
      </c>
      <c r="C99" s="14" t="e">
        <f t="shared" si="36"/>
        <v>#REF!</v>
      </c>
      <c r="D99" s="14" t="e">
        <f t="shared" si="36"/>
        <v>#REF!</v>
      </c>
      <c r="E99" s="14" t="e">
        <f t="shared" si="36"/>
        <v>#REF!</v>
      </c>
      <c r="F99" s="14" t="e">
        <f t="shared" si="36"/>
        <v>#REF!</v>
      </c>
      <c r="G99" s="14" t="e">
        <f t="shared" si="36"/>
        <v>#REF!</v>
      </c>
      <c r="H99" s="14" t="e">
        <f t="shared" si="36"/>
        <v>#REF!</v>
      </c>
      <c r="I99" s="14" t="e">
        <f t="shared" si="36"/>
        <v>#REF!</v>
      </c>
      <c r="J99" s="14">
        <f t="shared" si="36"/>
        <v>5317500.8600000003</v>
      </c>
      <c r="K99" s="14">
        <f t="shared" si="36"/>
        <v>0</v>
      </c>
      <c r="L99" s="14">
        <f t="shared" si="36"/>
        <v>211256417.29999998</v>
      </c>
    </row>
    <row r="100" spans="1:12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</row>
    <row r="101" spans="1:12">
      <c r="B101" s="14" t="e">
        <f>B98-#REF!</f>
        <v>#REF!</v>
      </c>
      <c r="C101" s="14" t="e">
        <f>C98-#REF!</f>
        <v>#REF!</v>
      </c>
      <c r="D101" s="14" t="e">
        <f>D98-#REF!</f>
        <v>#REF!</v>
      </c>
      <c r="E101" s="14" t="e">
        <f>E98-#REF!</f>
        <v>#REF!</v>
      </c>
      <c r="F101" s="14" t="e">
        <f>F98-#REF!</f>
        <v>#REF!</v>
      </c>
      <c r="G101" s="14" t="e">
        <f>G98-#REF!</f>
        <v>#REF!</v>
      </c>
      <c r="H101" s="14" t="e">
        <f>H98-#REF!</f>
        <v>#REF!</v>
      </c>
      <c r="I101" s="14" t="e">
        <f>I98-#REF!</f>
        <v>#REF!</v>
      </c>
      <c r="J101" s="14"/>
      <c r="K101" s="14"/>
      <c r="L101" s="14"/>
    </row>
    <row r="102" spans="1:12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 spans="1:12">
      <c r="A103" s="140"/>
      <c r="B103" s="124"/>
      <c r="C103" s="124"/>
      <c r="D103" s="124"/>
      <c r="E103" s="124"/>
      <c r="F103" s="124"/>
      <c r="G103" s="124"/>
      <c r="H103" s="124"/>
      <c r="I103" s="124"/>
      <c r="J103" s="14"/>
    </row>
    <row r="104" spans="1:12">
      <c r="A104" s="140"/>
      <c r="B104" s="124"/>
      <c r="C104" s="124"/>
      <c r="D104" s="124"/>
      <c r="E104" s="124"/>
      <c r="F104" s="124"/>
      <c r="G104" s="124"/>
      <c r="H104" s="124"/>
      <c r="I104" s="124"/>
      <c r="J104" s="14"/>
      <c r="K104" s="14"/>
      <c r="L104" s="14"/>
    </row>
    <row r="105" spans="1:12">
      <c r="A105" s="140"/>
      <c r="B105" s="124"/>
      <c r="C105" s="124"/>
      <c r="D105" s="124"/>
      <c r="E105" s="124"/>
      <c r="F105" s="124"/>
      <c r="G105" s="124"/>
      <c r="H105" s="124"/>
      <c r="I105" s="124"/>
      <c r="J105" s="14"/>
      <c r="K105" s="14"/>
      <c r="L105" s="14"/>
    </row>
    <row r="106" spans="1:12" s="108" customFormat="1" ht="25.5">
      <c r="A106" s="187"/>
      <c r="B106" s="188" t="s">
        <v>106</v>
      </c>
      <c r="C106" s="188" t="s">
        <v>107</v>
      </c>
      <c r="D106" s="188" t="s">
        <v>109</v>
      </c>
      <c r="E106" s="188"/>
      <c r="F106" s="188"/>
      <c r="G106" s="188"/>
      <c r="H106" s="188"/>
      <c r="I106" s="188"/>
      <c r="J106" s="123"/>
      <c r="K106" s="123"/>
      <c r="L106" s="123"/>
    </row>
    <row r="107" spans="1:12">
      <c r="A107" s="140" t="s">
        <v>110</v>
      </c>
      <c r="B107" s="124">
        <f>'Lam Fabric'!D34</f>
        <v>130741</v>
      </c>
      <c r="C107" s="124" t="e">
        <f>#REF!</f>
        <v>#REF!</v>
      </c>
      <c r="D107" s="124" t="e">
        <f t="shared" ref="D107:D113" si="37">B107-C107</f>
        <v>#REF!</v>
      </c>
      <c r="E107" s="124"/>
      <c r="F107" s="124"/>
      <c r="G107" s="124" t="e">
        <f>D107-D18</f>
        <v>#REF!</v>
      </c>
      <c r="H107" s="124"/>
      <c r="I107" s="124"/>
      <c r="J107" s="14"/>
      <c r="K107" s="14"/>
      <c r="L107" s="14"/>
    </row>
    <row r="108" spans="1:12">
      <c r="A108" s="140" t="s">
        <v>83</v>
      </c>
      <c r="B108" s="124">
        <f>'Unlaminated Fabric'!K34</f>
        <v>110635.3</v>
      </c>
      <c r="C108" s="124" t="e">
        <f>#REF!</f>
        <v>#REF!</v>
      </c>
      <c r="D108" s="124" t="e">
        <f t="shared" si="37"/>
        <v>#REF!</v>
      </c>
      <c r="E108" s="124" t="e">
        <f>+D108+D117</f>
        <v>#REF!</v>
      </c>
      <c r="F108" s="124"/>
      <c r="G108" s="124" t="e">
        <f>E108-G15</f>
        <v>#REF!</v>
      </c>
      <c r="H108" s="124"/>
      <c r="I108" s="124"/>
      <c r="J108" s="14"/>
      <c r="K108" s="14"/>
      <c r="L108" s="14"/>
    </row>
    <row r="109" spans="1:12">
      <c r="A109" s="140" t="s">
        <v>20</v>
      </c>
      <c r="B109" s="124" t="e">
        <f>#REF!</f>
        <v>#REF!</v>
      </c>
      <c r="C109" s="124" t="e">
        <f>#REF!</f>
        <v>#REF!</v>
      </c>
      <c r="D109" s="124" t="e">
        <f t="shared" si="37"/>
        <v>#REF!</v>
      </c>
      <c r="E109" s="124"/>
      <c r="F109" s="124"/>
      <c r="G109" s="124" t="e">
        <f>D109-G77</f>
        <v>#REF!</v>
      </c>
      <c r="H109" s="124"/>
      <c r="I109" s="124"/>
      <c r="J109" s="14"/>
      <c r="K109" s="14"/>
      <c r="L109" s="14"/>
    </row>
    <row r="110" spans="1:12">
      <c r="A110" s="140" t="s">
        <v>111</v>
      </c>
      <c r="B110" s="124">
        <f>LLDP!G34</f>
        <v>0</v>
      </c>
      <c r="C110" s="124" t="e">
        <f>#REF!</f>
        <v>#REF!</v>
      </c>
      <c r="D110" s="124" t="e">
        <f t="shared" si="37"/>
        <v>#REF!</v>
      </c>
      <c r="E110" s="124"/>
      <c r="F110" s="124"/>
      <c r="G110" s="124"/>
      <c r="H110" s="124"/>
      <c r="I110" s="124"/>
      <c r="J110" s="14"/>
      <c r="K110" s="14"/>
      <c r="L110" s="14"/>
    </row>
    <row r="111" spans="1:12">
      <c r="A111" s="140" t="s">
        <v>104</v>
      </c>
      <c r="B111" s="124">
        <f>FillerSoltex!H34</f>
        <v>0</v>
      </c>
      <c r="C111" s="124" t="e">
        <f>#REF!</f>
        <v>#REF!</v>
      </c>
      <c r="D111" s="124" t="e">
        <f t="shared" si="37"/>
        <v>#REF!</v>
      </c>
      <c r="E111" s="124"/>
      <c r="F111" s="124"/>
      <c r="G111" s="124"/>
      <c r="H111" s="124"/>
      <c r="I111" s="124"/>
      <c r="J111" s="14"/>
      <c r="K111" s="14"/>
      <c r="L111" s="14"/>
    </row>
    <row r="112" spans="1:12">
      <c r="A112" s="140" t="s">
        <v>22</v>
      </c>
      <c r="B112" s="124">
        <f>MB!H34</f>
        <v>400</v>
      </c>
      <c r="C112" s="124" t="e">
        <f>#REF!</f>
        <v>#REF!</v>
      </c>
      <c r="D112" s="124" t="e">
        <f t="shared" si="37"/>
        <v>#REF!</v>
      </c>
      <c r="E112" s="124"/>
      <c r="F112" s="124"/>
      <c r="G112" s="124"/>
      <c r="H112" s="124"/>
      <c r="I112" s="124"/>
      <c r="J112" s="14"/>
      <c r="K112" s="14"/>
      <c r="L112" s="14"/>
    </row>
    <row r="113" spans="1:12">
      <c r="A113" s="140" t="s">
        <v>112</v>
      </c>
      <c r="B113" s="124">
        <f>Wastage!F34</f>
        <v>5677</v>
      </c>
      <c r="C113" s="124" t="e">
        <f>#REF!</f>
        <v>#REF!</v>
      </c>
      <c r="D113" s="124" t="e">
        <f t="shared" si="37"/>
        <v>#REF!</v>
      </c>
      <c r="E113" s="124" t="e">
        <f>D113+D117</f>
        <v>#REF!</v>
      </c>
      <c r="F113" s="124" t="e">
        <f>E113+D131</f>
        <v>#REF!</v>
      </c>
      <c r="G113" s="124"/>
      <c r="H113" s="124"/>
      <c r="I113" s="124"/>
      <c r="J113" s="14"/>
      <c r="K113" s="14"/>
      <c r="L113" s="14"/>
    </row>
    <row r="114" spans="1:12">
      <c r="A114" s="140"/>
      <c r="B114" s="124"/>
      <c r="C114" s="124"/>
      <c r="D114" s="124"/>
      <c r="E114" s="124"/>
      <c r="F114" s="124"/>
      <c r="G114" s="124"/>
      <c r="H114" s="124"/>
      <c r="I114" s="124"/>
      <c r="J114" s="14"/>
      <c r="K114" s="14"/>
      <c r="L114" s="14"/>
    </row>
    <row r="115" spans="1:12">
      <c r="A115" s="140"/>
      <c r="B115" s="124" t="e">
        <f>B107+B113-B108-B109-B110-B111-B112</f>
        <v>#REF!</v>
      </c>
      <c r="C115" s="124" t="e">
        <f>C107+C113-C108-C109-C110-C111-C112</f>
        <v>#REF!</v>
      </c>
      <c r="D115" s="124"/>
      <c r="E115" s="124"/>
      <c r="F115" s="124"/>
      <c r="G115" s="124"/>
      <c r="H115" s="124"/>
      <c r="I115" s="124"/>
      <c r="J115" s="14"/>
      <c r="K115" s="14"/>
      <c r="L115" s="14"/>
    </row>
    <row r="116" spans="1:12">
      <c r="A116" s="140"/>
      <c r="B116" s="124"/>
      <c r="C116" s="124"/>
      <c r="D116" s="124"/>
      <c r="E116" s="124"/>
      <c r="F116" s="124"/>
      <c r="G116" s="124"/>
      <c r="H116" s="124"/>
      <c r="I116" s="124"/>
      <c r="J116" s="14"/>
      <c r="K116" s="14"/>
      <c r="L116" s="14"/>
    </row>
    <row r="117" spans="1:12">
      <c r="A117" s="140" t="s">
        <v>113</v>
      </c>
      <c r="B117" s="124">
        <f>Wastage!O34</f>
        <v>0</v>
      </c>
      <c r="C117" s="124" t="e">
        <f>#REF!</f>
        <v>#REF!</v>
      </c>
      <c r="D117" s="124" t="e">
        <f>B117-C117</f>
        <v>#REF!</v>
      </c>
      <c r="E117" s="124"/>
      <c r="F117" s="124"/>
      <c r="G117" s="124"/>
      <c r="H117" s="124"/>
      <c r="I117" s="124"/>
      <c r="J117" s="14"/>
      <c r="K117" s="14"/>
      <c r="L117" s="14"/>
    </row>
    <row r="118" spans="1:12">
      <c r="A118" s="140"/>
      <c r="B118" s="124"/>
      <c r="C118" s="124"/>
      <c r="D118" s="124"/>
      <c r="E118" s="124"/>
      <c r="F118" s="124"/>
      <c r="G118" s="124"/>
      <c r="H118" s="124"/>
      <c r="I118" s="124"/>
      <c r="J118" s="14"/>
      <c r="K118" s="14"/>
      <c r="L118" s="14"/>
    </row>
    <row r="119" spans="1:12">
      <c r="A119" s="140"/>
      <c r="B119" s="124"/>
      <c r="C119" s="124"/>
      <c r="D119" s="124"/>
      <c r="E119" s="124"/>
      <c r="F119" s="124"/>
      <c r="G119" s="124"/>
      <c r="H119" s="124"/>
      <c r="I119" s="124"/>
      <c r="J119" s="14"/>
      <c r="K119" s="14"/>
      <c r="L119" s="14"/>
    </row>
    <row r="120" spans="1:12">
      <c r="A120" s="140"/>
      <c r="B120" s="124"/>
      <c r="C120" s="124"/>
      <c r="D120" s="124"/>
      <c r="E120" s="124"/>
      <c r="F120" s="124"/>
      <c r="G120" s="124"/>
      <c r="H120" s="124"/>
      <c r="I120" s="124"/>
      <c r="J120" s="14"/>
      <c r="K120" s="14"/>
      <c r="L120" s="14"/>
    </row>
    <row r="121" spans="1:12">
      <c r="A121" s="140" t="s">
        <v>114</v>
      </c>
      <c r="B121" s="189">
        <v>13581</v>
      </c>
      <c r="C121" s="124" t="e">
        <f>#REF!</f>
        <v>#REF!</v>
      </c>
      <c r="D121" s="124" t="e">
        <f t="shared" ref="D121:D126" si="38">+B121-C121</f>
        <v>#REF!</v>
      </c>
      <c r="E121" s="124"/>
      <c r="F121" s="124"/>
      <c r="G121" s="124"/>
      <c r="H121" s="124"/>
      <c r="I121" s="124"/>
      <c r="J121" s="14"/>
      <c r="K121" s="14"/>
      <c r="L121" s="14"/>
    </row>
    <row r="122" spans="1:12">
      <c r="A122" s="140" t="s">
        <v>115</v>
      </c>
      <c r="B122" s="189">
        <v>9687</v>
      </c>
      <c r="C122" s="124" t="e">
        <f>#REF!</f>
        <v>#REF!</v>
      </c>
      <c r="D122" s="124" t="e">
        <f t="shared" si="38"/>
        <v>#REF!</v>
      </c>
      <c r="E122" s="124"/>
      <c r="F122" s="124"/>
      <c r="G122" s="124"/>
      <c r="H122" s="124"/>
      <c r="I122" s="124"/>
      <c r="J122" s="14"/>
      <c r="K122" s="14"/>
      <c r="L122" s="14"/>
    </row>
    <row r="123" spans="1:12">
      <c r="A123" s="140" t="s">
        <v>110</v>
      </c>
      <c r="B123" s="189">
        <v>6093</v>
      </c>
      <c r="C123" s="124" t="e">
        <f>#REF!</f>
        <v>#REF!</v>
      </c>
      <c r="D123" s="124" t="e">
        <f t="shared" si="38"/>
        <v>#REF!</v>
      </c>
      <c r="E123" s="124"/>
      <c r="F123" s="124"/>
      <c r="G123" s="124"/>
      <c r="H123" s="124"/>
      <c r="I123" s="124"/>
      <c r="J123" s="14"/>
      <c r="K123" s="14"/>
      <c r="L123" s="14"/>
    </row>
    <row r="124" spans="1:12">
      <c r="A124" s="140" t="s">
        <v>116</v>
      </c>
      <c r="B124" s="189">
        <v>2236</v>
      </c>
      <c r="C124" s="124" t="e">
        <f>#REF!</f>
        <v>#REF!</v>
      </c>
      <c r="D124" s="124" t="e">
        <f t="shared" si="38"/>
        <v>#REF!</v>
      </c>
      <c r="E124" s="124"/>
      <c r="F124" s="124"/>
      <c r="G124" s="124"/>
      <c r="H124" s="124"/>
      <c r="I124" s="124"/>
      <c r="J124" s="14"/>
      <c r="K124" s="14"/>
      <c r="L124" s="14"/>
    </row>
    <row r="125" spans="1:12">
      <c r="A125" s="140" t="s">
        <v>117</v>
      </c>
      <c r="B125" s="124">
        <v>251</v>
      </c>
      <c r="C125" s="124" t="e">
        <f>#REF!</f>
        <v>#REF!</v>
      </c>
      <c r="D125" s="124" t="e">
        <f t="shared" si="38"/>
        <v>#REF!</v>
      </c>
      <c r="E125" s="124"/>
      <c r="F125" s="124"/>
      <c r="G125" s="124"/>
      <c r="H125" s="124"/>
      <c r="I125" s="124"/>
      <c r="J125" s="14"/>
      <c r="K125" s="14"/>
      <c r="L125" s="14"/>
    </row>
    <row r="126" spans="1:12">
      <c r="A126" s="140" t="s">
        <v>35</v>
      </c>
      <c r="B126" s="189">
        <f>43207+3711</f>
        <v>46918</v>
      </c>
      <c r="C126" s="124" t="e">
        <f>#REF!</f>
        <v>#REF!</v>
      </c>
      <c r="D126" s="124" t="e">
        <f t="shared" si="38"/>
        <v>#REF!</v>
      </c>
      <c r="E126" s="124"/>
      <c r="F126" s="124"/>
      <c r="G126" s="124"/>
      <c r="H126" s="124"/>
      <c r="I126" s="124"/>
      <c r="J126" s="14"/>
      <c r="K126" s="14"/>
      <c r="L126" s="14"/>
    </row>
    <row r="127" spans="1:12">
      <c r="A127" s="140"/>
      <c r="B127" s="124"/>
      <c r="C127" s="124"/>
      <c r="D127" s="124"/>
      <c r="E127" s="124"/>
      <c r="F127" s="124"/>
      <c r="G127" s="124"/>
      <c r="H127" s="124"/>
      <c r="I127" s="124"/>
      <c r="J127" s="14"/>
      <c r="K127" s="14"/>
      <c r="L127" s="14"/>
    </row>
    <row r="128" spans="1:12">
      <c r="A128" s="140"/>
      <c r="B128" s="124">
        <f>SUM(B121:B127)</f>
        <v>78766</v>
      </c>
      <c r="C128" s="124" t="e">
        <f>SUM(C121:C127)</f>
        <v>#REF!</v>
      </c>
      <c r="D128" s="124" t="e">
        <f>SUM(D121:D127)</f>
        <v>#REF!</v>
      </c>
      <c r="E128" s="124"/>
      <c r="F128" s="124"/>
      <c r="G128" s="124"/>
      <c r="H128" s="124"/>
      <c r="I128" s="124"/>
      <c r="J128" s="14"/>
      <c r="K128" s="14"/>
      <c r="L128" s="14"/>
    </row>
    <row r="129" spans="1:12">
      <c r="A129" s="140"/>
      <c r="B129" s="124">
        <f>D22+D23+D24</f>
        <v>113854.42</v>
      </c>
      <c r="C129" s="124" t="e">
        <f>D25</f>
        <v>#REF!</v>
      </c>
      <c r="D129" s="124"/>
      <c r="E129" s="124"/>
      <c r="F129" s="124"/>
      <c r="G129" s="124"/>
      <c r="H129" s="124"/>
      <c r="I129" s="124"/>
      <c r="J129" s="14"/>
      <c r="K129" s="14"/>
      <c r="L129" s="14"/>
    </row>
    <row r="130" spans="1:12">
      <c r="A130" s="140"/>
      <c r="B130" s="140">
        <f>+B128-B129</f>
        <v>-35088.42</v>
      </c>
      <c r="C130" s="140" t="e">
        <f>+C128-C129</f>
        <v>#REF!</v>
      </c>
      <c r="D130" s="140" t="e">
        <f>+D128-D129</f>
        <v>#REF!</v>
      </c>
      <c r="E130" s="140"/>
      <c r="F130" s="140"/>
      <c r="G130" s="140"/>
      <c r="H130" s="140"/>
      <c r="I130" s="140"/>
    </row>
    <row r="131" spans="1:12">
      <c r="A131" s="140"/>
      <c r="B131" s="140"/>
      <c r="C131" s="140"/>
      <c r="D131" s="140" t="e">
        <f>D130-B130</f>
        <v>#REF!</v>
      </c>
      <c r="E131" s="140"/>
      <c r="F131" s="140"/>
      <c r="G131" s="124" t="e">
        <f>D26-D131</f>
        <v>#REF!</v>
      </c>
      <c r="H131" s="140"/>
      <c r="I131" s="140"/>
    </row>
    <row r="132" spans="1:12">
      <c r="A132" s="140"/>
      <c r="B132" s="140"/>
      <c r="C132" s="140"/>
      <c r="D132" s="140"/>
      <c r="E132" s="140"/>
      <c r="F132" s="140"/>
      <c r="G132" s="140"/>
      <c r="H132" s="140"/>
      <c r="I132" s="140"/>
    </row>
    <row r="133" spans="1:12">
      <c r="A133" s="140"/>
      <c r="B133" s="140"/>
      <c r="C133" s="140"/>
      <c r="D133" s="140"/>
      <c r="E133" s="140"/>
      <c r="F133" s="140"/>
      <c r="G133" s="140"/>
      <c r="H133" s="140"/>
      <c r="I133" s="140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workbookViewId="0">
      <selection sqref="A1:D1"/>
    </sheetView>
  </sheetViews>
  <sheetFormatPr defaultColWidth="9.140625" defaultRowHeight="12.75"/>
  <cols>
    <col min="1" max="1" width="26.140625" style="10" bestFit="1" customWidth="1"/>
    <col min="2" max="3" width="13.28515625" style="10" bestFit="1" customWidth="1"/>
    <col min="4" max="4" width="15.28515625" style="10" bestFit="1" customWidth="1"/>
    <col min="5" max="5" width="11.5703125" style="10" bestFit="1" customWidth="1"/>
    <col min="6" max="6" width="12.28515625" style="10" bestFit="1" customWidth="1"/>
    <col min="7" max="7" width="11" style="10" bestFit="1" customWidth="1"/>
    <col min="8" max="8" width="11.5703125" style="10" bestFit="1" customWidth="1"/>
    <col min="9" max="9" width="13.5703125" style="10" bestFit="1" customWidth="1"/>
    <col min="10" max="10" width="11.5703125" style="10" bestFit="1" customWidth="1"/>
    <col min="11" max="16384" width="9.140625" style="10"/>
  </cols>
  <sheetData>
    <row r="1" spans="1:4">
      <c r="A1" s="362" t="s">
        <v>301</v>
      </c>
      <c r="B1" s="362"/>
      <c r="C1" s="362"/>
      <c r="D1" s="362"/>
    </row>
    <row r="2" spans="1:4">
      <c r="A2" s="362" t="s">
        <v>378</v>
      </c>
      <c r="B2" s="362"/>
      <c r="C2" s="362"/>
      <c r="D2" s="362"/>
    </row>
    <row r="3" spans="1:4">
      <c r="A3" s="15" t="s">
        <v>0</v>
      </c>
      <c r="B3" s="15" t="s">
        <v>1</v>
      </c>
      <c r="C3" s="15" t="s">
        <v>2</v>
      </c>
      <c r="D3" s="15" t="s">
        <v>3</v>
      </c>
    </row>
    <row r="4" spans="1:4" hidden="1">
      <c r="A4" s="10" t="s">
        <v>4</v>
      </c>
      <c r="B4" s="14">
        <f>Sheet3!J6</f>
        <v>0</v>
      </c>
      <c r="C4" s="14" t="e">
        <f>D4/B4</f>
        <v>#DIV/0!</v>
      </c>
      <c r="D4" s="14">
        <f>Sheet3!L6</f>
        <v>0</v>
      </c>
    </row>
    <row r="5" spans="1:4">
      <c r="A5" s="10" t="s">
        <v>5</v>
      </c>
      <c r="B5" s="14">
        <f>Sheet3!J7</f>
        <v>306664.90000000002</v>
      </c>
      <c r="C5" s="14">
        <f t="shared" ref="C5:C18" si="0">D5/B5</f>
        <v>157.96893009274942</v>
      </c>
      <c r="D5" s="14">
        <f>Sheet3!L7</f>
        <v>48443526.149999999</v>
      </c>
    </row>
    <row r="6" spans="1:4">
      <c r="A6" s="10" t="s">
        <v>6</v>
      </c>
      <c r="B6" s="14">
        <f>Sheet3!J8</f>
        <v>85056.500000000015</v>
      </c>
      <c r="C6" s="14">
        <f t="shared" si="0"/>
        <v>105.13316336787898</v>
      </c>
      <c r="D6" s="14">
        <f>Sheet3!L8</f>
        <v>8942258.9100000001</v>
      </c>
    </row>
    <row r="7" spans="1:4">
      <c r="A7" s="10" t="s">
        <v>7</v>
      </c>
      <c r="B7" s="14">
        <f>Sheet3!J9</f>
        <v>40640.5</v>
      </c>
      <c r="C7" s="14">
        <f t="shared" si="0"/>
        <v>103.30194411978199</v>
      </c>
      <c r="D7" s="14">
        <f>Sheet3!L9</f>
        <v>4198242.66</v>
      </c>
    </row>
    <row r="8" spans="1:4">
      <c r="A8" s="10" t="s">
        <v>8</v>
      </c>
      <c r="B8" s="14">
        <f>Sheet3!J10</f>
        <v>14100</v>
      </c>
      <c r="C8" s="14">
        <f t="shared" si="0"/>
        <v>20</v>
      </c>
      <c r="D8" s="14">
        <f>Sheet3!L10</f>
        <v>282000</v>
      </c>
    </row>
    <row r="9" spans="1:4">
      <c r="A9" s="10" t="s">
        <v>9</v>
      </c>
      <c r="B9" s="14">
        <f>Sheet3!J11</f>
        <v>0</v>
      </c>
      <c r="C9" s="14" t="e">
        <f t="shared" si="0"/>
        <v>#DIV/0!</v>
      </c>
      <c r="D9" s="14">
        <f>Sheet3!L11</f>
        <v>0</v>
      </c>
    </row>
    <row r="10" spans="1:4" hidden="1">
      <c r="A10" s="10" t="s">
        <v>10</v>
      </c>
      <c r="B10" s="14">
        <f>Sheet3!J12</f>
        <v>0</v>
      </c>
      <c r="C10" s="14" t="e">
        <f t="shared" si="0"/>
        <v>#DIV/0!</v>
      </c>
      <c r="D10" s="14">
        <f>Sheet3!L12</f>
        <v>0</v>
      </c>
    </row>
    <row r="11" spans="1:4">
      <c r="A11" s="10" t="s">
        <v>11</v>
      </c>
      <c r="B11" s="14">
        <f>Sheet3!J13</f>
        <v>7960</v>
      </c>
      <c r="C11" s="14">
        <f t="shared" si="0"/>
        <v>15</v>
      </c>
      <c r="D11" s="14">
        <f>Sheet3!L13</f>
        <v>119400</v>
      </c>
    </row>
    <row r="12" spans="1:4">
      <c r="A12" s="10" t="s">
        <v>12</v>
      </c>
      <c r="B12" s="14">
        <f>Sheet3!J14</f>
        <v>12228.8</v>
      </c>
      <c r="C12" s="14">
        <f t="shared" si="0"/>
        <v>103.29697108465263</v>
      </c>
      <c r="D12" s="14">
        <f>Sheet3!L14</f>
        <v>1263198</v>
      </c>
    </row>
    <row r="13" spans="1:4" hidden="1">
      <c r="A13" s="10" t="s">
        <v>13</v>
      </c>
      <c r="B13" s="14">
        <f>Sheet3!J15</f>
        <v>8500</v>
      </c>
      <c r="C13" s="14">
        <f t="shared" si="0"/>
        <v>29.5</v>
      </c>
      <c r="D13" s="14">
        <f>Sheet3!L15</f>
        <v>250750</v>
      </c>
    </row>
    <row r="14" spans="1:4">
      <c r="A14" s="10" t="s">
        <v>14</v>
      </c>
      <c r="B14" s="14">
        <f>Sheet3!J16</f>
        <v>500</v>
      </c>
      <c r="C14" s="14">
        <f t="shared" si="0"/>
        <v>141</v>
      </c>
      <c r="D14" s="14">
        <f>Sheet3!L16</f>
        <v>70500</v>
      </c>
    </row>
    <row r="15" spans="1:4">
      <c r="A15" s="10" t="s">
        <v>15</v>
      </c>
      <c r="B15" s="14">
        <f>Sheet3!J17</f>
        <v>125</v>
      </c>
      <c r="C15" s="14">
        <f t="shared" si="0"/>
        <v>68.248000000000005</v>
      </c>
      <c r="D15" s="14">
        <f>Sheet3!L17</f>
        <v>8531</v>
      </c>
    </row>
    <row r="16" spans="1:4">
      <c r="A16" s="10" t="s">
        <v>288</v>
      </c>
      <c r="B16" s="14">
        <f>Sheet3!J18</f>
        <v>18000</v>
      </c>
      <c r="C16" s="14">
        <f t="shared" si="0"/>
        <v>75.863888888888894</v>
      </c>
      <c r="D16" s="14">
        <f>Sheet3!L18</f>
        <v>1365550</v>
      </c>
    </row>
    <row r="17" spans="1:5" hidden="1">
      <c r="A17" s="10" t="s">
        <v>291</v>
      </c>
      <c r="B17" s="14">
        <f>Sheet3!J19</f>
        <v>0</v>
      </c>
      <c r="C17" s="14" t="e">
        <f t="shared" si="0"/>
        <v>#DIV/0!</v>
      </c>
      <c r="D17" s="14">
        <f>Sheet3!L19</f>
        <v>0</v>
      </c>
    </row>
    <row r="18" spans="1:5">
      <c r="A18" s="10" t="s">
        <v>317</v>
      </c>
      <c r="B18" s="14">
        <f>Sheet3!J20</f>
        <v>0</v>
      </c>
      <c r="C18" s="14" t="e">
        <f t="shared" si="0"/>
        <v>#DIV/0!</v>
      </c>
      <c r="D18" s="14">
        <f>Sheet3!L20</f>
        <v>0</v>
      </c>
    </row>
    <row r="19" spans="1:5">
      <c r="B19" s="14"/>
      <c r="C19" s="14"/>
      <c r="D19" s="14"/>
    </row>
    <row r="20" spans="1:5">
      <c r="A20" s="135" t="s">
        <v>16</v>
      </c>
      <c r="B20" s="136">
        <f>SUM(B4:B19)</f>
        <v>493775.7</v>
      </c>
      <c r="C20" s="136">
        <f>D20/B20</f>
        <v>131.52521827218308</v>
      </c>
      <c r="D20" s="136">
        <f>SUM(D4:D19)</f>
        <v>64943956.719999999</v>
      </c>
    </row>
    <row r="24" spans="1:5">
      <c r="A24" s="137" t="s">
        <v>17</v>
      </c>
      <c r="B24" s="10" t="s">
        <v>1</v>
      </c>
      <c r="C24" s="10" t="s">
        <v>2</v>
      </c>
      <c r="D24" s="10" t="s">
        <v>3</v>
      </c>
      <c r="E24" s="10" t="s">
        <v>18</v>
      </c>
    </row>
    <row r="25" spans="1:5">
      <c r="A25" s="138" t="s">
        <v>19</v>
      </c>
      <c r="B25" s="14"/>
      <c r="C25" s="14"/>
      <c r="D25" s="14"/>
    </row>
    <row r="26" spans="1:5">
      <c r="A26" s="130" t="s">
        <v>20</v>
      </c>
      <c r="B26" s="14" t="e">
        <f>#REF!</f>
        <v>#REF!</v>
      </c>
      <c r="C26" s="14" t="e">
        <f>#REF!</f>
        <v>#REF!</v>
      </c>
      <c r="D26" s="14" t="e">
        <f>B26*C26</f>
        <v>#REF!</v>
      </c>
      <c r="E26" s="10" t="s">
        <v>21</v>
      </c>
    </row>
    <row r="27" spans="1:5">
      <c r="A27" s="130" t="s">
        <v>13</v>
      </c>
      <c r="B27" s="14" t="e">
        <f>#REF!</f>
        <v>#REF!</v>
      </c>
      <c r="C27" s="14" t="e">
        <f>FillerSoltex!Y6</f>
        <v>#REF!</v>
      </c>
      <c r="D27" s="14" t="e">
        <f t="shared" ref="D27:D32" si="1">B27*C27</f>
        <v>#REF!</v>
      </c>
      <c r="E27" s="10" t="s">
        <v>21</v>
      </c>
    </row>
    <row r="28" spans="1:5">
      <c r="A28" s="130" t="s">
        <v>22</v>
      </c>
      <c r="B28" s="14" t="e">
        <f>#REF!</f>
        <v>#REF!</v>
      </c>
      <c r="C28" s="14" t="e">
        <f>MB!Y6</f>
        <v>#REF!</v>
      </c>
      <c r="D28" s="14" t="e">
        <f t="shared" si="1"/>
        <v>#REF!</v>
      </c>
      <c r="E28" s="10" t="s">
        <v>21</v>
      </c>
    </row>
    <row r="29" spans="1:5">
      <c r="A29" s="130" t="s">
        <v>23</v>
      </c>
      <c r="B29" s="14" t="e">
        <f>#REF!</f>
        <v>#REF!</v>
      </c>
      <c r="C29" s="14" t="e">
        <f>UV!Y6</f>
        <v>#REF!</v>
      </c>
      <c r="D29" s="14" t="e">
        <f t="shared" si="1"/>
        <v>#REF!</v>
      </c>
      <c r="E29" s="10" t="s">
        <v>21</v>
      </c>
    </row>
    <row r="30" spans="1:5">
      <c r="A30" s="130" t="s">
        <v>24</v>
      </c>
      <c r="B30" s="14" t="e">
        <f>#REF!</f>
        <v>#REF!</v>
      </c>
      <c r="C30" s="14" t="e">
        <f>#REF!</f>
        <v>#REF!</v>
      </c>
      <c r="D30" s="14" t="e">
        <f t="shared" si="1"/>
        <v>#REF!</v>
      </c>
      <c r="E30" s="10" t="s">
        <v>21</v>
      </c>
    </row>
    <row r="31" spans="1:5">
      <c r="A31" s="130" t="s">
        <v>25</v>
      </c>
      <c r="B31" s="14" t="e">
        <f>#REF!</f>
        <v>#REF!</v>
      </c>
      <c r="C31" s="14" t="e">
        <f>#REF!</f>
        <v>#REF!</v>
      </c>
      <c r="D31" s="14" t="e">
        <f t="shared" si="1"/>
        <v>#REF!</v>
      </c>
      <c r="E31" s="10" t="s">
        <v>21</v>
      </c>
    </row>
    <row r="32" spans="1:5">
      <c r="A32" s="130" t="s">
        <v>26</v>
      </c>
      <c r="B32" s="14" t="e">
        <f>#REF!*0</f>
        <v>#REF!</v>
      </c>
      <c r="C32" s="14">
        <v>0</v>
      </c>
      <c r="D32" s="14" t="e">
        <f t="shared" si="1"/>
        <v>#REF!</v>
      </c>
      <c r="E32" s="10" t="s">
        <v>27</v>
      </c>
    </row>
    <row r="33" spans="1:5">
      <c r="A33" s="130"/>
      <c r="B33" s="14"/>
      <c r="C33" s="14"/>
      <c r="D33" s="14"/>
    </row>
    <row r="34" spans="1:5">
      <c r="A34" s="139" t="s">
        <v>28</v>
      </c>
      <c r="B34" s="136" t="e">
        <f>SUM(B26:B33)</f>
        <v>#REF!</v>
      </c>
      <c r="C34" s="136" t="e">
        <f>D34/B34</f>
        <v>#REF!</v>
      </c>
      <c r="D34" s="136" t="e">
        <f>SUM(D26:D33)</f>
        <v>#REF!</v>
      </c>
    </row>
    <row r="35" spans="1:5">
      <c r="B35" s="14"/>
      <c r="C35" s="14"/>
      <c r="D35" s="14"/>
    </row>
    <row r="36" spans="1:5">
      <c r="A36" s="138" t="s">
        <v>29</v>
      </c>
      <c r="B36" s="14"/>
      <c r="C36" s="14"/>
      <c r="D36" s="14"/>
    </row>
    <row r="37" spans="1:5">
      <c r="A37" s="130" t="s">
        <v>30</v>
      </c>
      <c r="B37" s="124" t="e">
        <f>SUMIF(#REF!,"YARN",#REF!)</f>
        <v>#REF!</v>
      </c>
      <c r="C37" s="14" t="e">
        <f>D37/B37</f>
        <v>#REF!</v>
      </c>
      <c r="D37" s="14" t="e">
        <f>SUMIF(#REF!,"YARN",#REF!)</f>
        <v>#REF!</v>
      </c>
      <c r="E37" s="10" t="s">
        <v>21</v>
      </c>
    </row>
    <row r="38" spans="1:5">
      <c r="B38" s="14"/>
      <c r="C38" s="14"/>
      <c r="D38" s="14"/>
    </row>
    <row r="39" spans="1:5">
      <c r="A39" s="138" t="s">
        <v>31</v>
      </c>
      <c r="B39" s="14"/>
      <c r="C39" s="14"/>
      <c r="D39" s="14"/>
    </row>
    <row r="40" spans="1:5">
      <c r="A40" s="130" t="s">
        <v>20</v>
      </c>
      <c r="B40" s="14" t="e">
        <f>#REF!</f>
        <v>#REF!</v>
      </c>
      <c r="C40" s="14" t="e">
        <f>#REF!</f>
        <v>#REF!</v>
      </c>
      <c r="D40" s="14" t="e">
        <f t="shared" ref="D40:D45" si="2">B40*C40</f>
        <v>#REF!</v>
      </c>
      <c r="E40" s="10" t="s">
        <v>21</v>
      </c>
    </row>
    <row r="41" spans="1:5">
      <c r="A41" s="130" t="s">
        <v>32</v>
      </c>
      <c r="B41" s="14" t="e">
        <f>#REF!</f>
        <v>#REF!</v>
      </c>
      <c r="C41" s="14" t="e">
        <f>LLDP!Z6</f>
        <v>#REF!</v>
      </c>
      <c r="D41" s="14" t="e">
        <f t="shared" si="2"/>
        <v>#REF!</v>
      </c>
      <c r="E41" s="10" t="s">
        <v>21</v>
      </c>
    </row>
    <row r="42" spans="1:5">
      <c r="A42" s="130" t="s">
        <v>22</v>
      </c>
      <c r="B42" s="14" t="e">
        <f>#REF!</f>
        <v>#REF!</v>
      </c>
      <c r="C42" s="14" t="e">
        <f>MB!Y6</f>
        <v>#REF!</v>
      </c>
      <c r="D42" s="14" t="e">
        <f t="shared" si="2"/>
        <v>#REF!</v>
      </c>
      <c r="E42" s="10" t="s">
        <v>21</v>
      </c>
    </row>
    <row r="43" spans="1:5">
      <c r="A43" s="130" t="s">
        <v>13</v>
      </c>
      <c r="B43" s="14" t="e">
        <f>#REF!</f>
        <v>#REF!</v>
      </c>
      <c r="C43" s="14" t="e">
        <f>FillerSoltex!Y6</f>
        <v>#REF!</v>
      </c>
      <c r="D43" s="14" t="e">
        <f t="shared" si="2"/>
        <v>#REF!</v>
      </c>
      <c r="E43" s="10" t="s">
        <v>21</v>
      </c>
    </row>
    <row r="44" spans="1:5">
      <c r="A44" s="130" t="s">
        <v>23</v>
      </c>
      <c r="B44" s="14"/>
      <c r="C44" s="14" t="e">
        <f>UV!Y6</f>
        <v>#REF!</v>
      </c>
      <c r="D44" s="14" t="e">
        <f t="shared" si="2"/>
        <v>#REF!</v>
      </c>
      <c r="E44" s="10" t="s">
        <v>21</v>
      </c>
    </row>
    <row r="45" spans="1:5">
      <c r="A45" s="130" t="s">
        <v>26</v>
      </c>
      <c r="B45" s="14"/>
      <c r="C45" s="14"/>
      <c r="D45" s="14">
        <f t="shared" si="2"/>
        <v>0</v>
      </c>
      <c r="E45" s="10" t="s">
        <v>21</v>
      </c>
    </row>
    <row r="46" spans="1:5">
      <c r="B46" s="14"/>
      <c r="C46" s="14"/>
      <c r="D46" s="14"/>
    </row>
    <row r="47" spans="1:5">
      <c r="A47" s="138" t="s">
        <v>33</v>
      </c>
      <c r="B47" s="124"/>
      <c r="C47" s="14"/>
      <c r="D47" s="14"/>
    </row>
    <row r="48" spans="1:5">
      <c r="A48" s="130" t="s">
        <v>34</v>
      </c>
      <c r="B48" s="124" t="e">
        <f>SUMIF(#REF!,"UL FABRIC",#REF!)</f>
        <v>#REF!</v>
      </c>
      <c r="C48" s="14" t="e">
        <f t="shared" ref="C48:C59" si="3">D48/B48</f>
        <v>#REF!</v>
      </c>
      <c r="D48" s="14" t="e">
        <f>SUMIF(#REF!,"UL FABRIC",#REF!)</f>
        <v>#REF!</v>
      </c>
      <c r="E48" s="10" t="s">
        <v>43</v>
      </c>
    </row>
    <row r="49" spans="1:9">
      <c r="A49" s="130" t="s">
        <v>35</v>
      </c>
      <c r="B49" s="124" t="e">
        <f>SUMIF(#REF!,"FIBC",#REF!)</f>
        <v>#REF!</v>
      </c>
      <c r="C49" s="14" t="e">
        <f t="shared" si="3"/>
        <v>#REF!</v>
      </c>
      <c r="D49" s="14" t="e">
        <f>SUMIF(#REF!,"FIBC",#REF!)</f>
        <v>#REF!</v>
      </c>
      <c r="E49" s="10" t="s">
        <v>43</v>
      </c>
    </row>
    <row r="50" spans="1:9">
      <c r="A50" s="130" t="s">
        <v>36</v>
      </c>
      <c r="B50" s="124" t="e">
        <f>SUMIF(#REF!,"FILM",#REF!)</f>
        <v>#REF!</v>
      </c>
      <c r="C50" s="14" t="e">
        <f t="shared" si="3"/>
        <v>#REF!</v>
      </c>
      <c r="D50" s="14" t="e">
        <f>SUMIF(#REF!,"FILM",#REF!)</f>
        <v>#REF!</v>
      </c>
      <c r="E50" s="10" t="s">
        <v>43</v>
      </c>
    </row>
    <row r="51" spans="1:9">
      <c r="A51" s="130" t="s">
        <v>37</v>
      </c>
      <c r="B51" s="124" t="e">
        <f>SUMIF(#REF!,"LAM FABRIC",#REF!)</f>
        <v>#REF!</v>
      </c>
      <c r="C51" s="14" t="e">
        <f t="shared" si="3"/>
        <v>#REF!</v>
      </c>
      <c r="D51" s="14" t="e">
        <f>SUMIF(#REF!,"LAM FABRIC",#REF!)</f>
        <v>#REF!</v>
      </c>
      <c r="E51" s="10" t="s">
        <v>43</v>
      </c>
    </row>
    <row r="52" spans="1:9">
      <c r="A52" s="130" t="s">
        <v>38</v>
      </c>
      <c r="B52" s="124" t="e">
        <f>SUMIF(#REF!,"LLDPE BAGS",#REF!)</f>
        <v>#REF!</v>
      </c>
      <c r="C52" s="14" t="e">
        <f t="shared" si="3"/>
        <v>#REF!</v>
      </c>
      <c r="D52" s="14" t="e">
        <f>SUMIF(#REF!,"LLDPE BAGS",#REF!)</f>
        <v>#REF!</v>
      </c>
      <c r="E52" s="10" t="s">
        <v>43</v>
      </c>
    </row>
    <row r="53" spans="1:9">
      <c r="A53" s="130" t="s">
        <v>26</v>
      </c>
      <c r="B53" s="124" t="e">
        <f>SUMIF(#REF!,"RP",#REF!)</f>
        <v>#REF!</v>
      </c>
      <c r="C53" s="14" t="e">
        <f t="shared" si="3"/>
        <v>#REF!</v>
      </c>
      <c r="D53" s="14" t="e">
        <f>SUMIF(#REF!,"RP",#REF!)</f>
        <v>#REF!</v>
      </c>
      <c r="E53" s="10" t="s">
        <v>43</v>
      </c>
    </row>
    <row r="54" spans="1:9">
      <c r="A54" s="130" t="s">
        <v>227</v>
      </c>
      <c r="B54" s="124" t="e">
        <f>SUMIF(#REF!,"Ink",#REF!)</f>
        <v>#REF!</v>
      </c>
      <c r="C54" s="14" t="e">
        <f t="shared" si="3"/>
        <v>#REF!</v>
      </c>
      <c r="D54" s="14" t="e">
        <f>SUMIF(#REF!,"Ink",#REF!)</f>
        <v>#REF!</v>
      </c>
      <c r="E54" s="10" t="s">
        <v>43</v>
      </c>
    </row>
    <row r="55" spans="1:9">
      <c r="A55" s="130" t="s">
        <v>39</v>
      </c>
      <c r="B55" s="124">
        <v>0</v>
      </c>
      <c r="C55" s="14" t="e">
        <f t="shared" si="3"/>
        <v>#DIV/0!</v>
      </c>
      <c r="D55" s="14">
        <v>0</v>
      </c>
      <c r="E55" s="10" t="s">
        <v>43</v>
      </c>
    </row>
    <row r="56" spans="1:9">
      <c r="A56" s="130" t="s">
        <v>40</v>
      </c>
      <c r="B56" s="124" t="e">
        <f>SUMIF(#REF!,"TAPE",#REF!)</f>
        <v>#REF!</v>
      </c>
      <c r="C56" s="14" t="e">
        <f t="shared" si="3"/>
        <v>#REF!</v>
      </c>
      <c r="D56" s="14" t="e">
        <f>SUMIF(#REF!,"TAPE",#REF!)</f>
        <v>#REF!</v>
      </c>
      <c r="E56" s="10" t="s">
        <v>43</v>
      </c>
    </row>
    <row r="57" spans="1:9">
      <c r="A57" s="130" t="s">
        <v>27</v>
      </c>
      <c r="B57" s="124" t="e">
        <f>SUMIF(#REF!,"WASTAGE",#REF!)</f>
        <v>#REF!</v>
      </c>
      <c r="C57" s="14" t="e">
        <f t="shared" si="3"/>
        <v>#REF!</v>
      </c>
      <c r="D57" s="14" t="e">
        <f>SUMIF(#REF!,"WASTAGE",#REF!)</f>
        <v>#REF!</v>
      </c>
      <c r="E57" s="10" t="s">
        <v>43</v>
      </c>
    </row>
    <row r="58" spans="1:9">
      <c r="A58" s="130" t="s">
        <v>41</v>
      </c>
      <c r="B58" s="124" t="e">
        <f>SUMIF(#REF!,"WEBBING",#REF!)</f>
        <v>#REF!</v>
      </c>
      <c r="C58" s="14" t="e">
        <f t="shared" si="3"/>
        <v>#REF!</v>
      </c>
      <c r="D58" s="14" t="e">
        <f>SUMIF(#REF!,"WEBBING",#REF!)</f>
        <v>#REF!</v>
      </c>
      <c r="E58" s="10" t="s">
        <v>43</v>
      </c>
      <c r="G58" s="38" t="e">
        <f>SUMIF(#REF!,"RM",#REF!)</f>
        <v>#REF!</v>
      </c>
      <c r="H58" s="38"/>
      <c r="I58" s="38" t="e">
        <f>SUMIF(#REF!,"RM",#REF!)</f>
        <v>#REF!</v>
      </c>
    </row>
    <row r="59" spans="1:9">
      <c r="A59" s="130" t="s">
        <v>289</v>
      </c>
      <c r="B59" s="124" t="e">
        <f>SUMIF(#REF!,"THINNER",#REF!)</f>
        <v>#REF!</v>
      </c>
      <c r="C59" s="14" t="e">
        <f t="shared" si="3"/>
        <v>#REF!</v>
      </c>
      <c r="D59" s="14" t="e">
        <f>SUMIF(#REF!,"THINNER",#REF!)</f>
        <v>#REF!</v>
      </c>
      <c r="E59" s="10" t="s">
        <v>43</v>
      </c>
      <c r="G59" s="38" t="e">
        <f>SUM(B48:B59)+G58+B37-#REF!</f>
        <v>#REF!</v>
      </c>
      <c r="H59" s="38"/>
      <c r="I59" s="38" t="e">
        <f>SUM(D48:D59)+I58+D37-#REF!</f>
        <v>#REF!</v>
      </c>
    </row>
    <row r="60" spans="1:9">
      <c r="A60" s="130"/>
      <c r="B60" s="124"/>
      <c r="C60" s="14"/>
      <c r="D60" s="14"/>
    </row>
    <row r="61" spans="1:9">
      <c r="A61" s="138" t="s">
        <v>42</v>
      </c>
      <c r="B61" s="124"/>
      <c r="C61" s="14"/>
      <c r="D61" s="14"/>
    </row>
    <row r="62" spans="1:9">
      <c r="A62" s="130" t="s">
        <v>38</v>
      </c>
      <c r="B62" s="14" t="e">
        <f>#REF!*0</f>
        <v>#REF!</v>
      </c>
      <c r="C62" s="142">
        <v>0</v>
      </c>
      <c r="D62" s="14" t="e">
        <f t="shared" ref="D62:D73" si="4">B62*C62</f>
        <v>#REF!</v>
      </c>
      <c r="E62" s="10" t="s">
        <v>43</v>
      </c>
    </row>
    <row r="63" spans="1:9">
      <c r="A63" s="130" t="s">
        <v>32</v>
      </c>
      <c r="B63" s="14" t="e">
        <f>#REF!</f>
        <v>#REF!</v>
      </c>
      <c r="C63" s="14">
        <v>0</v>
      </c>
      <c r="D63" s="14" t="e">
        <f t="shared" si="4"/>
        <v>#REF!</v>
      </c>
      <c r="E63" s="10" t="s">
        <v>21</v>
      </c>
    </row>
    <row r="64" spans="1:9">
      <c r="A64" s="130" t="s">
        <v>25</v>
      </c>
      <c r="B64" s="14" t="e">
        <f>#REF!</f>
        <v>#REF!</v>
      </c>
      <c r="C64" s="14" t="e">
        <f>#REF!</f>
        <v>#REF!</v>
      </c>
      <c r="D64" s="14" t="e">
        <f t="shared" si="4"/>
        <v>#REF!</v>
      </c>
      <c r="E64" s="10" t="s">
        <v>21</v>
      </c>
    </row>
    <row r="65" spans="1:11">
      <c r="A65" s="130" t="s">
        <v>22</v>
      </c>
      <c r="B65" s="14" t="e">
        <f>#REF!</f>
        <v>#REF!</v>
      </c>
      <c r="C65" s="14" t="e">
        <f>#REF!</f>
        <v>#REF!</v>
      </c>
      <c r="D65" s="14" t="e">
        <f t="shared" si="4"/>
        <v>#REF!</v>
      </c>
      <c r="E65" s="10" t="s">
        <v>21</v>
      </c>
    </row>
    <row r="66" spans="1:11">
      <c r="A66" s="130" t="s">
        <v>30</v>
      </c>
      <c r="B66" s="14" t="e">
        <f>(#REF!+#REF!+#REF!+#REF!+#REF!+#REF!)*0</f>
        <v>#REF!</v>
      </c>
      <c r="C66" s="14" t="e">
        <f>C37</f>
        <v>#REF!</v>
      </c>
      <c r="D66" s="14" t="e">
        <f t="shared" si="4"/>
        <v>#REF!</v>
      </c>
      <c r="E66" s="10" t="s">
        <v>43</v>
      </c>
    </row>
    <row r="67" spans="1:11">
      <c r="A67" s="130" t="s">
        <v>20</v>
      </c>
      <c r="B67" s="14" t="e">
        <f>#REF!+#REF!</f>
        <v>#REF!</v>
      </c>
      <c r="C67" s="14" t="e">
        <f>#REF!</f>
        <v>#REF!</v>
      </c>
      <c r="D67" s="14" t="e">
        <f t="shared" si="4"/>
        <v>#REF!</v>
      </c>
      <c r="E67" s="10" t="s">
        <v>21</v>
      </c>
    </row>
    <row r="68" spans="1:11">
      <c r="A68" s="130" t="s">
        <v>26</v>
      </c>
      <c r="B68" s="14" t="e">
        <f>#REF!*0</f>
        <v>#REF!</v>
      </c>
      <c r="C68" s="14">
        <f>C32</f>
        <v>0</v>
      </c>
      <c r="D68" s="14" t="e">
        <f t="shared" si="4"/>
        <v>#REF!</v>
      </c>
      <c r="E68" s="10" t="s">
        <v>27</v>
      </c>
    </row>
    <row r="69" spans="1:11">
      <c r="A69" s="130" t="s">
        <v>247</v>
      </c>
      <c r="B69" s="14" t="e">
        <f>#REF!*0</f>
        <v>#REF!</v>
      </c>
      <c r="C69" s="14" t="e">
        <f>C48</f>
        <v>#REF!</v>
      </c>
      <c r="D69" s="14" t="e">
        <f t="shared" si="4"/>
        <v>#REF!</v>
      </c>
      <c r="E69" s="10" t="s">
        <v>43</v>
      </c>
    </row>
    <row r="70" spans="1:11">
      <c r="A70" s="130" t="s">
        <v>231</v>
      </c>
      <c r="B70" s="14" t="e">
        <f>#REF!*0</f>
        <v>#REF!</v>
      </c>
      <c r="C70" s="14" t="e">
        <f>C48</f>
        <v>#REF!</v>
      </c>
      <c r="D70" s="14" t="e">
        <f t="shared" si="4"/>
        <v>#REF!</v>
      </c>
      <c r="E70" s="10" t="s">
        <v>43</v>
      </c>
    </row>
    <row r="71" spans="1:11">
      <c r="A71" s="130" t="s">
        <v>41</v>
      </c>
      <c r="B71" s="14" t="e">
        <f>#REF!*0</f>
        <v>#REF!</v>
      </c>
      <c r="C71" s="14">
        <v>0</v>
      </c>
      <c r="D71" s="14" t="e">
        <f t="shared" si="4"/>
        <v>#REF!</v>
      </c>
      <c r="E71" s="10" t="s">
        <v>43</v>
      </c>
    </row>
    <row r="72" spans="1:11">
      <c r="A72" s="130" t="s">
        <v>40</v>
      </c>
      <c r="B72" s="14" t="e">
        <f>#REF!*0</f>
        <v>#REF!</v>
      </c>
      <c r="C72" s="14" t="e">
        <f>C56</f>
        <v>#REF!</v>
      </c>
      <c r="D72" s="14">
        <v>0</v>
      </c>
      <c r="E72" s="10" t="s">
        <v>43</v>
      </c>
    </row>
    <row r="73" spans="1:11">
      <c r="A73" s="130" t="s">
        <v>27</v>
      </c>
      <c r="B73" s="14">
        <v>0</v>
      </c>
      <c r="C73" s="14">
        <v>0</v>
      </c>
      <c r="D73" s="14">
        <f t="shared" si="4"/>
        <v>0</v>
      </c>
      <c r="G73" s="14" t="e">
        <f>SUM(B62:B73)-#REF!-#REF!</f>
        <v>#REF!</v>
      </c>
    </row>
    <row r="74" spans="1:11">
      <c r="B74" s="14" t="e">
        <f>B154</f>
        <v>#REF!</v>
      </c>
      <c r="C74" s="14" t="e">
        <f>D74/B74</f>
        <v>#REF!</v>
      </c>
      <c r="D74" s="14" t="e">
        <f>D154</f>
        <v>#REF!</v>
      </c>
    </row>
    <row r="75" spans="1:11">
      <c r="A75" s="135" t="s">
        <v>44</v>
      </c>
      <c r="B75" s="136" t="e">
        <f>SUM(B34:B74)</f>
        <v>#REF!</v>
      </c>
      <c r="C75" s="136" t="e">
        <f>D75/B75</f>
        <v>#REF!</v>
      </c>
      <c r="D75" s="136" t="e">
        <f>SUM(D34:D74)</f>
        <v>#REF!</v>
      </c>
      <c r="E75" s="14" t="e">
        <f>B75-B20</f>
        <v>#REF!</v>
      </c>
      <c r="F75" s="14"/>
    </row>
    <row r="76" spans="1:11">
      <c r="B76" s="14" t="e">
        <f>B75-B20+B121</f>
        <v>#REF!</v>
      </c>
      <c r="C76" s="14"/>
      <c r="D76" s="14"/>
    </row>
    <row r="77" spans="1:11">
      <c r="A77" s="10" t="s">
        <v>45</v>
      </c>
      <c r="B77" s="14">
        <f>B20</f>
        <v>493775.7</v>
      </c>
      <c r="C77" s="14" t="e">
        <f>C20-C75</f>
        <v>#REF!</v>
      </c>
      <c r="D77" s="14" t="e">
        <f>B77*C77</f>
        <v>#REF!</v>
      </c>
      <c r="E77" s="38" t="e">
        <f>D77+E93</f>
        <v>#REF!</v>
      </c>
      <c r="F77" s="38" t="e">
        <f>#REF!-#REF!</f>
        <v>#REF!</v>
      </c>
      <c r="G77" s="38" t="e">
        <f>+E77-F77</f>
        <v>#REF!</v>
      </c>
      <c r="H77" s="38" t="e">
        <f>D20-D75</f>
        <v>#REF!</v>
      </c>
      <c r="I77" s="14" t="e">
        <f>#REF!-#REF!-#REF!</f>
        <v>#REF!</v>
      </c>
      <c r="J77" s="38" t="e">
        <f>H77-I77</f>
        <v>#REF!</v>
      </c>
      <c r="K77" s="10" t="e">
        <f>J77/B76</f>
        <v>#REF!</v>
      </c>
    </row>
    <row r="78" spans="1:11">
      <c r="B78" s="14"/>
      <c r="C78" s="14"/>
      <c r="D78" s="14"/>
      <c r="E78" s="38"/>
      <c r="F78" s="38"/>
      <c r="G78" s="38"/>
      <c r="H78" s="38"/>
    </row>
    <row r="79" spans="1:11">
      <c r="A79" s="10" t="s">
        <v>46</v>
      </c>
      <c r="B79" s="14"/>
      <c r="C79" s="14"/>
      <c r="D79" s="14" t="e">
        <f>#REF!</f>
        <v>#REF!</v>
      </c>
      <c r="E79" s="38" t="e">
        <f>D79</f>
        <v>#REF!</v>
      </c>
      <c r="F79" s="38" t="e">
        <f>#REF!</f>
        <v>#REF!</v>
      </c>
      <c r="G79" s="38" t="e">
        <f>+E79-F79</f>
        <v>#REF!</v>
      </c>
      <c r="H79" s="38" t="e">
        <f>D79</f>
        <v>#REF!</v>
      </c>
      <c r="I79" s="38" t="e">
        <f>#REF!</f>
        <v>#REF!</v>
      </c>
      <c r="J79" s="38" t="e">
        <f>H79-I79</f>
        <v>#REF!</v>
      </c>
    </row>
    <row r="80" spans="1:11">
      <c r="A80" s="10" t="s">
        <v>47</v>
      </c>
      <c r="B80" s="14"/>
      <c r="C80" s="14"/>
      <c r="D80" s="14" t="e">
        <f>#REF!</f>
        <v>#REF!</v>
      </c>
      <c r="E80" s="38" t="e">
        <f>D80</f>
        <v>#REF!</v>
      </c>
      <c r="F80" s="38" t="e">
        <f>#REF!</f>
        <v>#REF!</v>
      </c>
      <c r="G80" s="38" t="e">
        <f>+E80-F80</f>
        <v>#REF!</v>
      </c>
      <c r="H80" s="38" t="e">
        <f>D80</f>
        <v>#REF!</v>
      </c>
      <c r="I80" s="38" t="e">
        <f>#REF!</f>
        <v>#REF!</v>
      </c>
      <c r="J80" s="38" t="e">
        <f>H80-I80</f>
        <v>#REF!</v>
      </c>
    </row>
    <row r="81" spans="1:10">
      <c r="A81" s="10" t="s">
        <v>48</v>
      </c>
      <c r="B81" s="14"/>
      <c r="C81" s="14"/>
      <c r="D81" s="14" t="e">
        <f>#REF!+#REF!</f>
        <v>#REF!</v>
      </c>
      <c r="E81" s="38" t="e">
        <f>D81</f>
        <v>#REF!</v>
      </c>
      <c r="F81" s="38" t="e">
        <f>#REF!+#REF!</f>
        <v>#REF!</v>
      </c>
      <c r="G81" s="38" t="e">
        <f>+E81-F81</f>
        <v>#REF!</v>
      </c>
      <c r="H81" s="38" t="e">
        <f>D81</f>
        <v>#REF!</v>
      </c>
      <c r="I81" s="38" t="e">
        <f>#REF!+#REF!</f>
        <v>#REF!</v>
      </c>
      <c r="J81" s="38" t="e">
        <f>H81-I81</f>
        <v>#REF!</v>
      </c>
    </row>
    <row r="82" spans="1:10">
      <c r="A82" s="10" t="s">
        <v>49</v>
      </c>
      <c r="B82" s="14"/>
      <c r="C82" s="14"/>
      <c r="D82" s="14" t="e">
        <f>#REF!</f>
        <v>#REF!</v>
      </c>
      <c r="E82" s="38" t="e">
        <f>D82</f>
        <v>#REF!</v>
      </c>
      <c r="F82" s="38" t="e">
        <f>#REF!</f>
        <v>#REF!</v>
      </c>
      <c r="G82" s="38" t="e">
        <f>+E82-F82</f>
        <v>#REF!</v>
      </c>
      <c r="H82" s="38" t="e">
        <f>D82</f>
        <v>#REF!</v>
      </c>
      <c r="I82" s="38" t="e">
        <f>#REF!</f>
        <v>#REF!</v>
      </c>
      <c r="J82" s="38" t="e">
        <f>H82-I82</f>
        <v>#REF!</v>
      </c>
    </row>
    <row r="83" spans="1:10">
      <c r="A83" s="10" t="s">
        <v>50</v>
      </c>
      <c r="B83" s="14"/>
      <c r="C83" s="14"/>
      <c r="D83" s="14" t="e">
        <f>SUM(#REF!)-#REF!</f>
        <v>#REF!</v>
      </c>
      <c r="E83" s="38" t="e">
        <f>D83</f>
        <v>#REF!</v>
      </c>
      <c r="F83" s="38" t="e">
        <f>#REF!-#REF!</f>
        <v>#REF!</v>
      </c>
      <c r="G83" s="38" t="e">
        <f>+E83-F83</f>
        <v>#REF!</v>
      </c>
      <c r="H83" s="38" t="e">
        <f>D83</f>
        <v>#REF!</v>
      </c>
      <c r="I83" s="38" t="e">
        <f>#REF!-#REF!</f>
        <v>#REF!</v>
      </c>
      <c r="J83" s="38" t="e">
        <f>H83-I83</f>
        <v>#REF!</v>
      </c>
    </row>
    <row r="84" spans="1:10">
      <c r="B84" s="14"/>
      <c r="C84" s="14"/>
      <c r="D84" s="14"/>
      <c r="E84" s="38"/>
      <c r="F84" s="38"/>
      <c r="G84" s="38"/>
      <c r="H84" s="38"/>
    </row>
    <row r="85" spans="1:10">
      <c r="A85" s="10" t="s">
        <v>51</v>
      </c>
      <c r="B85" s="14"/>
      <c r="C85" s="14"/>
      <c r="D85" s="14" t="e">
        <f t="shared" ref="D85:I85" si="5">SUM(D79:D84)</f>
        <v>#REF!</v>
      </c>
      <c r="E85" s="38" t="e">
        <f t="shared" si="5"/>
        <v>#REF!</v>
      </c>
      <c r="F85" s="38" t="e">
        <f t="shared" si="5"/>
        <v>#REF!</v>
      </c>
      <c r="G85" s="38" t="e">
        <f t="shared" si="5"/>
        <v>#REF!</v>
      </c>
      <c r="H85" s="38" t="e">
        <f t="shared" si="5"/>
        <v>#REF!</v>
      </c>
      <c r="I85" s="38" t="e">
        <f t="shared" si="5"/>
        <v>#REF!</v>
      </c>
    </row>
    <row r="86" spans="1:10">
      <c r="B86" s="14"/>
      <c r="C86" s="14"/>
      <c r="D86" s="14"/>
      <c r="E86" s="38"/>
      <c r="F86" s="38"/>
      <c r="G86" s="38"/>
      <c r="H86" s="38"/>
    </row>
    <row r="87" spans="1:10">
      <c r="A87" s="135" t="s">
        <v>52</v>
      </c>
      <c r="B87" s="136"/>
      <c r="C87" s="136"/>
      <c r="D87" s="136" t="e">
        <f t="shared" ref="D87:I87" si="6">D77-D85</f>
        <v>#REF!</v>
      </c>
      <c r="E87" s="38" t="e">
        <f t="shared" si="6"/>
        <v>#REF!</v>
      </c>
      <c r="F87" s="38" t="e">
        <f t="shared" si="6"/>
        <v>#REF!</v>
      </c>
      <c r="G87" s="38" t="e">
        <f t="shared" si="6"/>
        <v>#REF!</v>
      </c>
      <c r="H87" s="38" t="e">
        <f t="shared" si="6"/>
        <v>#REF!</v>
      </c>
      <c r="I87" s="38" t="e">
        <f t="shared" si="6"/>
        <v>#REF!</v>
      </c>
    </row>
    <row r="88" spans="1:10">
      <c r="B88" s="14"/>
      <c r="C88" s="14"/>
      <c r="D88" s="14"/>
      <c r="E88" s="38"/>
      <c r="F88" s="38"/>
      <c r="G88" s="38"/>
      <c r="H88" s="38"/>
    </row>
    <row r="89" spans="1:10">
      <c r="A89" s="10" t="s">
        <v>53</v>
      </c>
      <c r="B89" s="14"/>
      <c r="C89" s="14"/>
      <c r="D89" s="14" t="e">
        <f>#REF!</f>
        <v>#REF!</v>
      </c>
      <c r="E89" s="38" t="e">
        <f>D89</f>
        <v>#REF!</v>
      </c>
      <c r="F89" s="38" t="e">
        <f>#REF!</f>
        <v>#REF!</v>
      </c>
      <c r="G89" s="38" t="e">
        <f>+E89-F89</f>
        <v>#REF!</v>
      </c>
      <c r="H89" s="38" t="e">
        <f>D89</f>
        <v>#REF!</v>
      </c>
      <c r="I89" s="38" t="e">
        <f>#REF!</f>
        <v>#REF!</v>
      </c>
      <c r="J89" s="38" t="e">
        <f>H89-I89</f>
        <v>#REF!</v>
      </c>
    </row>
    <row r="90" spans="1:10">
      <c r="A90" s="10" t="s">
        <v>287</v>
      </c>
      <c r="B90" s="14"/>
      <c r="C90" s="14"/>
      <c r="D90" s="14" t="e">
        <f>C129*0</f>
        <v>#REF!</v>
      </c>
      <c r="E90" s="38" t="e">
        <f>D90</f>
        <v>#REF!</v>
      </c>
      <c r="F90" s="38">
        <v>0</v>
      </c>
      <c r="G90" s="38" t="e">
        <f>+E90-F90</f>
        <v>#REF!</v>
      </c>
      <c r="H90" s="38" t="e">
        <f>D90</f>
        <v>#REF!</v>
      </c>
      <c r="I90" s="10">
        <v>0</v>
      </c>
      <c r="J90" s="38" t="e">
        <f>H90-I90</f>
        <v>#REF!</v>
      </c>
    </row>
    <row r="91" spans="1:10">
      <c r="A91" s="10" t="s">
        <v>54</v>
      </c>
      <c r="B91" s="14"/>
      <c r="C91" s="14"/>
      <c r="D91" s="14" t="e">
        <f>#REF!</f>
        <v>#REF!</v>
      </c>
      <c r="E91" s="38" t="e">
        <f>D91</f>
        <v>#REF!</v>
      </c>
      <c r="F91" s="38"/>
      <c r="G91" s="38" t="e">
        <f>+E91-F91</f>
        <v>#REF!</v>
      </c>
      <c r="H91" s="38" t="e">
        <f>D91</f>
        <v>#REF!</v>
      </c>
      <c r="I91" s="10">
        <v>0</v>
      </c>
      <c r="J91" s="38" t="e">
        <f>H91-I91</f>
        <v>#REF!</v>
      </c>
    </row>
    <row r="92" spans="1:10">
      <c r="A92" s="10" t="s">
        <v>55</v>
      </c>
      <c r="B92" s="14"/>
      <c r="C92" s="14"/>
      <c r="D92" s="14" t="e">
        <f>-#REF!</f>
        <v>#REF!</v>
      </c>
      <c r="E92" s="38" t="e">
        <f>D92</f>
        <v>#REF!</v>
      </c>
      <c r="F92" s="38" t="e">
        <f>-#REF!</f>
        <v>#REF!</v>
      </c>
      <c r="G92" s="38" t="e">
        <f>+E92-F92</f>
        <v>#REF!</v>
      </c>
      <c r="H92" s="38" t="e">
        <f>D92</f>
        <v>#REF!</v>
      </c>
      <c r="I92" s="38" t="e">
        <f>-#REF!</f>
        <v>#REF!</v>
      </c>
      <c r="J92" s="38" t="e">
        <f>H92-I92</f>
        <v>#REF!</v>
      </c>
    </row>
    <row r="93" spans="1:10">
      <c r="A93" s="10" t="s">
        <v>56</v>
      </c>
      <c r="B93" s="14"/>
      <c r="C93" s="14"/>
      <c r="D93" s="14" t="e">
        <f>-D120</f>
        <v>#REF!</v>
      </c>
      <c r="E93" s="38" t="e">
        <f>D93</f>
        <v>#REF!</v>
      </c>
      <c r="F93" s="38"/>
      <c r="G93" s="38"/>
      <c r="H93" s="38"/>
      <c r="I93" s="38" t="e">
        <f>-SUM(#REF!)</f>
        <v>#REF!</v>
      </c>
      <c r="J93" s="38" t="e">
        <f>H93-I93</f>
        <v>#REF!</v>
      </c>
    </row>
    <row r="94" spans="1:10">
      <c r="B94" s="14"/>
      <c r="C94" s="14"/>
      <c r="D94" s="14"/>
      <c r="E94" s="38"/>
      <c r="F94" s="38"/>
      <c r="G94" s="38"/>
      <c r="H94" s="38"/>
    </row>
    <row r="95" spans="1:10">
      <c r="A95" s="135" t="s">
        <v>57</v>
      </c>
      <c r="B95" s="136"/>
      <c r="C95" s="136"/>
      <c r="D95" s="136" t="e">
        <f t="shared" ref="D95:I95" si="7">SUM(D89:D94)</f>
        <v>#REF!</v>
      </c>
      <c r="E95" s="38" t="e">
        <f t="shared" si="7"/>
        <v>#REF!</v>
      </c>
      <c r="F95" s="38" t="e">
        <f t="shared" si="7"/>
        <v>#REF!</v>
      </c>
      <c r="G95" s="38" t="e">
        <f t="shared" si="7"/>
        <v>#REF!</v>
      </c>
      <c r="H95" s="38" t="e">
        <f t="shared" si="7"/>
        <v>#REF!</v>
      </c>
      <c r="I95" s="38" t="e">
        <f t="shared" si="7"/>
        <v>#REF!</v>
      </c>
    </row>
    <row r="96" spans="1:10">
      <c r="B96" s="14"/>
      <c r="C96" s="14"/>
      <c r="D96" s="14"/>
      <c r="E96" s="38"/>
      <c r="F96" s="38"/>
      <c r="G96" s="38"/>
      <c r="H96" s="38"/>
    </row>
    <row r="97" spans="1:9">
      <c r="A97" s="135" t="s">
        <v>58</v>
      </c>
      <c r="B97" s="136"/>
      <c r="C97" s="136"/>
      <c r="D97" s="136" t="e">
        <f t="shared" ref="D97:I97" si="8">D87+D95</f>
        <v>#REF!</v>
      </c>
      <c r="E97" s="38" t="e">
        <f t="shared" si="8"/>
        <v>#REF!</v>
      </c>
      <c r="F97" s="38" t="e">
        <f t="shared" si="8"/>
        <v>#REF!</v>
      </c>
      <c r="G97" s="38" t="e">
        <f t="shared" si="8"/>
        <v>#REF!</v>
      </c>
      <c r="H97" s="38" t="e">
        <f t="shared" si="8"/>
        <v>#REF!</v>
      </c>
      <c r="I97" s="38" t="e">
        <f t="shared" si="8"/>
        <v>#REF!</v>
      </c>
    </row>
    <row r="98" spans="1:9">
      <c r="B98" s="14"/>
      <c r="C98" s="14"/>
      <c r="D98" s="14"/>
      <c r="E98" s="38"/>
      <c r="F98" s="38"/>
      <c r="G98" s="38"/>
      <c r="H98" s="38"/>
    </row>
    <row r="99" spans="1:9">
      <c r="B99" s="14"/>
      <c r="C99" s="14"/>
      <c r="D99" s="14"/>
      <c r="E99" s="38"/>
      <c r="F99" s="38"/>
      <c r="G99" s="38"/>
      <c r="H99" s="38"/>
    </row>
    <row r="100" spans="1:9">
      <c r="A100" s="10" t="s">
        <v>59</v>
      </c>
      <c r="B100" s="14" t="e">
        <f>#REF!+#REF!</f>
        <v>#REF!</v>
      </c>
      <c r="C100" s="14"/>
      <c r="D100" s="14"/>
      <c r="E100" s="38"/>
      <c r="F100" s="38"/>
      <c r="G100" s="38"/>
      <c r="H100" s="38"/>
    </row>
    <row r="101" spans="1:9">
      <c r="A101" s="10" t="s">
        <v>60</v>
      </c>
      <c r="B101" s="14" t="e">
        <f>#REF!+#REF!</f>
        <v>#REF!</v>
      </c>
      <c r="C101" s="14"/>
      <c r="D101" s="14"/>
      <c r="E101" s="38"/>
      <c r="F101" s="38"/>
      <c r="G101" s="38"/>
      <c r="H101" s="38"/>
    </row>
    <row r="102" spans="1:9">
      <c r="B102" s="14" t="e">
        <f>B101-B100</f>
        <v>#REF!</v>
      </c>
      <c r="C102" s="14"/>
      <c r="D102" s="14"/>
      <c r="E102" s="38"/>
      <c r="F102" s="38"/>
      <c r="G102" s="38"/>
      <c r="H102" s="38"/>
    </row>
    <row r="103" spans="1:9">
      <c r="B103" s="14"/>
      <c r="C103" s="14"/>
      <c r="D103" s="14"/>
      <c r="E103" s="38"/>
      <c r="F103" s="38"/>
      <c r="G103" s="38"/>
      <c r="H103" s="38"/>
    </row>
    <row r="104" spans="1:9">
      <c r="B104" s="14"/>
      <c r="C104" s="14"/>
      <c r="D104" s="14"/>
    </row>
    <row r="105" spans="1:9">
      <c r="B105" s="14"/>
      <c r="C105" s="14"/>
      <c r="D105" s="14"/>
    </row>
    <row r="106" spans="1:9">
      <c r="B106" s="14"/>
      <c r="C106" s="14"/>
      <c r="D106" s="14"/>
    </row>
    <row r="107" spans="1:9">
      <c r="A107" s="10" t="s">
        <v>59</v>
      </c>
      <c r="B107" s="14" t="e">
        <f>B100</f>
        <v>#REF!</v>
      </c>
      <c r="C107" s="14"/>
      <c r="D107" s="14"/>
    </row>
    <row r="108" spans="1:9">
      <c r="A108" s="10" t="s">
        <v>61</v>
      </c>
      <c r="B108" s="14" t="e">
        <f>#REF!</f>
        <v>#REF!</v>
      </c>
      <c r="C108" s="14"/>
      <c r="D108" s="14"/>
    </row>
    <row r="109" spans="1:9">
      <c r="A109" s="10" t="s">
        <v>62</v>
      </c>
      <c r="B109" s="14" t="e">
        <f>-#REF!</f>
        <v>#REF!</v>
      </c>
      <c r="C109" s="14"/>
      <c r="D109" s="14"/>
    </row>
    <row r="110" spans="1:9">
      <c r="A110" s="10" t="s">
        <v>60</v>
      </c>
      <c r="B110" s="14" t="e">
        <f>-B101</f>
        <v>#REF!</v>
      </c>
      <c r="C110" s="14"/>
      <c r="D110" s="14"/>
    </row>
    <row r="111" spans="1:9">
      <c r="B111" s="14"/>
      <c r="C111" s="14"/>
      <c r="D111" s="14"/>
    </row>
    <row r="112" spans="1:9">
      <c r="B112" s="14" t="e">
        <f>SUM(B107:B111)</f>
        <v>#REF!</v>
      </c>
      <c r="C112" s="14"/>
      <c r="D112" s="14"/>
    </row>
    <row r="113" spans="1:4">
      <c r="B113" s="14"/>
      <c r="C113" s="14"/>
      <c r="D113" s="14"/>
    </row>
    <row r="114" spans="1:4">
      <c r="B114" s="14"/>
      <c r="C114" s="14"/>
      <c r="D114" s="14"/>
    </row>
    <row r="115" spans="1:4">
      <c r="B115" s="14"/>
      <c r="C115" s="14"/>
      <c r="D115" s="14"/>
    </row>
    <row r="116" spans="1:4">
      <c r="B116" s="14"/>
      <c r="C116" s="14"/>
      <c r="D116" s="14"/>
    </row>
    <row r="117" spans="1:4">
      <c r="A117" s="10" t="s">
        <v>60</v>
      </c>
      <c r="B117" s="14" t="e">
        <f>-#REF!-#REF!-#REF!</f>
        <v>#REF!</v>
      </c>
      <c r="C117" s="14" t="e">
        <f>-D117/B117</f>
        <v>#REF!</v>
      </c>
      <c r="D117" s="14" t="e">
        <f>#REF!+#REF!+#REF!</f>
        <v>#REF!</v>
      </c>
    </row>
    <row r="118" spans="1:4">
      <c r="A118" s="10" t="s">
        <v>63</v>
      </c>
      <c r="B118" s="14" t="e">
        <f>#REF!+#REF!+#REF!</f>
        <v>#REF!</v>
      </c>
      <c r="C118" s="14" t="e">
        <f>D118/B118</f>
        <v>#REF!</v>
      </c>
      <c r="D118" s="14" t="e">
        <f>#REF!+#REF!+#REF!</f>
        <v>#REF!</v>
      </c>
    </row>
    <row r="119" spans="1:4">
      <c r="A119" s="10" t="s">
        <v>64</v>
      </c>
      <c r="B119" s="14" t="e">
        <f>SUM(B117:B118)</f>
        <v>#REF!</v>
      </c>
      <c r="C119" s="14" t="e">
        <f>SUM(C117:C118)</f>
        <v>#REF!</v>
      </c>
      <c r="D119" s="14" t="e">
        <f>B119*C119</f>
        <v>#REF!</v>
      </c>
    </row>
    <row r="120" spans="1:4">
      <c r="A120" s="10" t="s">
        <v>56</v>
      </c>
      <c r="B120" s="14"/>
      <c r="D120" s="14" t="e">
        <f>B118*C119</f>
        <v>#REF!</v>
      </c>
    </row>
    <row r="121" spans="1:4">
      <c r="B121" s="14" t="e">
        <f>SUM(B117:B118)</f>
        <v>#REF!</v>
      </c>
      <c r="C121" s="10" t="e">
        <f>D121/B121</f>
        <v>#REF!</v>
      </c>
      <c r="D121" s="14" t="e">
        <f>SUM(D117:D118)</f>
        <v>#REF!</v>
      </c>
    </row>
    <row r="122" spans="1:4">
      <c r="B122" s="14"/>
      <c r="C122" s="14"/>
      <c r="D122" s="14"/>
    </row>
    <row r="123" spans="1:4">
      <c r="B123" s="14"/>
      <c r="C123" s="14"/>
      <c r="D123" s="14"/>
    </row>
    <row r="124" spans="1:4">
      <c r="B124" s="14"/>
      <c r="C124" s="14"/>
      <c r="D124" s="14"/>
    </row>
    <row r="125" spans="1:4">
      <c r="B125" s="14"/>
      <c r="C125" s="14"/>
      <c r="D125" s="14"/>
    </row>
    <row r="126" spans="1:4">
      <c r="A126" s="10" t="s">
        <v>65</v>
      </c>
      <c r="B126" s="38" t="e">
        <f>#REF!</f>
        <v>#REF!</v>
      </c>
      <c r="C126" s="14"/>
      <c r="D126" s="14"/>
    </row>
    <row r="127" spans="1:4">
      <c r="A127" s="10" t="s">
        <v>66</v>
      </c>
      <c r="B127" s="38" t="e">
        <f>B126*1.1</f>
        <v>#REF!</v>
      </c>
      <c r="C127" s="14"/>
      <c r="D127" s="14"/>
    </row>
    <row r="128" spans="1:4">
      <c r="A128" s="10" t="s">
        <v>67</v>
      </c>
      <c r="B128" s="38">
        <v>908000</v>
      </c>
    </row>
    <row r="129" spans="1:8">
      <c r="B129" s="38" t="e">
        <f>+B127-B128</f>
        <v>#REF!</v>
      </c>
      <c r="C129" s="14" t="e">
        <f>B129*6.33</f>
        <v>#REF!</v>
      </c>
    </row>
    <row r="134" spans="1:8">
      <c r="B134" s="14"/>
      <c r="C134" s="14"/>
      <c r="D134" s="14"/>
    </row>
    <row r="135" spans="1:8">
      <c r="B135" s="14"/>
      <c r="C135" s="14"/>
      <c r="D135" s="14"/>
    </row>
    <row r="136" spans="1:8">
      <c r="B136" s="14"/>
      <c r="C136" s="14"/>
      <c r="D136" s="14"/>
    </row>
    <row r="137" spans="1:8">
      <c r="B137" s="14"/>
      <c r="D137" s="14"/>
    </row>
    <row r="138" spans="1:8">
      <c r="B138" s="14"/>
      <c r="D138" s="14"/>
    </row>
    <row r="139" spans="1:8">
      <c r="B139" s="14"/>
      <c r="C139" s="14"/>
      <c r="D139" s="14"/>
    </row>
    <row r="141" spans="1:8">
      <c r="A141" s="10" t="s">
        <v>20</v>
      </c>
      <c r="B141" s="14" t="e">
        <f>D168-109446</f>
        <v>#REF!</v>
      </c>
      <c r="C141" s="14" t="e">
        <f>C26</f>
        <v>#REF!</v>
      </c>
      <c r="D141" s="14" t="e">
        <f>+B141*C141</f>
        <v>#REF!</v>
      </c>
      <c r="F141" s="14" t="e">
        <f>B141+B26+B67</f>
        <v>#REF!</v>
      </c>
      <c r="G141" s="14" t="e">
        <f>B168</f>
        <v>#REF!</v>
      </c>
      <c r="H141" s="14" t="e">
        <f t="shared" ref="H141:H148" si="9">+G141-F141</f>
        <v>#REF!</v>
      </c>
    </row>
    <row r="142" spans="1:8">
      <c r="A142" s="10" t="s">
        <v>20</v>
      </c>
      <c r="B142" s="14" t="e">
        <f>D169-3005.09</f>
        <v>#REF!</v>
      </c>
      <c r="C142" s="14" t="e">
        <f>C40</f>
        <v>#REF!</v>
      </c>
      <c r="D142" s="14" t="e">
        <f>+B142*C142</f>
        <v>#REF!</v>
      </c>
      <c r="F142" s="14" t="e">
        <f>+B40+B142</f>
        <v>#REF!</v>
      </c>
      <c r="G142" s="14" t="e">
        <f>B169</f>
        <v>#REF!</v>
      </c>
      <c r="H142" s="14" t="e">
        <f t="shared" si="9"/>
        <v>#REF!</v>
      </c>
    </row>
    <row r="143" spans="1:8">
      <c r="A143" s="10" t="s">
        <v>13</v>
      </c>
      <c r="B143" s="14" t="e">
        <f>D170-3675.15</f>
        <v>#REF!</v>
      </c>
      <c r="C143" s="14" t="e">
        <f>C27</f>
        <v>#REF!</v>
      </c>
      <c r="D143" s="14" t="e">
        <f>+B143*C143</f>
        <v>#REF!</v>
      </c>
      <c r="F143" s="14" t="e">
        <f>+B27+B143</f>
        <v>#REF!</v>
      </c>
      <c r="G143" s="14" t="e">
        <f>B170</f>
        <v>#REF!</v>
      </c>
      <c r="H143" s="14" t="e">
        <f t="shared" si="9"/>
        <v>#REF!</v>
      </c>
    </row>
    <row r="144" spans="1:8">
      <c r="A144" s="10" t="s">
        <v>23</v>
      </c>
      <c r="B144" s="14" t="e">
        <f>D173-861.58</f>
        <v>#REF!</v>
      </c>
      <c r="C144" s="14" t="e">
        <f>C29</f>
        <v>#REF!</v>
      </c>
      <c r="D144" s="14" t="e">
        <f t="shared" ref="D144:D149" si="10">+B144*C144</f>
        <v>#REF!</v>
      </c>
      <c r="F144" s="14" t="e">
        <f>B144+B29</f>
        <v>#REF!</v>
      </c>
      <c r="G144" s="14" t="e">
        <f>B173</f>
        <v>#REF!</v>
      </c>
      <c r="H144" s="14" t="e">
        <f t="shared" si="9"/>
        <v>#REF!</v>
      </c>
    </row>
    <row r="145" spans="1:8">
      <c r="A145" s="10" t="s">
        <v>22</v>
      </c>
      <c r="B145" s="14" t="e">
        <f>D174-1451.24</f>
        <v>#REF!</v>
      </c>
      <c r="C145" s="14" t="e">
        <f>C28</f>
        <v>#REF!</v>
      </c>
      <c r="D145" s="14" t="e">
        <f t="shared" si="10"/>
        <v>#REF!</v>
      </c>
      <c r="F145" s="14" t="e">
        <f>B145+B42+B28</f>
        <v>#REF!</v>
      </c>
      <c r="G145" s="14" t="e">
        <f>B174</f>
        <v>#REF!</v>
      </c>
      <c r="H145" s="14" t="e">
        <f t="shared" si="9"/>
        <v>#REF!</v>
      </c>
    </row>
    <row r="146" spans="1:8">
      <c r="A146" s="10" t="s">
        <v>32</v>
      </c>
      <c r="B146" s="14" t="e">
        <f>D176-530.31</f>
        <v>#REF!</v>
      </c>
      <c r="C146" s="14" t="e">
        <f>C41</f>
        <v>#REF!</v>
      </c>
      <c r="D146" s="14" t="e">
        <f t="shared" si="10"/>
        <v>#REF!</v>
      </c>
      <c r="F146" s="14" t="e">
        <f>+B41+B146</f>
        <v>#REF!</v>
      </c>
      <c r="G146" s="14" t="e">
        <f>B176</f>
        <v>#REF!</v>
      </c>
      <c r="H146" s="14" t="e">
        <f t="shared" si="9"/>
        <v>#REF!</v>
      </c>
    </row>
    <row r="147" spans="1:8">
      <c r="A147" s="10" t="s">
        <v>302</v>
      </c>
      <c r="B147" s="14" t="e">
        <f>D178-5711.8</f>
        <v>#REF!</v>
      </c>
      <c r="C147" s="14" t="e">
        <f>C31</f>
        <v>#REF!</v>
      </c>
      <c r="D147" s="14" t="e">
        <f t="shared" si="10"/>
        <v>#REF!</v>
      </c>
      <c r="F147" s="14" t="e">
        <f>B147+B31</f>
        <v>#REF!</v>
      </c>
      <c r="G147" s="14" t="e">
        <f>B178</f>
        <v>#REF!</v>
      </c>
      <c r="H147" s="14" t="e">
        <f t="shared" si="9"/>
        <v>#REF!</v>
      </c>
    </row>
    <row r="148" spans="1:8">
      <c r="A148" s="10" t="s">
        <v>24</v>
      </c>
      <c r="B148" s="10">
        <v>-58.75</v>
      </c>
      <c r="C148" s="14" t="e">
        <f>C30</f>
        <v>#REF!</v>
      </c>
      <c r="D148" s="14" t="e">
        <f t="shared" si="10"/>
        <v>#REF!</v>
      </c>
      <c r="F148" s="14" t="e">
        <f>B148+B30</f>
        <v>#REF!</v>
      </c>
      <c r="G148" s="14" t="e">
        <f>B179</f>
        <v>#REF!</v>
      </c>
      <c r="H148" s="14" t="e">
        <f t="shared" si="9"/>
        <v>#REF!</v>
      </c>
    </row>
    <row r="149" spans="1:8">
      <c r="A149" s="10" t="s">
        <v>26</v>
      </c>
      <c r="C149" s="14"/>
      <c r="D149" s="14">
        <f t="shared" si="10"/>
        <v>0</v>
      </c>
    </row>
    <row r="154" spans="1:8">
      <c r="B154" s="10" t="e">
        <f>SUM(B141:B153)</f>
        <v>#REF!</v>
      </c>
      <c r="D154" s="10" t="e">
        <f>SUM(D141:D153)</f>
        <v>#REF!</v>
      </c>
      <c r="H154" s="14" t="e">
        <f>SUM(H141:H153)</f>
        <v>#REF!</v>
      </c>
    </row>
    <row r="155" spans="1:8">
      <c r="B155" s="14" t="e">
        <f>+B76+B154</f>
        <v>#REF!</v>
      </c>
    </row>
    <row r="168" spans="1:6" ht="15">
      <c r="A168" t="s">
        <v>277</v>
      </c>
      <c r="B168" s="132" t="e">
        <f>#REF!</f>
        <v>#REF!</v>
      </c>
      <c r="C168" s="132" t="e">
        <f>B26</f>
        <v>#REF!</v>
      </c>
      <c r="D168" s="132" t="e">
        <f>#REF!</f>
        <v>#REF!</v>
      </c>
      <c r="E168" s="132" t="e">
        <f>B67</f>
        <v>#REF!</v>
      </c>
      <c r="F168" s="132" t="e">
        <f t="shared" ref="F168:F191" si="11">+B168-C168-E168-D168</f>
        <v>#REF!</v>
      </c>
    </row>
    <row r="169" spans="1:6" ht="15">
      <c r="A169" t="s">
        <v>269</v>
      </c>
      <c r="B169" s="132" t="e">
        <f>#REF!</f>
        <v>#REF!</v>
      </c>
      <c r="C169" s="132" t="e">
        <f>B40</f>
        <v>#REF!</v>
      </c>
      <c r="D169" s="132" t="e">
        <f>#REF!</f>
        <v>#REF!</v>
      </c>
      <c r="E169" s="132"/>
      <c r="F169" s="132" t="e">
        <f t="shared" si="11"/>
        <v>#REF!</v>
      </c>
    </row>
    <row r="170" spans="1:6" ht="15">
      <c r="A170" t="s">
        <v>278</v>
      </c>
      <c r="B170" s="132" t="e">
        <f>#REF!</f>
        <v>#REF!</v>
      </c>
      <c r="C170" s="132" t="e">
        <f>B27</f>
        <v>#REF!</v>
      </c>
      <c r="D170" s="132" t="e">
        <f>#REF!</f>
        <v>#REF!</v>
      </c>
      <c r="E170" s="132"/>
      <c r="F170" s="132" t="e">
        <f t="shared" si="11"/>
        <v>#REF!</v>
      </c>
    </row>
    <row r="171" spans="1:6" ht="15">
      <c r="A171" t="s">
        <v>270</v>
      </c>
      <c r="B171" s="132" t="e">
        <f>#REF!</f>
        <v>#REF!</v>
      </c>
      <c r="C171" s="132"/>
      <c r="D171" s="132" t="e">
        <f>#REF!</f>
        <v>#REF!</v>
      </c>
      <c r="E171" s="132"/>
      <c r="F171" s="132" t="e">
        <f t="shared" si="11"/>
        <v>#REF!</v>
      </c>
    </row>
    <row r="172" spans="1:6" ht="15">
      <c r="A172" t="s">
        <v>271</v>
      </c>
      <c r="B172" s="132" t="e">
        <f>#REF!</f>
        <v>#REF!</v>
      </c>
      <c r="C172" s="132"/>
      <c r="D172" s="132" t="e">
        <f>#REF!</f>
        <v>#REF!</v>
      </c>
      <c r="E172" s="132"/>
      <c r="F172" s="132" t="e">
        <f t="shared" si="11"/>
        <v>#REF!</v>
      </c>
    </row>
    <row r="173" spans="1:6" ht="15">
      <c r="A173" t="s">
        <v>23</v>
      </c>
      <c r="B173" s="132" t="e">
        <f>#REF!</f>
        <v>#REF!</v>
      </c>
      <c r="C173" s="132" t="e">
        <f>B29</f>
        <v>#REF!</v>
      </c>
      <c r="D173" s="132" t="e">
        <f>#REF!</f>
        <v>#REF!</v>
      </c>
      <c r="E173" s="132"/>
      <c r="F173" s="132" t="e">
        <f t="shared" si="11"/>
        <v>#REF!</v>
      </c>
    </row>
    <row r="174" spans="1:6" ht="15">
      <c r="A174" t="s">
        <v>22</v>
      </c>
      <c r="B174" s="132" t="e">
        <f>#REF!</f>
        <v>#REF!</v>
      </c>
      <c r="C174" s="132" t="e">
        <f>+B28+B42</f>
        <v>#REF!</v>
      </c>
      <c r="D174" s="132" t="e">
        <f>#REF!</f>
        <v>#REF!</v>
      </c>
      <c r="E174" s="132" t="e">
        <f>B65</f>
        <v>#REF!</v>
      </c>
      <c r="F174" s="132" t="e">
        <f t="shared" si="11"/>
        <v>#REF!</v>
      </c>
    </row>
    <row r="175" spans="1:6" ht="15">
      <c r="A175" t="s">
        <v>26</v>
      </c>
      <c r="B175" s="132" t="e">
        <f>#REF!</f>
        <v>#REF!</v>
      </c>
      <c r="C175" s="132" t="e">
        <f>B32+B53</f>
        <v>#REF!</v>
      </c>
      <c r="D175" s="132">
        <v>0</v>
      </c>
      <c r="E175" s="132" t="e">
        <f>B68</f>
        <v>#REF!</v>
      </c>
      <c r="F175" s="132" t="e">
        <f t="shared" si="11"/>
        <v>#REF!</v>
      </c>
    </row>
    <row r="176" spans="1:6" ht="15">
      <c r="A176" t="s">
        <v>272</v>
      </c>
      <c r="B176" s="132" t="e">
        <f>#REF!</f>
        <v>#REF!</v>
      </c>
      <c r="C176" s="132" t="e">
        <f>B41</f>
        <v>#REF!</v>
      </c>
      <c r="D176" s="132" t="e">
        <f>#REF!</f>
        <v>#REF!</v>
      </c>
      <c r="E176" s="132" t="e">
        <f>B63</f>
        <v>#REF!</v>
      </c>
      <c r="F176" s="132" t="e">
        <f t="shared" si="11"/>
        <v>#REF!</v>
      </c>
    </row>
    <row r="177" spans="1:6" ht="15">
      <c r="A177" t="s">
        <v>273</v>
      </c>
      <c r="B177" s="132" t="e">
        <f>#REF!</f>
        <v>#REF!</v>
      </c>
      <c r="C177" s="132"/>
      <c r="D177" s="132" t="e">
        <f>#REF!</f>
        <v>#REF!</v>
      </c>
      <c r="E177" s="132"/>
      <c r="F177" s="132" t="e">
        <f t="shared" si="11"/>
        <v>#REF!</v>
      </c>
    </row>
    <row r="178" spans="1:6" ht="15">
      <c r="A178" t="s">
        <v>25</v>
      </c>
      <c r="B178" s="132" t="e">
        <f>#REF!</f>
        <v>#REF!</v>
      </c>
      <c r="C178" s="132" t="e">
        <f>B31</f>
        <v>#REF!</v>
      </c>
      <c r="D178" s="132" t="e">
        <f>#REF!</f>
        <v>#REF!</v>
      </c>
      <c r="E178" s="132" t="e">
        <f>B64</f>
        <v>#REF!</v>
      </c>
      <c r="F178" s="132" t="e">
        <f t="shared" si="11"/>
        <v>#REF!</v>
      </c>
    </row>
    <row r="179" spans="1:6" ht="15">
      <c r="A179" t="s">
        <v>24</v>
      </c>
      <c r="B179" s="132" t="e">
        <f>#REF!</f>
        <v>#REF!</v>
      </c>
      <c r="C179" s="132" t="e">
        <f>B30</f>
        <v>#REF!</v>
      </c>
      <c r="D179" s="132" t="e">
        <f>#REF!</f>
        <v>#REF!</v>
      </c>
      <c r="E179" s="132"/>
      <c r="F179" s="132" t="e">
        <f t="shared" si="11"/>
        <v>#REF!</v>
      </c>
    </row>
    <row r="180" spans="1:6" ht="15">
      <c r="A180" t="s">
        <v>228</v>
      </c>
      <c r="B180" s="132" t="e">
        <f>#REF!</f>
        <v>#REF!</v>
      </c>
      <c r="C180" s="132" t="e">
        <f>B50</f>
        <v>#REF!</v>
      </c>
      <c r="D180" s="132"/>
      <c r="E180" s="132"/>
      <c r="F180" s="132" t="e">
        <f t="shared" si="11"/>
        <v>#REF!</v>
      </c>
    </row>
    <row r="181" spans="1:6" ht="15">
      <c r="A181" t="s">
        <v>30</v>
      </c>
      <c r="B181" s="132" t="e">
        <f>#REF!</f>
        <v>#REF!</v>
      </c>
      <c r="C181" s="132" t="e">
        <f>B37</f>
        <v>#REF!</v>
      </c>
      <c r="D181" s="132"/>
      <c r="E181" s="132" t="e">
        <f>B66</f>
        <v>#REF!</v>
      </c>
      <c r="F181" s="132" t="e">
        <f t="shared" si="11"/>
        <v>#REF!</v>
      </c>
    </row>
    <row r="182" spans="1:6" ht="15">
      <c r="A182" t="s">
        <v>274</v>
      </c>
      <c r="B182" s="132" t="e">
        <f>#REF!</f>
        <v>#REF!</v>
      </c>
      <c r="C182" s="132" t="e">
        <f>B51</f>
        <v>#REF!</v>
      </c>
      <c r="D182" s="132"/>
      <c r="E182" s="132" t="e">
        <f>B69</f>
        <v>#REF!</v>
      </c>
      <c r="F182" s="132" t="e">
        <f t="shared" si="11"/>
        <v>#REF!</v>
      </c>
    </row>
    <row r="183" spans="1:6" ht="15">
      <c r="A183" t="s">
        <v>27</v>
      </c>
      <c r="B183" s="132" t="e">
        <f>#REF!</f>
        <v>#REF!</v>
      </c>
      <c r="C183" s="132" t="e">
        <f>B57</f>
        <v>#REF!</v>
      </c>
      <c r="D183" s="132"/>
      <c r="E183" s="132">
        <f>B73</f>
        <v>0</v>
      </c>
      <c r="F183" s="132" t="e">
        <f t="shared" si="11"/>
        <v>#REF!</v>
      </c>
    </row>
    <row r="184" spans="1:6" ht="15">
      <c r="A184" t="s">
        <v>40</v>
      </c>
      <c r="B184" s="132" t="e">
        <f>#REF!</f>
        <v>#REF!</v>
      </c>
      <c r="C184" s="132" t="e">
        <f>B56</f>
        <v>#REF!</v>
      </c>
      <c r="D184" s="132"/>
      <c r="E184" s="132" t="e">
        <f>B72</f>
        <v>#REF!</v>
      </c>
      <c r="F184" s="132" t="e">
        <f t="shared" si="11"/>
        <v>#REF!</v>
      </c>
    </row>
    <row r="185" spans="1:6" ht="15">
      <c r="A185" t="s">
        <v>275</v>
      </c>
      <c r="B185" s="132" t="e">
        <f>#REF!</f>
        <v>#REF!</v>
      </c>
      <c r="C185" s="132" t="e">
        <f>B48</f>
        <v>#REF!</v>
      </c>
      <c r="D185" s="132"/>
      <c r="E185" s="132" t="e">
        <f>B70</f>
        <v>#REF!</v>
      </c>
      <c r="F185" s="132" t="e">
        <f t="shared" si="11"/>
        <v>#REF!</v>
      </c>
    </row>
    <row r="186" spans="1:6" ht="15">
      <c r="A186" t="s">
        <v>35</v>
      </c>
      <c r="B186" s="132" t="e">
        <f>#REF!</f>
        <v>#REF!</v>
      </c>
      <c r="C186" s="132" t="e">
        <f>B49-C187</f>
        <v>#REF!</v>
      </c>
      <c r="D186" s="132"/>
      <c r="E186" s="132"/>
      <c r="F186" s="132" t="e">
        <f t="shared" si="11"/>
        <v>#REF!</v>
      </c>
    </row>
    <row r="187" spans="1:6" ht="15">
      <c r="A187" t="s">
        <v>276</v>
      </c>
      <c r="B187" s="132" t="e">
        <f>#REF!</f>
        <v>#REF!</v>
      </c>
      <c r="C187" s="132">
        <v>2410.3000000000002</v>
      </c>
      <c r="D187" s="132"/>
      <c r="E187" s="132"/>
      <c r="F187" s="132" t="e">
        <f t="shared" si="11"/>
        <v>#REF!</v>
      </c>
    </row>
    <row r="188" spans="1:6" ht="15">
      <c r="A188" t="s">
        <v>41</v>
      </c>
      <c r="B188" s="132" t="e">
        <f>#REF!</f>
        <v>#REF!</v>
      </c>
      <c r="C188" s="132" t="e">
        <f>B58</f>
        <v>#REF!</v>
      </c>
      <c r="D188" s="132"/>
      <c r="E188" s="132" t="e">
        <f>B71</f>
        <v>#REF!</v>
      </c>
      <c r="F188" s="132" t="e">
        <f t="shared" si="11"/>
        <v>#REF!</v>
      </c>
    </row>
    <row r="189" spans="1:6" ht="15">
      <c r="A189" t="s">
        <v>93</v>
      </c>
      <c r="B189" s="132" t="e">
        <f>#REF!</f>
        <v>#REF!</v>
      </c>
      <c r="C189" s="132" t="e">
        <f>B52</f>
        <v>#REF!</v>
      </c>
      <c r="D189" s="132"/>
      <c r="E189" s="132" t="e">
        <f>B62</f>
        <v>#REF!</v>
      </c>
      <c r="F189" s="132" t="e">
        <f t="shared" si="11"/>
        <v>#REF!</v>
      </c>
    </row>
    <row r="190" spans="1:6" ht="15">
      <c r="A190" t="s">
        <v>227</v>
      </c>
      <c r="B190" s="132" t="e">
        <f>#REF!</f>
        <v>#REF!</v>
      </c>
      <c r="C190" s="132" t="e">
        <f>B54</f>
        <v>#REF!</v>
      </c>
      <c r="D190" s="132"/>
      <c r="E190" s="132"/>
      <c r="F190" s="132" t="e">
        <f t="shared" si="11"/>
        <v>#REF!</v>
      </c>
    </row>
    <row r="191" spans="1:6" ht="15">
      <c r="A191" t="s">
        <v>102</v>
      </c>
      <c r="B191" s="132" t="e">
        <f>#REF!</f>
        <v>#REF!</v>
      </c>
      <c r="C191" s="132" t="e">
        <f>B59</f>
        <v>#REF!</v>
      </c>
      <c r="D191" s="132"/>
      <c r="E191" s="132"/>
      <c r="F191" s="132" t="e">
        <f t="shared" si="11"/>
        <v>#REF!</v>
      </c>
    </row>
    <row r="192" spans="1:6" ht="15">
      <c r="A192"/>
      <c r="B192" s="132"/>
      <c r="C192" s="132"/>
      <c r="D192" s="132"/>
      <c r="E192" s="132"/>
      <c r="F192" s="132"/>
    </row>
    <row r="193" spans="1:6" ht="15">
      <c r="A193"/>
      <c r="B193" s="132" t="e">
        <f>SUM(B168:B192)</f>
        <v>#REF!</v>
      </c>
      <c r="C193" s="132" t="e">
        <f>SUM(C168:C192)</f>
        <v>#REF!</v>
      </c>
      <c r="D193" s="132" t="e">
        <f>SUM(D168:D192)</f>
        <v>#REF!</v>
      </c>
      <c r="E193" s="132" t="e">
        <f>SUM(E168:E192)</f>
        <v>#REF!</v>
      </c>
      <c r="F193" s="132" t="e">
        <f>SUM(F168:F192)</f>
        <v>#REF!</v>
      </c>
    </row>
    <row r="194" spans="1:6" ht="15">
      <c r="A194"/>
      <c r="B194" s="132"/>
      <c r="C194" s="132" t="e">
        <f>B75-SUM(B62:B74)</f>
        <v>#REF!</v>
      </c>
      <c r="D194" s="132"/>
      <c r="E194" s="132" t="e">
        <f>SUM(B62:B73)</f>
        <v>#REF!</v>
      </c>
      <c r="F194" s="132"/>
    </row>
    <row r="195" spans="1:6" ht="15">
      <c r="A195"/>
      <c r="B195" s="132"/>
      <c r="C195" s="132" t="e">
        <f>+C194-C193</f>
        <v>#REF!</v>
      </c>
      <c r="D195" s="132"/>
      <c r="E195" s="132" t="e">
        <f>+E194-E193</f>
        <v>#REF!</v>
      </c>
      <c r="F195" s="132"/>
    </row>
    <row r="196" spans="1:6" ht="15">
      <c r="A196"/>
      <c r="B196"/>
      <c r="C196"/>
      <c r="D196"/>
      <c r="E196"/>
      <c r="F196"/>
    </row>
  </sheetData>
  <mergeCells count="2">
    <mergeCell ref="A1:D1"/>
    <mergeCell ref="A2:D2"/>
  </mergeCells>
  <pageMargins left="0.75" right="0.75" top="1" bottom="1" header="0.5" footer="0.5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/>
  </sheetViews>
  <sheetFormatPr defaultColWidth="9.140625" defaultRowHeight="15"/>
  <cols>
    <col min="1" max="1" width="24" style="105" customWidth="1"/>
    <col min="2" max="2" width="15" style="105" customWidth="1"/>
    <col min="3" max="4" width="12.140625" style="105" customWidth="1"/>
    <col min="5" max="5" width="14.140625" style="105" customWidth="1"/>
    <col min="6" max="6" width="12.140625" style="105" customWidth="1"/>
    <col min="7" max="7" width="18.5703125" style="105" customWidth="1"/>
    <col min="8" max="8" width="14.7109375" style="105" customWidth="1"/>
    <col min="9" max="9" width="13.7109375" style="105" customWidth="1"/>
    <col min="10" max="10" width="16.85546875" style="105" customWidth="1"/>
    <col min="11" max="11" width="7.5703125" style="105" customWidth="1"/>
    <col min="12" max="12" width="14.28515625" style="105" customWidth="1"/>
    <col min="13" max="16384" width="9.140625" style="105"/>
  </cols>
  <sheetData>
    <row r="1" spans="1:12" ht="15" customHeight="1"/>
    <row r="3" spans="1:12" s="104" customFormat="1" ht="15.75" customHeight="1">
      <c r="A3" s="363" t="s">
        <v>69</v>
      </c>
      <c r="B3" s="363" t="s">
        <v>70</v>
      </c>
      <c r="C3" s="365" t="s">
        <v>71</v>
      </c>
      <c r="D3" s="366"/>
      <c r="E3" s="367"/>
      <c r="F3" s="365" t="s">
        <v>72</v>
      </c>
      <c r="G3" s="366"/>
      <c r="H3" s="367"/>
      <c r="I3" s="363" t="s">
        <v>73</v>
      </c>
      <c r="J3" s="363" t="s">
        <v>74</v>
      </c>
      <c r="K3" s="363" t="s">
        <v>2</v>
      </c>
      <c r="L3" s="363" t="s">
        <v>3</v>
      </c>
    </row>
    <row r="4" spans="1:12" s="104" customFormat="1">
      <c r="A4" s="364"/>
      <c r="B4" s="364"/>
      <c r="C4" s="131" t="s">
        <v>75</v>
      </c>
      <c r="D4" s="131" t="s">
        <v>76</v>
      </c>
      <c r="E4" s="131" t="s">
        <v>77</v>
      </c>
      <c r="F4" s="131" t="s">
        <v>62</v>
      </c>
      <c r="G4" s="131" t="s">
        <v>78</v>
      </c>
      <c r="H4" s="131" t="s">
        <v>79</v>
      </c>
      <c r="I4" s="364"/>
      <c r="J4" s="364"/>
      <c r="K4" s="364"/>
      <c r="L4" s="364"/>
    </row>
    <row r="5" spans="1:12">
      <c r="A5" s="368" t="s">
        <v>385</v>
      </c>
      <c r="B5" s="369"/>
      <c r="C5" s="369"/>
      <c r="D5" s="369"/>
      <c r="E5" s="369"/>
      <c r="F5" s="369"/>
      <c r="G5" s="369"/>
      <c r="H5" s="369"/>
      <c r="I5" s="369"/>
      <c r="J5" s="369"/>
      <c r="K5" s="370"/>
      <c r="L5" s="37"/>
    </row>
    <row r="6" spans="1:12">
      <c r="A6" s="246" t="s">
        <v>80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</row>
    <row r="7" spans="1:12">
      <c r="A7" s="252" t="s">
        <v>81</v>
      </c>
      <c r="B7" s="255">
        <v>36409.129999999997</v>
      </c>
      <c r="C7" s="255">
        <v>11390</v>
      </c>
      <c r="D7" s="255">
        <v>173100</v>
      </c>
      <c r="E7" s="255">
        <v>28116.2</v>
      </c>
      <c r="F7" s="255">
        <v>49171.199999999997</v>
      </c>
      <c r="G7" s="255">
        <v>174000</v>
      </c>
      <c r="H7" s="255">
        <v>0</v>
      </c>
      <c r="I7" s="255">
        <v>25844.13</v>
      </c>
      <c r="J7" s="255">
        <v>40500</v>
      </c>
      <c r="K7" s="255">
        <v>50</v>
      </c>
      <c r="L7" s="255">
        <v>1292206.5</v>
      </c>
    </row>
    <row r="8" spans="1:12">
      <c r="A8" s="252" t="s">
        <v>82</v>
      </c>
      <c r="B8" s="255">
        <v>182370.97899999999</v>
      </c>
      <c r="C8" s="255">
        <v>5495.1</v>
      </c>
      <c r="D8" s="255">
        <v>690008.29</v>
      </c>
      <c r="E8" s="255">
        <v>8597.2999999999993</v>
      </c>
      <c r="F8" s="255">
        <v>10.6</v>
      </c>
      <c r="G8" s="255">
        <v>705935.42</v>
      </c>
      <c r="H8" s="255">
        <v>0</v>
      </c>
      <c r="I8" s="255">
        <v>180525.649</v>
      </c>
      <c r="J8" s="255">
        <v>89833.87</v>
      </c>
      <c r="K8" s="255">
        <v>9</v>
      </c>
      <c r="L8" s="255">
        <v>1624730.84</v>
      </c>
    </row>
    <row r="9" spans="1:12">
      <c r="A9" s="252" t="s">
        <v>83</v>
      </c>
      <c r="B9" s="255">
        <v>5623632.3839999996</v>
      </c>
      <c r="C9" s="255">
        <v>73519</v>
      </c>
      <c r="D9" s="255">
        <v>578465</v>
      </c>
      <c r="E9" s="255">
        <v>176380.3</v>
      </c>
      <c r="F9" s="255">
        <v>213703.5</v>
      </c>
      <c r="G9" s="255">
        <v>428251.45</v>
      </c>
      <c r="H9" s="255">
        <v>128775.9</v>
      </c>
      <c r="I9" s="255">
        <v>5681265.8339999998</v>
      </c>
      <c r="J9" s="255">
        <v>519703.9</v>
      </c>
      <c r="K9" s="255">
        <v>16</v>
      </c>
      <c r="L9" s="255">
        <v>90900253.349999994</v>
      </c>
    </row>
    <row r="10" spans="1:12">
      <c r="A10" s="252" t="s">
        <v>84</v>
      </c>
      <c r="B10" s="255">
        <v>771450.44</v>
      </c>
      <c r="C10" s="255">
        <v>3003.4</v>
      </c>
      <c r="D10" s="255">
        <v>275216.2</v>
      </c>
      <c r="E10" s="255">
        <v>68732.7</v>
      </c>
      <c r="F10" s="255">
        <v>115312.1</v>
      </c>
      <c r="G10" s="255">
        <v>245377.7</v>
      </c>
      <c r="H10" s="255">
        <v>14916.3</v>
      </c>
      <c r="I10" s="255">
        <v>742796.64</v>
      </c>
      <c r="J10" s="255">
        <v>274076.48</v>
      </c>
      <c r="K10" s="255">
        <v>21</v>
      </c>
      <c r="L10" s="255">
        <v>15598729.439999999</v>
      </c>
    </row>
    <row r="11" spans="1:12">
      <c r="A11" s="252" t="s">
        <v>85</v>
      </c>
      <c r="B11" s="255">
        <v>682335.87</v>
      </c>
      <c r="C11" s="255">
        <v>2804.7</v>
      </c>
      <c r="D11" s="255">
        <v>114635.1</v>
      </c>
      <c r="E11" s="255">
        <v>4950.5</v>
      </c>
      <c r="F11" s="255">
        <v>27043.200000000001</v>
      </c>
      <c r="G11" s="255">
        <v>88553.3</v>
      </c>
      <c r="H11" s="255">
        <v>3777.4</v>
      </c>
      <c r="I11" s="255">
        <v>685352.27</v>
      </c>
      <c r="J11" s="255">
        <v>146015.04000000001</v>
      </c>
      <c r="K11" s="255">
        <v>16</v>
      </c>
      <c r="L11" s="255">
        <v>10965636.32</v>
      </c>
    </row>
    <row r="12" spans="1:12">
      <c r="A12" s="252" t="s">
        <v>86</v>
      </c>
      <c r="B12" s="255">
        <v>-151002.69</v>
      </c>
      <c r="C12" s="255">
        <v>0</v>
      </c>
      <c r="D12" s="255">
        <v>42534</v>
      </c>
      <c r="E12" s="255">
        <v>0</v>
      </c>
      <c r="F12" s="255">
        <v>0</v>
      </c>
      <c r="G12" s="255">
        <v>179189</v>
      </c>
      <c r="H12" s="255">
        <v>0</v>
      </c>
      <c r="I12" s="255">
        <v>-287657.69</v>
      </c>
      <c r="J12" s="255">
        <v>0</v>
      </c>
      <c r="K12" s="255">
        <v>15</v>
      </c>
      <c r="L12" s="255">
        <v>-4314865.3499999996</v>
      </c>
    </row>
    <row r="13" spans="1:12">
      <c r="A13" s="252" t="s">
        <v>88</v>
      </c>
      <c r="B13" s="255">
        <v>-38316.75</v>
      </c>
      <c r="C13" s="255">
        <v>38647.85</v>
      </c>
      <c r="D13" s="255">
        <v>71320.42</v>
      </c>
      <c r="E13" s="255">
        <v>64792.2</v>
      </c>
      <c r="F13" s="255">
        <v>18635</v>
      </c>
      <c r="G13" s="255">
        <v>179189</v>
      </c>
      <c r="H13" s="255">
        <v>0</v>
      </c>
      <c r="I13" s="255">
        <v>-61380.28</v>
      </c>
      <c r="J13" s="255">
        <v>132065</v>
      </c>
      <c r="K13" s="255">
        <v>15</v>
      </c>
      <c r="L13" s="255">
        <v>-920704.2</v>
      </c>
    </row>
    <row r="14" spans="1:12">
      <c r="A14" s="252" t="s">
        <v>89</v>
      </c>
      <c r="B14" s="255">
        <v>44360.71</v>
      </c>
      <c r="C14" s="255">
        <v>35352.199999999997</v>
      </c>
      <c r="D14" s="255">
        <v>0</v>
      </c>
      <c r="E14" s="255">
        <v>2433.2399999999998</v>
      </c>
      <c r="F14" s="255">
        <v>176.4</v>
      </c>
      <c r="G14" s="255">
        <v>33533.300000000003</v>
      </c>
      <c r="H14" s="255">
        <v>6496.6</v>
      </c>
      <c r="I14" s="255">
        <v>41939.85</v>
      </c>
      <c r="J14" s="255">
        <v>155020.37</v>
      </c>
      <c r="K14" s="255">
        <v>125.32</v>
      </c>
      <c r="L14" s="255">
        <v>5255956.59</v>
      </c>
    </row>
    <row r="15" spans="1:12">
      <c r="A15" s="252" t="s">
        <v>90</v>
      </c>
      <c r="B15" s="255">
        <v>-12123.14</v>
      </c>
      <c r="C15" s="255">
        <v>0</v>
      </c>
      <c r="D15" s="255">
        <v>0</v>
      </c>
      <c r="E15" s="255">
        <v>0</v>
      </c>
      <c r="F15" s="255">
        <v>2013.74</v>
      </c>
      <c r="G15" s="255">
        <v>0</v>
      </c>
      <c r="H15" s="255">
        <v>0</v>
      </c>
      <c r="I15" s="255">
        <v>-14136.88</v>
      </c>
      <c r="J15" s="255">
        <v>13651.03</v>
      </c>
      <c r="K15" s="255">
        <v>111.34</v>
      </c>
      <c r="L15" s="255">
        <v>-1574046.11</v>
      </c>
    </row>
    <row r="16" spans="1:12">
      <c r="A16" s="252" t="s">
        <v>93</v>
      </c>
      <c r="B16" s="255">
        <v>28833.32</v>
      </c>
      <c r="C16" s="255">
        <v>19858.599999999999</v>
      </c>
      <c r="D16" s="255">
        <v>0</v>
      </c>
      <c r="E16" s="255">
        <v>0</v>
      </c>
      <c r="F16" s="255">
        <v>0</v>
      </c>
      <c r="G16" s="255">
        <v>26234</v>
      </c>
      <c r="H16" s="255">
        <v>20708.599999999999</v>
      </c>
      <c r="I16" s="255">
        <v>1749.32</v>
      </c>
      <c r="J16" s="255">
        <v>172321.68</v>
      </c>
      <c r="K16" s="255">
        <v>129.53</v>
      </c>
      <c r="L16" s="255">
        <v>226584.16</v>
      </c>
    </row>
    <row r="17" spans="1:12">
      <c r="A17" s="252" t="s">
        <v>94</v>
      </c>
      <c r="B17" s="255">
        <v>26898.11</v>
      </c>
      <c r="C17" s="255">
        <v>1315.84</v>
      </c>
      <c r="D17" s="255">
        <v>0</v>
      </c>
      <c r="E17" s="255">
        <v>0</v>
      </c>
      <c r="F17" s="255">
        <v>0</v>
      </c>
      <c r="G17" s="255">
        <v>1307.8900000000001</v>
      </c>
      <c r="H17" s="255">
        <v>1111.0899999999999</v>
      </c>
      <c r="I17" s="255">
        <v>25794.97</v>
      </c>
      <c r="J17" s="255">
        <v>1999.09</v>
      </c>
      <c r="K17" s="255">
        <v>116.36</v>
      </c>
      <c r="L17" s="255">
        <v>3001532.11</v>
      </c>
    </row>
    <row r="18" spans="1:12">
      <c r="A18" s="252" t="s">
        <v>91</v>
      </c>
      <c r="B18" s="255">
        <v>-10553.18</v>
      </c>
      <c r="C18" s="255">
        <v>5834.3</v>
      </c>
      <c r="D18" s="255">
        <v>1723.26</v>
      </c>
      <c r="E18" s="255">
        <v>2164.8000000000002</v>
      </c>
      <c r="F18" s="255">
        <v>0</v>
      </c>
      <c r="G18" s="255">
        <v>14882</v>
      </c>
      <c r="H18" s="255">
        <v>0</v>
      </c>
      <c r="I18" s="255">
        <v>-15712.82</v>
      </c>
      <c r="J18" s="255">
        <v>21942.25</v>
      </c>
      <c r="K18" s="255">
        <v>104.19</v>
      </c>
      <c r="L18" s="255">
        <v>-1637171.09</v>
      </c>
    </row>
    <row r="19" spans="1:12">
      <c r="A19" s="252" t="s">
        <v>87</v>
      </c>
      <c r="B19" s="255">
        <v>-21868</v>
      </c>
      <c r="C19" s="255">
        <v>0</v>
      </c>
      <c r="D19" s="255">
        <v>0</v>
      </c>
      <c r="E19" s="255">
        <v>0</v>
      </c>
      <c r="F19" s="255">
        <v>3978</v>
      </c>
      <c r="G19" s="255">
        <v>0</v>
      </c>
      <c r="H19" s="255">
        <v>0</v>
      </c>
      <c r="I19" s="255">
        <v>-25846</v>
      </c>
      <c r="J19" s="255">
        <v>0</v>
      </c>
      <c r="K19" s="255">
        <v>15</v>
      </c>
      <c r="L19" s="255">
        <v>-387690</v>
      </c>
    </row>
    <row r="20" spans="1:12">
      <c r="A20" s="252" t="s">
        <v>22</v>
      </c>
      <c r="B20" s="255">
        <v>6045.1790000000001</v>
      </c>
      <c r="C20" s="255">
        <v>7573.9</v>
      </c>
      <c r="D20" s="255">
        <v>0</v>
      </c>
      <c r="E20" s="255">
        <v>50</v>
      </c>
      <c r="F20" s="255">
        <v>2800</v>
      </c>
      <c r="G20" s="255">
        <v>3934.9850000000001</v>
      </c>
      <c r="H20" s="255">
        <v>0</v>
      </c>
      <c r="I20" s="255">
        <v>6934.0940000000001</v>
      </c>
      <c r="J20" s="255">
        <v>0</v>
      </c>
      <c r="K20" s="255">
        <v>172.49</v>
      </c>
      <c r="L20" s="255">
        <v>1196057.97</v>
      </c>
    </row>
    <row r="21" spans="1:12">
      <c r="A21" s="252" t="s">
        <v>23</v>
      </c>
      <c r="B21" s="255">
        <v>34787.135000000002</v>
      </c>
      <c r="C21" s="255">
        <v>15045</v>
      </c>
      <c r="D21" s="255">
        <v>0</v>
      </c>
      <c r="E21" s="255">
        <v>0</v>
      </c>
      <c r="F21" s="255">
        <v>0</v>
      </c>
      <c r="G21" s="255">
        <v>13989.215</v>
      </c>
      <c r="H21" s="255">
        <v>0</v>
      </c>
      <c r="I21" s="255">
        <v>35842.92</v>
      </c>
      <c r="J21" s="255">
        <v>709</v>
      </c>
      <c r="K21" s="255">
        <v>171.21</v>
      </c>
      <c r="L21" s="255">
        <v>6136551.6399999997</v>
      </c>
    </row>
    <row r="22" spans="1:12">
      <c r="A22" s="252" t="s">
        <v>92</v>
      </c>
      <c r="B22" s="255">
        <v>17502.87</v>
      </c>
      <c r="C22" s="255">
        <v>8104.91</v>
      </c>
      <c r="D22" s="255">
        <v>1955.6</v>
      </c>
      <c r="E22" s="255">
        <v>0</v>
      </c>
      <c r="F22" s="255">
        <v>0</v>
      </c>
      <c r="G22" s="255">
        <v>9192</v>
      </c>
      <c r="H22" s="255">
        <v>0</v>
      </c>
      <c r="I22" s="255">
        <v>18371.38</v>
      </c>
      <c r="J22" s="255">
        <v>746.1</v>
      </c>
      <c r="K22" s="255">
        <v>12</v>
      </c>
      <c r="L22" s="255">
        <v>220456.56</v>
      </c>
    </row>
    <row r="23" spans="1:12">
      <c r="A23" s="253" t="s">
        <v>95</v>
      </c>
      <c r="B23" s="256">
        <v>7220762.3669999996</v>
      </c>
      <c r="C23" s="256">
        <v>227944.8</v>
      </c>
      <c r="D23" s="256">
        <v>1948957.87</v>
      </c>
      <c r="E23" s="256">
        <v>356217.24</v>
      </c>
      <c r="F23" s="256">
        <v>432843.74</v>
      </c>
      <c r="G23" s="256">
        <v>2103569.2599999998</v>
      </c>
      <c r="H23" s="256">
        <v>175785.89</v>
      </c>
      <c r="I23" s="256">
        <v>7041683.3870000001</v>
      </c>
      <c r="J23" s="256">
        <v>1568583.81</v>
      </c>
      <c r="K23" s="256"/>
      <c r="L23" s="256">
        <v>127584218.72</v>
      </c>
    </row>
    <row r="24" spans="1:12">
      <c r="A24" s="254"/>
      <c r="B24" s="257"/>
      <c r="C24" s="257"/>
      <c r="D24" s="257"/>
      <c r="E24" s="257"/>
      <c r="F24" s="257"/>
      <c r="G24" s="257"/>
      <c r="H24" s="257"/>
      <c r="I24" s="257"/>
      <c r="J24" s="257"/>
      <c r="K24" s="257"/>
      <c r="L24" s="257"/>
    </row>
    <row r="25" spans="1:12">
      <c r="A25" s="253" t="s">
        <v>96</v>
      </c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</row>
    <row r="26" spans="1:12">
      <c r="A26" s="252" t="s">
        <v>97</v>
      </c>
      <c r="B26" s="255">
        <v>2758.6</v>
      </c>
      <c r="C26" s="255">
        <v>0</v>
      </c>
      <c r="D26" s="255">
        <v>17602</v>
      </c>
      <c r="E26" s="255">
        <v>0</v>
      </c>
      <c r="F26" s="255">
        <v>22274</v>
      </c>
      <c r="G26" s="255">
        <v>0</v>
      </c>
      <c r="H26" s="255">
        <v>0</v>
      </c>
      <c r="I26" s="255">
        <v>-1913.4</v>
      </c>
      <c r="J26" s="255">
        <v>0</v>
      </c>
      <c r="K26" s="255">
        <v>85.68</v>
      </c>
      <c r="L26" s="255">
        <v>-163933.41</v>
      </c>
    </row>
    <row r="27" spans="1:12">
      <c r="A27" s="252" t="s">
        <v>98</v>
      </c>
      <c r="B27" s="255">
        <v>8807.4</v>
      </c>
      <c r="C27" s="255">
        <v>1253.9000000000001</v>
      </c>
      <c r="D27" s="255">
        <v>0</v>
      </c>
      <c r="E27" s="255">
        <v>0</v>
      </c>
      <c r="F27" s="255">
        <v>0</v>
      </c>
      <c r="G27" s="255">
        <v>0</v>
      </c>
      <c r="H27" s="255">
        <v>0</v>
      </c>
      <c r="I27" s="255">
        <v>10061.299999999999</v>
      </c>
      <c r="J27" s="255">
        <v>0</v>
      </c>
      <c r="K27" s="255">
        <v>0</v>
      </c>
      <c r="L27" s="255">
        <v>0</v>
      </c>
    </row>
    <row r="28" spans="1:12">
      <c r="A28" s="252" t="s">
        <v>99</v>
      </c>
      <c r="B28" s="255">
        <v>267536.18</v>
      </c>
      <c r="C28" s="255">
        <v>18506</v>
      </c>
      <c r="D28" s="255">
        <v>481097</v>
      </c>
      <c r="E28" s="255">
        <v>175106.5</v>
      </c>
      <c r="F28" s="255">
        <v>520652.9</v>
      </c>
      <c r="G28" s="255">
        <v>0</v>
      </c>
      <c r="H28" s="255">
        <v>0</v>
      </c>
      <c r="I28" s="255">
        <v>421592.78</v>
      </c>
      <c r="J28" s="255">
        <v>815</v>
      </c>
      <c r="K28" s="255">
        <v>158.33000000000001</v>
      </c>
      <c r="L28" s="255">
        <v>66749397.75</v>
      </c>
    </row>
    <row r="29" spans="1:12">
      <c r="A29" s="253" t="s">
        <v>95</v>
      </c>
      <c r="B29" s="256">
        <v>279102.18</v>
      </c>
      <c r="C29" s="256">
        <v>19759.900000000001</v>
      </c>
      <c r="D29" s="256">
        <v>498699</v>
      </c>
      <c r="E29" s="256">
        <v>175106.5</v>
      </c>
      <c r="F29" s="256">
        <v>542926.9</v>
      </c>
      <c r="G29" s="256">
        <v>0</v>
      </c>
      <c r="H29" s="256">
        <v>0</v>
      </c>
      <c r="I29" s="256">
        <v>429740.68</v>
      </c>
      <c r="J29" s="256">
        <v>815</v>
      </c>
      <c r="K29" s="256"/>
      <c r="L29" s="256">
        <v>66585464.329999998</v>
      </c>
    </row>
    <row r="30" spans="1:12">
      <c r="A30" s="254"/>
      <c r="B30" s="257"/>
      <c r="C30" s="257"/>
      <c r="D30" s="257"/>
      <c r="E30" s="257"/>
      <c r="F30" s="257"/>
      <c r="G30" s="257"/>
      <c r="H30" s="257"/>
      <c r="I30" s="257"/>
      <c r="J30" s="257"/>
      <c r="K30" s="257"/>
      <c r="L30" s="257"/>
    </row>
    <row r="31" spans="1:12">
      <c r="A31" s="253" t="s">
        <v>100</v>
      </c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57"/>
    </row>
    <row r="32" spans="1:12">
      <c r="A32" s="252" t="s">
        <v>101</v>
      </c>
      <c r="B32" s="255">
        <v>12133</v>
      </c>
      <c r="C32" s="255">
        <v>270</v>
      </c>
      <c r="D32" s="255">
        <v>0</v>
      </c>
      <c r="E32" s="255">
        <v>0</v>
      </c>
      <c r="F32" s="255">
        <v>0</v>
      </c>
      <c r="G32" s="255">
        <v>530</v>
      </c>
      <c r="H32" s="255">
        <v>0</v>
      </c>
      <c r="I32" s="255">
        <v>11873</v>
      </c>
      <c r="J32" s="255">
        <v>340</v>
      </c>
      <c r="K32" s="255">
        <v>202.41</v>
      </c>
      <c r="L32" s="255">
        <v>2403269.86</v>
      </c>
    </row>
    <row r="33" spans="1:12">
      <c r="A33" s="252" t="s">
        <v>102</v>
      </c>
      <c r="B33" s="255">
        <v>10403.299999999999</v>
      </c>
      <c r="C33" s="255">
        <v>2210</v>
      </c>
      <c r="D33" s="255">
        <v>0</v>
      </c>
      <c r="E33" s="255">
        <v>0</v>
      </c>
      <c r="F33" s="255">
        <v>0</v>
      </c>
      <c r="G33" s="255">
        <v>1680</v>
      </c>
      <c r="H33" s="255">
        <v>0</v>
      </c>
      <c r="I33" s="255">
        <v>10933.3</v>
      </c>
      <c r="J33" s="255">
        <v>510</v>
      </c>
      <c r="K33" s="255">
        <v>75.83</v>
      </c>
      <c r="L33" s="255">
        <v>829064.14</v>
      </c>
    </row>
    <row r="34" spans="1:12">
      <c r="A34" s="253" t="s">
        <v>95</v>
      </c>
      <c r="B34" s="256">
        <v>22536.3</v>
      </c>
      <c r="C34" s="256">
        <v>2480</v>
      </c>
      <c r="D34" s="256">
        <v>0</v>
      </c>
      <c r="E34" s="256">
        <v>0</v>
      </c>
      <c r="F34" s="256">
        <v>0</v>
      </c>
      <c r="G34" s="256">
        <v>2210</v>
      </c>
      <c r="H34" s="256">
        <v>0</v>
      </c>
      <c r="I34" s="256">
        <v>22806.3</v>
      </c>
      <c r="J34" s="256">
        <v>850</v>
      </c>
      <c r="K34" s="256"/>
      <c r="L34" s="256">
        <v>3232334</v>
      </c>
    </row>
    <row r="35" spans="1:12">
      <c r="A35" s="254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</row>
    <row r="36" spans="1:12">
      <c r="A36" s="253" t="s">
        <v>103</v>
      </c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</row>
    <row r="37" spans="1:12">
      <c r="A37" s="252" t="s">
        <v>20</v>
      </c>
      <c r="B37" s="255">
        <v>136400.33100000001</v>
      </c>
      <c r="C37" s="255">
        <v>963286</v>
      </c>
      <c r="D37" s="255">
        <v>0</v>
      </c>
      <c r="E37" s="255">
        <v>13500</v>
      </c>
      <c r="F37" s="255">
        <v>213775</v>
      </c>
      <c r="G37" s="255">
        <v>483033.14</v>
      </c>
      <c r="H37" s="255">
        <v>306195</v>
      </c>
      <c r="I37" s="255">
        <v>110183.19100000001</v>
      </c>
      <c r="J37" s="255">
        <v>3560688.44</v>
      </c>
      <c r="K37" s="255">
        <v>72.83</v>
      </c>
      <c r="L37" s="255">
        <v>8024422.6399999997</v>
      </c>
    </row>
    <row r="38" spans="1:12">
      <c r="A38" s="252" t="s">
        <v>32</v>
      </c>
      <c r="B38" s="255">
        <v>31719.681</v>
      </c>
      <c r="C38" s="255">
        <v>8100</v>
      </c>
      <c r="D38" s="255">
        <v>0</v>
      </c>
      <c r="E38" s="255">
        <v>0</v>
      </c>
      <c r="F38" s="255">
        <v>0</v>
      </c>
      <c r="G38" s="255">
        <v>10859.25</v>
      </c>
      <c r="H38" s="255">
        <v>2550</v>
      </c>
      <c r="I38" s="255">
        <v>26410.431</v>
      </c>
      <c r="J38" s="255">
        <v>23206.99</v>
      </c>
      <c r="K38" s="255">
        <v>101.34</v>
      </c>
      <c r="L38" s="255">
        <v>2676324.38</v>
      </c>
    </row>
    <row r="39" spans="1:12">
      <c r="A39" s="252" t="s">
        <v>25</v>
      </c>
      <c r="B39" s="255">
        <v>14658.539000000001</v>
      </c>
      <c r="C39" s="255">
        <v>23000</v>
      </c>
      <c r="D39" s="255">
        <v>0</v>
      </c>
      <c r="E39" s="255">
        <v>0</v>
      </c>
      <c r="F39" s="255">
        <v>2600</v>
      </c>
      <c r="G39" s="255">
        <v>17509.25</v>
      </c>
      <c r="H39" s="255">
        <v>350</v>
      </c>
      <c r="I39" s="255">
        <v>17199.289000000001</v>
      </c>
      <c r="J39" s="255">
        <v>75037.279999999999</v>
      </c>
      <c r="K39" s="255">
        <v>89.66</v>
      </c>
      <c r="L39" s="255">
        <v>1542131.25</v>
      </c>
    </row>
    <row r="40" spans="1:12">
      <c r="A40" s="252" t="s">
        <v>24</v>
      </c>
      <c r="B40" s="255">
        <v>1093.32</v>
      </c>
      <c r="C40" s="255">
        <v>0</v>
      </c>
      <c r="D40" s="255">
        <v>0</v>
      </c>
      <c r="E40" s="255">
        <v>0</v>
      </c>
      <c r="F40" s="255">
        <v>0</v>
      </c>
      <c r="G40" s="255">
        <v>158.75</v>
      </c>
      <c r="H40" s="255">
        <v>0</v>
      </c>
      <c r="I40" s="255">
        <v>934.57</v>
      </c>
      <c r="J40" s="255">
        <v>5030</v>
      </c>
      <c r="K40" s="255">
        <v>92.85</v>
      </c>
      <c r="L40" s="255">
        <v>86774.82</v>
      </c>
    </row>
    <row r="41" spans="1:12">
      <c r="A41" s="252" t="s">
        <v>104</v>
      </c>
      <c r="B41" s="255">
        <v>55988.7</v>
      </c>
      <c r="C41" s="255">
        <v>64175</v>
      </c>
      <c r="D41" s="255">
        <v>0</v>
      </c>
      <c r="E41" s="255">
        <v>0</v>
      </c>
      <c r="F41" s="255">
        <v>14425</v>
      </c>
      <c r="G41" s="255">
        <v>51317.2</v>
      </c>
      <c r="H41" s="255">
        <v>5530</v>
      </c>
      <c r="I41" s="255">
        <v>48891.5</v>
      </c>
      <c r="J41" s="255">
        <v>83289.34</v>
      </c>
      <c r="K41" s="255">
        <v>31.19</v>
      </c>
      <c r="L41" s="255">
        <v>1524747.14</v>
      </c>
    </row>
    <row r="42" spans="1:12">
      <c r="A42" s="252" t="s">
        <v>105</v>
      </c>
      <c r="B42" s="255">
        <v>3770.46</v>
      </c>
      <c r="C42" s="255">
        <v>277.32</v>
      </c>
      <c r="D42" s="255">
        <v>0</v>
      </c>
      <c r="E42" s="255">
        <v>0</v>
      </c>
      <c r="F42" s="255">
        <v>0</v>
      </c>
      <c r="G42" s="255">
        <v>0</v>
      </c>
      <c r="H42" s="255">
        <v>0</v>
      </c>
      <c r="I42" s="255">
        <v>4047.78</v>
      </c>
      <c r="J42" s="255">
        <v>0</v>
      </c>
      <c r="K42" s="255">
        <v>0</v>
      </c>
      <c r="L42" s="255">
        <v>0</v>
      </c>
    </row>
    <row r="43" spans="1:12">
      <c r="A43" s="253" t="s">
        <v>95</v>
      </c>
      <c r="B43" s="256">
        <v>243631.03200000001</v>
      </c>
      <c r="C43" s="256">
        <v>1058838.32</v>
      </c>
      <c r="D43" s="256">
        <v>0</v>
      </c>
      <c r="E43" s="256">
        <v>13500</v>
      </c>
      <c r="F43" s="256">
        <v>230800</v>
      </c>
      <c r="G43" s="256">
        <v>562877.59</v>
      </c>
      <c r="H43" s="256">
        <v>314625</v>
      </c>
      <c r="I43" s="256">
        <v>207666.76199999999</v>
      </c>
      <c r="J43" s="256">
        <v>3747252.05</v>
      </c>
      <c r="K43" s="256"/>
      <c r="L43" s="256">
        <v>13854400.24</v>
      </c>
    </row>
    <row r="44" spans="1:12"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</row>
    <row r="45" spans="1:12"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</row>
    <row r="46" spans="1:12">
      <c r="B46" s="258"/>
      <c r="C46" s="258"/>
      <c r="D46" s="258"/>
      <c r="E46" s="258"/>
      <c r="F46" s="258"/>
      <c r="G46" s="258"/>
      <c r="H46" s="258"/>
      <c r="I46" s="258"/>
      <c r="J46" s="258"/>
      <c r="K46" s="258"/>
      <c r="L46" s="258"/>
    </row>
    <row r="47" spans="1:12"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58"/>
    </row>
    <row r="48" spans="1:12">
      <c r="B48" s="258"/>
      <c r="C48" s="258"/>
      <c r="D48" s="258"/>
      <c r="E48" s="258"/>
      <c r="F48" s="258"/>
      <c r="G48" s="258"/>
      <c r="H48" s="258"/>
      <c r="I48" s="258"/>
      <c r="J48" s="258"/>
      <c r="K48" s="258"/>
      <c r="L48" s="258"/>
    </row>
    <row r="49" spans="2:12"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</row>
    <row r="50" spans="2:12">
      <c r="B50" s="258"/>
      <c r="C50" s="258"/>
      <c r="D50" s="258"/>
      <c r="E50" s="258"/>
      <c r="F50" s="258"/>
      <c r="G50" s="258"/>
      <c r="H50" s="258"/>
      <c r="I50" s="258"/>
      <c r="J50" s="258"/>
      <c r="K50" s="258"/>
      <c r="L50" s="258"/>
    </row>
    <row r="51" spans="2:12">
      <c r="B51" s="258"/>
      <c r="C51" s="258"/>
      <c r="D51" s="258"/>
      <c r="E51" s="258"/>
      <c r="F51" s="258"/>
      <c r="G51" s="258"/>
      <c r="H51" s="258"/>
      <c r="I51" s="258"/>
      <c r="J51" s="258"/>
      <c r="K51" s="258"/>
      <c r="L51" s="258"/>
    </row>
    <row r="52" spans="2:12"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</row>
    <row r="53" spans="2:12">
      <c r="B53" s="258"/>
      <c r="C53" s="258"/>
      <c r="D53" s="258"/>
      <c r="E53" s="258"/>
      <c r="F53" s="258"/>
      <c r="G53" s="258"/>
      <c r="H53" s="258"/>
      <c r="I53" s="258"/>
      <c r="J53" s="258"/>
      <c r="K53" s="258"/>
      <c r="L53" s="258"/>
    </row>
  </sheetData>
  <mergeCells count="9">
    <mergeCell ref="L3:L4"/>
    <mergeCell ref="C3:E3"/>
    <mergeCell ref="F3:H3"/>
    <mergeCell ref="A5:K5"/>
    <mergeCell ref="A3:A4"/>
    <mergeCell ref="B3:B4"/>
    <mergeCell ref="I3:I4"/>
    <mergeCell ref="J3:J4"/>
    <mergeCell ref="K3:K4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/>
  </sheetViews>
  <sheetFormatPr defaultColWidth="9.140625" defaultRowHeight="12.75"/>
  <cols>
    <col min="1" max="1" width="3.7109375" style="10" customWidth="1"/>
    <col min="2" max="2" width="25.28515625" style="10" customWidth="1"/>
    <col min="3" max="3" width="10.5703125" style="10" customWidth="1"/>
    <col min="4" max="4" width="11.7109375" style="10" customWidth="1"/>
    <col min="5" max="5" width="10.5703125" style="10" customWidth="1"/>
    <col min="6" max="7" width="9.7109375" style="10" customWidth="1"/>
    <col min="8" max="8" width="2.7109375" style="10" customWidth="1"/>
    <col min="9" max="9" width="25.5703125" style="10" customWidth="1"/>
    <col min="10" max="10" width="12.140625" style="10" bestFit="1" customWidth="1"/>
    <col min="11" max="11" width="7.85546875" style="10" customWidth="1"/>
    <col min="12" max="12" width="14.140625" style="10" customWidth="1"/>
    <col min="13" max="13" width="12.85546875" style="10"/>
    <col min="14" max="14" width="23.7109375" style="10" customWidth="1"/>
    <col min="15" max="15" width="13.7109375" style="10" customWidth="1"/>
    <col min="16" max="16" width="12.7109375" style="10" customWidth="1"/>
    <col min="17" max="17" width="12.85546875" style="10"/>
    <col min="18" max="16384" width="9.140625" style="10"/>
  </cols>
  <sheetData>
    <row r="1" spans="1:16">
      <c r="D1" s="10">
        <v>20</v>
      </c>
    </row>
    <row r="2" spans="1:16">
      <c r="A2" s="372" t="s">
        <v>118</v>
      </c>
      <c r="B2" s="372" t="s">
        <v>119</v>
      </c>
      <c r="C2" s="371" t="s">
        <v>120</v>
      </c>
      <c r="D2" s="371"/>
      <c r="E2" s="36" t="s">
        <v>121</v>
      </c>
      <c r="F2" s="15"/>
      <c r="G2" s="15"/>
    </row>
    <row r="3" spans="1:16" ht="25.5">
      <c r="A3" s="373"/>
      <c r="B3" s="373"/>
      <c r="C3" s="125" t="s">
        <v>382</v>
      </c>
      <c r="D3" s="84" t="s">
        <v>122</v>
      </c>
      <c r="E3" s="84" t="s">
        <v>122</v>
      </c>
      <c r="F3" s="85" t="s">
        <v>123</v>
      </c>
      <c r="G3" s="84" t="s">
        <v>124</v>
      </c>
    </row>
    <row r="4" spans="1:16">
      <c r="A4" s="85" t="s">
        <v>125</v>
      </c>
      <c r="B4" s="86" t="s">
        <v>126</v>
      </c>
      <c r="C4" s="87"/>
      <c r="D4" s="87"/>
      <c r="E4" s="87"/>
      <c r="F4" s="87"/>
      <c r="G4" s="87"/>
    </row>
    <row r="5" spans="1:16">
      <c r="A5" s="88">
        <v>1</v>
      </c>
      <c r="B5" s="89" t="s">
        <v>127</v>
      </c>
      <c r="C5" s="90">
        <v>900</v>
      </c>
      <c r="D5" s="91">
        <f>C5/31*$D$1</f>
        <v>580.64516129032256</v>
      </c>
      <c r="E5" s="91">
        <f>D5</f>
        <v>580.64516129032256</v>
      </c>
      <c r="F5" s="91"/>
      <c r="G5" s="91"/>
      <c r="I5" s="11" t="s">
        <v>69</v>
      </c>
      <c r="J5" s="11" t="s">
        <v>128</v>
      </c>
      <c r="K5" s="11" t="s">
        <v>2</v>
      </c>
      <c r="L5" s="11" t="s">
        <v>129</v>
      </c>
      <c r="N5" s="259"/>
      <c r="O5" s="260" t="s">
        <v>130</v>
      </c>
      <c r="P5" s="261"/>
    </row>
    <row r="6" spans="1:16">
      <c r="A6" s="88">
        <f>A5+1</f>
        <v>2</v>
      </c>
      <c r="B6" s="89" t="s">
        <v>76</v>
      </c>
      <c r="C6" s="90">
        <v>800</v>
      </c>
      <c r="D6" s="91">
        <f>C6/31*$D$1</f>
        <v>516.12903225806451</v>
      </c>
      <c r="E6" s="91" t="e">
        <f>#REF!/1000</f>
        <v>#REF!</v>
      </c>
      <c r="F6" s="91"/>
      <c r="G6" s="91"/>
      <c r="I6" s="12"/>
      <c r="J6" s="98"/>
      <c r="K6" s="98"/>
      <c r="L6" s="98"/>
      <c r="N6" s="260" t="s">
        <v>69</v>
      </c>
      <c r="O6" s="259" t="s">
        <v>131</v>
      </c>
      <c r="P6" s="262" t="s">
        <v>132</v>
      </c>
    </row>
    <row r="7" spans="1:16">
      <c r="A7" s="88">
        <f>A6+1</f>
        <v>3</v>
      </c>
      <c r="B7" s="89" t="s">
        <v>133</v>
      </c>
      <c r="C7" s="92">
        <f>C6/C5</f>
        <v>0.88888888888888884</v>
      </c>
      <c r="D7" s="92">
        <f>D6/D5</f>
        <v>0.88888888888888895</v>
      </c>
      <c r="E7" s="92" t="e">
        <f>E6/E5</f>
        <v>#REF!</v>
      </c>
      <c r="F7" s="92"/>
      <c r="G7" s="92"/>
      <c r="I7" s="12" t="s">
        <v>5</v>
      </c>
      <c r="J7" s="98">
        <f>+GETPIVOTDATA("Sum of Quantity",$N$5,"Item Name","PP WOVEN BIG BAGS / SACKS")+GETPIVOTDATA("Sum of Quantity",$N$5,"Item Name","Pp Woven Bgas(FG)")</f>
        <v>306664.90000000002</v>
      </c>
      <c r="K7" s="98">
        <f t="shared" ref="K7:K20" si="0">L7/J7</f>
        <v>157.96893009274942</v>
      </c>
      <c r="L7" s="176">
        <f>+GETPIVOTDATA("Sum of Amount",$N$5,"Item Name","PP WOVEN BIG BAGS / SACKS")+GETPIVOTDATA("Sum of Amount",$N$5,"Item Name","Pp Woven Bgas(FG)")</f>
        <v>48443526.149999999</v>
      </c>
      <c r="N7" s="259" t="s">
        <v>5</v>
      </c>
      <c r="O7" s="271">
        <v>300706.80000000005</v>
      </c>
      <c r="P7" s="263">
        <v>47512219.149999999</v>
      </c>
    </row>
    <row r="8" spans="1:16">
      <c r="A8" s="88">
        <f>A7+1</f>
        <v>4</v>
      </c>
      <c r="B8" s="89" t="s">
        <v>134</v>
      </c>
      <c r="C8" s="93">
        <v>0</v>
      </c>
      <c r="D8" s="93">
        <v>0</v>
      </c>
      <c r="E8" s="91" t="e">
        <f>(#REF!+#REF!)/1000</f>
        <v>#REF!</v>
      </c>
      <c r="F8" s="91"/>
      <c r="G8" s="91"/>
      <c r="I8" s="12" t="s">
        <v>6</v>
      </c>
      <c r="J8" s="98">
        <f>GETPIVOTDATA("Sum of Quantity",$N$5,"Item Name","PP Woven Fabrics(FG)")</f>
        <v>85056.500000000015</v>
      </c>
      <c r="K8" s="98">
        <f t="shared" si="0"/>
        <v>105.13316336787898</v>
      </c>
      <c r="L8" s="176">
        <f>GETPIVOTDATA("Sum of Amount",$N$5,"Item Name","PP Woven Fabrics(FG)")</f>
        <v>8942258.9100000001</v>
      </c>
      <c r="N8" s="264" t="s">
        <v>6</v>
      </c>
      <c r="O8" s="265">
        <v>85056.500000000015</v>
      </c>
      <c r="P8" s="266">
        <v>8942258.9100000001</v>
      </c>
    </row>
    <row r="9" spans="1:16">
      <c r="A9" s="88">
        <f>A8+1</f>
        <v>5</v>
      </c>
      <c r="B9" s="89" t="s">
        <v>0</v>
      </c>
      <c r="C9" s="90">
        <f>C6</f>
        <v>800</v>
      </c>
      <c r="D9" s="91">
        <f>C9/31*$D$1</f>
        <v>516.12903225806451</v>
      </c>
      <c r="E9" s="91" t="e">
        <f>#REF!/1000</f>
        <v>#REF!</v>
      </c>
      <c r="F9" s="91"/>
      <c r="G9" s="91"/>
      <c r="I9" s="99" t="s">
        <v>7</v>
      </c>
      <c r="J9" s="98">
        <f>GETPIVOTDATA("Sum of Quantity",$N$5,"Item Name","PP Laminated Fabric")</f>
        <v>40640.5</v>
      </c>
      <c r="K9" s="98">
        <f t="shared" si="0"/>
        <v>103.30194411978199</v>
      </c>
      <c r="L9" s="176">
        <f>GETPIVOTDATA("Sum of Amount",$N$5,"Item Name","PP Laminated Fabric")</f>
        <v>4198242.66</v>
      </c>
      <c r="N9" s="264" t="s">
        <v>8</v>
      </c>
      <c r="O9" s="270">
        <v>14100</v>
      </c>
      <c r="P9" s="266">
        <v>282000</v>
      </c>
    </row>
    <row r="10" spans="1:16">
      <c r="A10" s="88">
        <f>A9+1</f>
        <v>6</v>
      </c>
      <c r="B10" s="89" t="s">
        <v>135</v>
      </c>
      <c r="C10" s="93">
        <v>0</v>
      </c>
      <c r="D10" s="93">
        <v>0</v>
      </c>
      <c r="E10" s="91" t="e">
        <f>(#REF!+#REF!)/1000</f>
        <v>#REF!</v>
      </c>
      <c r="F10" s="91"/>
      <c r="G10" s="91"/>
      <c r="I10" s="12" t="s">
        <v>8</v>
      </c>
      <c r="J10" s="98">
        <f>GETPIVOTDATA("Sum of Quantity",$N$5,"Item Name","REPROCESS GRANULES (FG)")</f>
        <v>14100</v>
      </c>
      <c r="K10" s="98">
        <f t="shared" si="0"/>
        <v>20</v>
      </c>
      <c r="L10" s="98">
        <f>GETPIVOTDATA("Sum of Amount",$N$5,"Item Name","REPROCESS GRANULES (FG)")</f>
        <v>282000</v>
      </c>
      <c r="N10" s="264" t="s">
        <v>7</v>
      </c>
      <c r="O10" s="270">
        <v>40640.5</v>
      </c>
      <c r="P10" s="266">
        <v>4198242.66</v>
      </c>
    </row>
    <row r="11" spans="1:16">
      <c r="A11" s="85" t="s">
        <v>136</v>
      </c>
      <c r="B11" s="86" t="s">
        <v>137</v>
      </c>
      <c r="C11" s="94"/>
      <c r="D11" s="94"/>
      <c r="E11" s="94"/>
      <c r="F11" s="94"/>
      <c r="G11" s="94"/>
      <c r="I11" s="99" t="s">
        <v>9</v>
      </c>
      <c r="J11" s="98">
        <v>0</v>
      </c>
      <c r="K11" s="98" t="e">
        <f t="shared" si="0"/>
        <v>#DIV/0!</v>
      </c>
      <c r="L11" s="98">
        <v>0</v>
      </c>
      <c r="N11" s="264" t="s">
        <v>12</v>
      </c>
      <c r="O11" s="270">
        <v>12228.8</v>
      </c>
      <c r="P11" s="266">
        <v>1263198</v>
      </c>
    </row>
    <row r="12" spans="1:16">
      <c r="A12" s="88">
        <v>1</v>
      </c>
      <c r="B12" s="89" t="s">
        <v>138</v>
      </c>
      <c r="C12" s="95">
        <v>1117.55</v>
      </c>
      <c r="D12" s="91">
        <f>C12/31*$D$1</f>
        <v>721</v>
      </c>
      <c r="E12" s="91" t="e">
        <f>Sheet2!B3/100000</f>
        <v>#REF!</v>
      </c>
      <c r="F12" s="91">
        <f>$J$22/1000</f>
        <v>493.77570000000003</v>
      </c>
      <c r="G12" s="91" t="e">
        <f>+E12/F12*100</f>
        <v>#REF!</v>
      </c>
      <c r="I12" s="99" t="s">
        <v>10</v>
      </c>
      <c r="J12" s="98"/>
      <c r="K12" s="182" t="e">
        <f t="shared" si="0"/>
        <v>#DIV/0!</v>
      </c>
      <c r="L12" s="98"/>
      <c r="N12" s="264" t="s">
        <v>145</v>
      </c>
      <c r="O12" s="270">
        <v>7960</v>
      </c>
      <c r="P12" s="266">
        <v>119400</v>
      </c>
    </row>
    <row r="13" spans="1:16">
      <c r="A13" s="88">
        <v>2</v>
      </c>
      <c r="B13" s="89" t="s">
        <v>139</v>
      </c>
      <c r="C13" s="95">
        <v>0</v>
      </c>
      <c r="D13" s="91">
        <f>C13/31*$D$1</f>
        <v>0</v>
      </c>
      <c r="E13" s="91"/>
      <c r="F13" s="91"/>
      <c r="G13" s="91"/>
      <c r="I13" s="12" t="s">
        <v>11</v>
      </c>
      <c r="J13" s="98">
        <f>GETPIVOTDATA("Sum of Quantity",$N$5,"Item Name","Pp Wastage")</f>
        <v>7960</v>
      </c>
      <c r="K13" s="98">
        <f t="shared" si="0"/>
        <v>15</v>
      </c>
      <c r="L13" s="98">
        <f>GETPIVOTDATA("Sum of Amount",$N$5,"Item Name","Pp Wastage")</f>
        <v>119400</v>
      </c>
      <c r="N13" s="264" t="s">
        <v>288</v>
      </c>
      <c r="O13" s="265">
        <v>18000</v>
      </c>
      <c r="P13" s="266">
        <v>1365550</v>
      </c>
    </row>
    <row r="14" spans="1:16">
      <c r="A14" s="88">
        <v>3</v>
      </c>
      <c r="B14" s="89" t="s">
        <v>57</v>
      </c>
      <c r="C14" s="95">
        <v>0</v>
      </c>
      <c r="D14" s="91">
        <f>C14/31*$D$1</f>
        <v>0</v>
      </c>
      <c r="E14" s="91" t="e">
        <f>(Sheet2!B15+Sheet2!B27)/100000</f>
        <v>#REF!</v>
      </c>
      <c r="F14" s="91">
        <f>F12</f>
        <v>493.77570000000003</v>
      </c>
      <c r="G14" s="91" t="e">
        <f>+E14/F14*100</f>
        <v>#REF!</v>
      </c>
      <c r="I14" s="12" t="s">
        <v>12</v>
      </c>
      <c r="J14" s="98">
        <f>GETPIVOTDATA("Sum of Quantity",$N$5,"Item Name","PP WEBBING (FG)")</f>
        <v>12228.8</v>
      </c>
      <c r="K14" s="98">
        <f t="shared" si="0"/>
        <v>103.29697108465263</v>
      </c>
      <c r="L14" s="176">
        <f>GETPIVOTDATA("Sum of Amount",$N$5,"Item Name","PP WEBBING (FG)")</f>
        <v>1263198</v>
      </c>
      <c r="N14" s="264" t="s">
        <v>13</v>
      </c>
      <c r="O14" s="265">
        <v>8500</v>
      </c>
      <c r="P14" s="266">
        <v>250750</v>
      </c>
    </row>
    <row r="15" spans="1:16">
      <c r="A15" s="85"/>
      <c r="B15" s="86" t="s">
        <v>95</v>
      </c>
      <c r="C15" s="96">
        <f>SUM(C12:C14)</f>
        <v>1117.55</v>
      </c>
      <c r="D15" s="96">
        <f>SUM(D12:D14)</f>
        <v>721</v>
      </c>
      <c r="E15" s="96" t="e">
        <f>SUM(E12:E14)</f>
        <v>#REF!</v>
      </c>
      <c r="F15" s="96"/>
      <c r="G15" s="96" t="e">
        <f>SUM(G12:G14)</f>
        <v>#REF!</v>
      </c>
      <c r="I15" s="12" t="s">
        <v>13</v>
      </c>
      <c r="J15" s="98">
        <f>GETPIVOTDATA("Sum of Quantity",$N$5,"Item Name","Filler")</f>
        <v>8500</v>
      </c>
      <c r="K15" s="98">
        <f t="shared" si="0"/>
        <v>29.5</v>
      </c>
      <c r="L15" s="98">
        <f>GETPIVOTDATA("Sum of Amount",$N$5,"Item Name","Filler")</f>
        <v>250750</v>
      </c>
      <c r="N15" s="264" t="s">
        <v>14</v>
      </c>
      <c r="O15" s="265">
        <v>500</v>
      </c>
      <c r="P15" s="266">
        <v>70500</v>
      </c>
    </row>
    <row r="16" spans="1:16">
      <c r="A16" s="85" t="s">
        <v>140</v>
      </c>
      <c r="B16" s="86" t="s">
        <v>141</v>
      </c>
      <c r="C16" s="96"/>
      <c r="D16" s="96"/>
      <c r="E16" s="96"/>
      <c r="F16" s="96"/>
      <c r="G16" s="96"/>
      <c r="I16" s="12" t="s">
        <v>14</v>
      </c>
      <c r="J16" s="98">
        <f>GETPIVOTDATA("Sum of Quantity",$N$5,"Item Name","Master Batch")</f>
        <v>500</v>
      </c>
      <c r="K16" s="98">
        <f t="shared" si="0"/>
        <v>141</v>
      </c>
      <c r="L16" s="98">
        <f>GETPIVOTDATA("Sum of Amount",$N$5,"Item Name","Master Batch")</f>
        <v>70500</v>
      </c>
      <c r="M16" s="30"/>
      <c r="N16" s="264" t="s">
        <v>15</v>
      </c>
      <c r="O16" s="265">
        <v>125</v>
      </c>
      <c r="P16" s="266">
        <v>8531</v>
      </c>
    </row>
    <row r="17" spans="1:16">
      <c r="A17" s="88">
        <v>1</v>
      </c>
      <c r="B17" s="89" t="s">
        <v>142</v>
      </c>
      <c r="C17" s="95">
        <v>540.75</v>
      </c>
      <c r="D17" s="91">
        <f t="shared" ref="D17:D22" si="1">C17/31*$D$1</f>
        <v>348.87096774193549</v>
      </c>
      <c r="E17" s="91" t="e">
        <f>#REF!/100000</f>
        <v>#REF!</v>
      </c>
      <c r="F17" s="91" t="e">
        <f>#REF!/1000</f>
        <v>#REF!</v>
      </c>
      <c r="G17" s="91" t="e">
        <f t="shared" ref="G17:G24" si="2">+E17/F17*100</f>
        <v>#REF!</v>
      </c>
      <c r="I17" s="12" t="s">
        <v>15</v>
      </c>
      <c r="J17" s="98">
        <f>GETPIVOTDATA("Sum of Quantity",$N$5,"Item Name","LLDPE GRANULES")</f>
        <v>125</v>
      </c>
      <c r="K17" s="98">
        <f t="shared" si="0"/>
        <v>68.248000000000005</v>
      </c>
      <c r="L17" s="98">
        <f>GETPIVOTDATA("Sum of Amount",$N$5,"Item Name","LLDPE GRANULES")</f>
        <v>8531</v>
      </c>
      <c r="M17" s="30"/>
      <c r="N17" s="264" t="s">
        <v>384</v>
      </c>
      <c r="O17" s="265">
        <v>5958.1</v>
      </c>
      <c r="P17" s="266">
        <v>931307</v>
      </c>
    </row>
    <row r="18" spans="1:16">
      <c r="A18" s="88">
        <f>A17+1</f>
        <v>2</v>
      </c>
      <c r="B18" s="89" t="s">
        <v>46</v>
      </c>
      <c r="C18" s="95">
        <v>61.284999999999997</v>
      </c>
      <c r="D18" s="91">
        <f t="shared" si="1"/>
        <v>39.538709677419355</v>
      </c>
      <c r="E18" s="91" t="e">
        <f>Sheet2!B44/100000</f>
        <v>#REF!</v>
      </c>
      <c r="F18" s="91">
        <f>F12</f>
        <v>493.77570000000003</v>
      </c>
      <c r="G18" s="91" t="e">
        <f t="shared" si="2"/>
        <v>#REF!</v>
      </c>
      <c r="I18" s="99" t="s">
        <v>288</v>
      </c>
      <c r="J18" s="100">
        <f>GETPIVOTDATA("Sum of Quantity",$N$5,"Item Name","Pp Granuales")</f>
        <v>18000</v>
      </c>
      <c r="K18" s="98">
        <f t="shared" si="0"/>
        <v>75.863888888888894</v>
      </c>
      <c r="L18" s="100">
        <f>GETPIVOTDATA("Sum of Amount",$N$5,"Item Name","Pp Granuales")</f>
        <v>1365550</v>
      </c>
      <c r="M18" s="30"/>
      <c r="N18" s="267" t="s">
        <v>153</v>
      </c>
      <c r="O18" s="268">
        <v>493775.7</v>
      </c>
      <c r="P18" s="269">
        <v>64943956.719999999</v>
      </c>
    </row>
    <row r="19" spans="1:16" ht="15">
      <c r="A19" s="88">
        <f>A18+1</f>
        <v>3</v>
      </c>
      <c r="B19" s="89" t="s">
        <v>143</v>
      </c>
      <c r="C19" s="95">
        <v>158.62</v>
      </c>
      <c r="D19" s="91">
        <f t="shared" si="1"/>
        <v>102.33548387096775</v>
      </c>
      <c r="E19" s="91" t="e">
        <f>Sheet2!B42/100000</f>
        <v>#REF!</v>
      </c>
      <c r="F19" s="91">
        <f>F18</f>
        <v>493.77570000000003</v>
      </c>
      <c r="G19" s="91" t="e">
        <f t="shared" si="2"/>
        <v>#REF!</v>
      </c>
      <c r="I19" s="99" t="s">
        <v>291</v>
      </c>
      <c r="J19" s="100"/>
      <c r="K19" s="98" t="e">
        <f t="shared" si="0"/>
        <v>#DIV/0!</v>
      </c>
      <c r="L19" s="100"/>
      <c r="M19" s="30"/>
      <c r="N19"/>
      <c r="O19"/>
      <c r="P19"/>
    </row>
    <row r="20" spans="1:16" ht="15">
      <c r="A20" s="88">
        <f>A19+1</f>
        <v>4</v>
      </c>
      <c r="B20" s="89" t="s">
        <v>26</v>
      </c>
      <c r="C20" s="95">
        <v>14.42</v>
      </c>
      <c r="D20" s="91">
        <f t="shared" si="1"/>
        <v>9.3032258064516125</v>
      </c>
      <c r="E20" s="91">
        <v>0</v>
      </c>
      <c r="F20" s="91">
        <f>F19</f>
        <v>493.77570000000003</v>
      </c>
      <c r="G20" s="91">
        <f t="shared" si="2"/>
        <v>0</v>
      </c>
      <c r="I20" s="99" t="s">
        <v>316</v>
      </c>
      <c r="J20" s="100"/>
      <c r="K20" s="98" t="e">
        <f t="shared" si="0"/>
        <v>#DIV/0!</v>
      </c>
      <c r="L20" s="100"/>
      <c r="M20" s="30"/>
      <c r="N20"/>
      <c r="O20"/>
      <c r="P20"/>
    </row>
    <row r="21" spans="1:16" ht="15">
      <c r="A21" s="88">
        <f>A20+1</f>
        <v>5</v>
      </c>
      <c r="B21" s="89" t="s">
        <v>146</v>
      </c>
      <c r="C21" s="95">
        <v>14.42</v>
      </c>
      <c r="D21" s="91">
        <f t="shared" si="1"/>
        <v>9.3032258064516125</v>
      </c>
      <c r="E21" s="91" t="e">
        <f>Sheet2!B34/100000</f>
        <v>#REF!</v>
      </c>
      <c r="F21" s="91">
        <f>F20</f>
        <v>493.77570000000003</v>
      </c>
      <c r="G21" s="91" t="e">
        <f t="shared" si="2"/>
        <v>#REF!</v>
      </c>
      <c r="I21" s="99"/>
      <c r="J21" s="100"/>
      <c r="K21" s="100"/>
      <c r="L21" s="100"/>
      <c r="M21" s="30"/>
      <c r="N21"/>
      <c r="O21"/>
      <c r="P21"/>
    </row>
    <row r="22" spans="1:16" ht="15">
      <c r="A22" s="88">
        <f>A21+1</f>
        <v>6</v>
      </c>
      <c r="B22" s="89" t="s">
        <v>147</v>
      </c>
      <c r="C22" s="95">
        <v>10.815</v>
      </c>
      <c r="D22" s="91">
        <f t="shared" si="1"/>
        <v>6.9774193548387098</v>
      </c>
      <c r="E22" s="91">
        <v>0</v>
      </c>
      <c r="F22" s="91">
        <f>F21</f>
        <v>493.77570000000003</v>
      </c>
      <c r="G22" s="91">
        <f t="shared" si="2"/>
        <v>0</v>
      </c>
      <c r="I22" s="101" t="s">
        <v>144</v>
      </c>
      <c r="J22" s="102">
        <f>SUM(J6:J21)</f>
        <v>493775.7</v>
      </c>
      <c r="K22" s="102">
        <f>L22/J22</f>
        <v>131.52521827218308</v>
      </c>
      <c r="L22" s="102">
        <f>SUM(L6:L21)</f>
        <v>64943956.719999999</v>
      </c>
      <c r="M22" s="30"/>
      <c r="N22"/>
      <c r="O22"/>
      <c r="P22"/>
    </row>
    <row r="23" spans="1:16" ht="15">
      <c r="A23" s="88">
        <v>7</v>
      </c>
      <c r="B23" s="89" t="s">
        <v>148</v>
      </c>
      <c r="C23" s="95">
        <v>0</v>
      </c>
      <c r="D23" s="91">
        <v>0</v>
      </c>
      <c r="E23" s="91" t="e">
        <f>Sheet2!B45/100000</f>
        <v>#REF!</v>
      </c>
      <c r="F23" s="91">
        <f>F22</f>
        <v>493.77570000000003</v>
      </c>
      <c r="G23" s="91" t="e">
        <f t="shared" si="2"/>
        <v>#REF!</v>
      </c>
      <c r="J23" s="103">
        <f>J22-GETPIVOTDATA("Sum of Quantity",$N$5)</f>
        <v>0</v>
      </c>
      <c r="L23" s="103">
        <f>L22-GETPIVOTDATA("Sum of Amount",$N$5)</f>
        <v>0</v>
      </c>
      <c r="N23"/>
      <c r="O23"/>
      <c r="P23"/>
    </row>
    <row r="24" spans="1:16" ht="15">
      <c r="A24" s="88">
        <v>8</v>
      </c>
      <c r="B24" s="89" t="s">
        <v>149</v>
      </c>
      <c r="C24" s="95">
        <v>0</v>
      </c>
      <c r="D24" s="91">
        <v>0</v>
      </c>
      <c r="E24" s="91" t="e">
        <f>(Sheet2!B46+Sheet2!B54+Sheet2!B61)/100000</f>
        <v>#REF!</v>
      </c>
      <c r="F24" s="91" t="e">
        <f>#REF!/1000</f>
        <v>#REF!</v>
      </c>
      <c r="G24" s="91" t="e">
        <f t="shared" si="2"/>
        <v>#REF!</v>
      </c>
      <c r="J24" s="14">
        <f>+J8+J9</f>
        <v>125697.00000000001</v>
      </c>
      <c r="K24" s="14">
        <f>+L24/J24</f>
        <v>104.54109143416309</v>
      </c>
      <c r="L24" s="14">
        <f>+L8+L9</f>
        <v>13140501.57</v>
      </c>
      <c r="N24"/>
      <c r="O24"/>
      <c r="P24"/>
    </row>
    <row r="25" spans="1:16" ht="15">
      <c r="A25" s="85"/>
      <c r="B25" s="86" t="s">
        <v>95</v>
      </c>
      <c r="C25" s="96">
        <f>SUM(C17:C24)</f>
        <v>800.31</v>
      </c>
      <c r="D25" s="96">
        <f>SUM(D17:D24)</f>
        <v>516.32903225806456</v>
      </c>
      <c r="E25" s="96" t="e">
        <f>SUM(E17:E24)</f>
        <v>#REF!</v>
      </c>
      <c r="F25" s="96"/>
      <c r="G25" s="96" t="e">
        <f>SUM(G17:G24)</f>
        <v>#REF!</v>
      </c>
      <c r="N25"/>
      <c r="O25"/>
      <c r="P25"/>
    </row>
    <row r="26" spans="1:16" ht="15">
      <c r="A26" s="88" t="s">
        <v>150</v>
      </c>
      <c r="B26" s="89" t="s">
        <v>151</v>
      </c>
      <c r="C26" s="95">
        <f>C15-C25</f>
        <v>317.24</v>
      </c>
      <c r="D26" s="95">
        <f>D15-D25</f>
        <v>204.67096774193544</v>
      </c>
      <c r="E26" s="95" t="e">
        <f>E15-E25</f>
        <v>#REF!</v>
      </c>
      <c r="F26" s="95"/>
      <c r="G26" s="95" t="e">
        <f>G15-G25</f>
        <v>#REF!</v>
      </c>
      <c r="H26" s="97"/>
      <c r="N26"/>
      <c r="O26"/>
      <c r="P26"/>
    </row>
    <row r="27" spans="1:16" ht="15">
      <c r="A27" s="88"/>
      <c r="B27" s="89" t="s">
        <v>152</v>
      </c>
      <c r="C27" s="92">
        <f>C26/C12</f>
        <v>0.28387096774193549</v>
      </c>
      <c r="D27" s="92">
        <f>D26/D12</f>
        <v>0.28387096774193543</v>
      </c>
      <c r="E27" s="92" t="e">
        <f>E26/E12</f>
        <v>#REF!</v>
      </c>
      <c r="F27" s="92"/>
      <c r="G27" s="92" t="e">
        <f>G26/G12</f>
        <v>#REF!</v>
      </c>
      <c r="N27"/>
      <c r="O27"/>
      <c r="P27"/>
    </row>
    <row r="28" spans="1:16" ht="15">
      <c r="N28"/>
      <c r="O28" s="132">
        <f>+GETPIVOTDATA("Sum of Quantity",$N$5)-J22</f>
        <v>0</v>
      </c>
      <c r="P28" s="132">
        <f>+GETPIVOTDATA("Sum of Amount",$N$5)-L22</f>
        <v>0</v>
      </c>
    </row>
    <row r="29" spans="1:16">
      <c r="E29" s="30" t="e">
        <f>#REF!/100000</f>
        <v>#REF!</v>
      </c>
      <c r="F29" s="30"/>
      <c r="G29" s="30"/>
      <c r="P29" s="10">
        <f>GETPIVOTDATA("Sum of Amount",$N$5)/GETPIVOTDATA("Sum of Quantity",$N$5)</f>
        <v>131.52521827218308</v>
      </c>
    </row>
    <row r="30" spans="1:16">
      <c r="E30" s="30" t="e">
        <f>+E26-E29</f>
        <v>#REF!</v>
      </c>
      <c r="F30" s="30"/>
      <c r="G30" s="30"/>
    </row>
    <row r="32" spans="1:16">
      <c r="M32" s="30"/>
      <c r="O32" s="30">
        <f>+J22-GETPIVOTDATA("Sum of Quantity",$N$5)</f>
        <v>0</v>
      </c>
      <c r="P32" s="30">
        <f>+L22-GETPIVOTDATA("Sum of Amount",$N$5)</f>
        <v>0</v>
      </c>
    </row>
    <row r="33" spans="2:13">
      <c r="M33" s="30"/>
    </row>
    <row r="35" spans="2:13">
      <c r="C35" s="10" t="s">
        <v>103</v>
      </c>
      <c r="D35" s="10" t="s">
        <v>154</v>
      </c>
      <c r="E35" s="10" t="s">
        <v>155</v>
      </c>
    </row>
    <row r="36" spans="2:13">
      <c r="B36" s="10" t="s">
        <v>63</v>
      </c>
      <c r="C36" s="10" t="e">
        <f>#REF!/1000</f>
        <v>#REF!</v>
      </c>
      <c r="D36" s="10" t="e">
        <f>(#REF!++#REF!)/1000</f>
        <v>#REF!</v>
      </c>
      <c r="E36" s="10" t="e">
        <f>#REF!/1000</f>
        <v>#REF!</v>
      </c>
    </row>
    <row r="37" spans="2:13">
      <c r="B37" s="10" t="s">
        <v>75</v>
      </c>
      <c r="C37" s="10" t="e">
        <f>(#REF!+#REF!)/1000</f>
        <v>#REF!</v>
      </c>
      <c r="D37" s="10" t="e">
        <f>(#REF!+#REF!)/1000</f>
        <v>#REF!</v>
      </c>
    </row>
    <row r="38" spans="2:13">
      <c r="D38" s="10" t="e">
        <f>(#REF!+#REF!)/1000</f>
        <v>#REF!</v>
      </c>
    </row>
    <row r="39" spans="2:13">
      <c r="B39" s="10" t="s">
        <v>135</v>
      </c>
      <c r="C39" s="10" t="e">
        <f>#REF!/1000</f>
        <v>#REF!</v>
      </c>
      <c r="D39" s="10" t="e">
        <f>(#REF!+#REF!)/1000</f>
        <v>#REF!</v>
      </c>
      <c r="E39" s="10" t="e">
        <f>#REF!/1000</f>
        <v>#REF!</v>
      </c>
    </row>
    <row r="40" spans="2:13">
      <c r="E40" s="97"/>
    </row>
    <row r="41" spans="2:13">
      <c r="E41" s="10" t="e">
        <f>+E39-E36</f>
        <v>#REF!</v>
      </c>
    </row>
    <row r="42" spans="2:13">
      <c r="E42" s="10" t="e">
        <f>+E41*165</f>
        <v>#REF!</v>
      </c>
    </row>
  </sheetData>
  <mergeCells count="3">
    <mergeCell ref="C2:D2"/>
    <mergeCell ref="A2:A3"/>
    <mergeCell ref="B2:B3"/>
  </mergeCells>
  <pageMargins left="0.35763888888888901" right="0.196527777777778" top="0.21249999999999999" bottom="0" header="0" footer="0"/>
  <pageSetup paperSize="9" scale="85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sqref="A1:A2"/>
    </sheetView>
  </sheetViews>
  <sheetFormatPr defaultColWidth="9.140625" defaultRowHeight="12.75"/>
  <cols>
    <col min="1" max="1" width="57.28515625" style="41" customWidth="1"/>
    <col min="2" max="2" width="16.5703125" style="41"/>
    <col min="3" max="3" width="10.5703125" style="41" customWidth="1"/>
    <col min="4" max="5" width="13.5703125" style="41"/>
    <col min="6" max="16384" width="9.140625" style="41"/>
  </cols>
  <sheetData>
    <row r="1" spans="1:5">
      <c r="A1" s="374" t="s">
        <v>119</v>
      </c>
      <c r="B1" s="376" t="s">
        <v>156</v>
      </c>
      <c r="D1" s="41" t="s">
        <v>157</v>
      </c>
      <c r="E1" s="41" t="s">
        <v>158</v>
      </c>
    </row>
    <row r="2" spans="1:5">
      <c r="A2" s="375"/>
      <c r="B2" s="375"/>
    </row>
    <row r="3" spans="1:5">
      <c r="A3" s="69" t="s">
        <v>159</v>
      </c>
      <c r="B3" s="70" t="e">
        <f>#REF!</f>
        <v>#REF!</v>
      </c>
      <c r="C3" s="67"/>
      <c r="D3" s="67"/>
      <c r="E3" s="67"/>
    </row>
    <row r="4" spans="1:5">
      <c r="A4" s="69" t="s">
        <v>160</v>
      </c>
      <c r="B4" s="70">
        <v>0</v>
      </c>
      <c r="C4" s="67"/>
      <c r="D4" s="67"/>
      <c r="E4" s="67"/>
    </row>
    <row r="5" spans="1:5">
      <c r="A5" s="71" t="s">
        <v>161</v>
      </c>
      <c r="B5" s="72" t="e">
        <f>SUM(B3:B4)</f>
        <v>#REF!</v>
      </c>
      <c r="C5" s="67"/>
      <c r="D5" s="67">
        <v>115693026</v>
      </c>
      <c r="E5" s="67">
        <v>150815314</v>
      </c>
    </row>
    <row r="6" spans="1:5">
      <c r="A6" s="73" t="s">
        <v>162</v>
      </c>
      <c r="B6" s="74"/>
      <c r="C6" s="67"/>
      <c r="D6" s="67"/>
      <c r="E6" s="67"/>
    </row>
    <row r="7" spans="1:5">
      <c r="A7" s="69" t="s">
        <v>163</v>
      </c>
      <c r="B7" s="70">
        <v>0</v>
      </c>
      <c r="C7" s="67"/>
      <c r="D7" s="67"/>
      <c r="E7" s="67"/>
    </row>
    <row r="8" spans="1:5">
      <c r="A8" s="71" t="s">
        <v>164</v>
      </c>
      <c r="B8" s="72">
        <f>SUM(B7)</f>
        <v>0</v>
      </c>
      <c r="C8" s="67"/>
      <c r="D8" s="67"/>
      <c r="E8" s="67"/>
    </row>
    <row r="9" spans="1:5">
      <c r="A9" s="73" t="s">
        <v>165</v>
      </c>
      <c r="B9" s="74"/>
      <c r="C9" s="67"/>
      <c r="D9" s="67"/>
      <c r="E9" s="67"/>
    </row>
    <row r="10" spans="1:5">
      <c r="A10" s="75" t="s">
        <v>166</v>
      </c>
      <c r="B10" s="76" t="e">
        <f>#REF!</f>
        <v>#REF!</v>
      </c>
      <c r="C10" s="67"/>
      <c r="D10" s="67">
        <v>1429262</v>
      </c>
      <c r="E10" s="67">
        <v>2578757</v>
      </c>
    </row>
    <row r="11" spans="1:5">
      <c r="A11" s="69" t="s">
        <v>167</v>
      </c>
      <c r="B11" s="76" t="e">
        <f>-#REF!</f>
        <v>#REF!</v>
      </c>
      <c r="C11" s="67"/>
      <c r="D11" s="67"/>
      <c r="E11" s="67"/>
    </row>
    <row r="12" spans="1:5">
      <c r="A12" s="69" t="s">
        <v>224</v>
      </c>
      <c r="B12" s="76" t="e">
        <f>#REF!</f>
        <v>#REF!</v>
      </c>
      <c r="C12" s="141"/>
      <c r="D12" s="141"/>
      <c r="E12" s="141"/>
    </row>
    <row r="13" spans="1:5">
      <c r="A13" s="69" t="s">
        <v>168</v>
      </c>
      <c r="B13" s="70">
        <v>0</v>
      </c>
      <c r="C13" s="67"/>
      <c r="D13" s="67"/>
      <c r="E13" s="67"/>
    </row>
    <row r="14" spans="1:5">
      <c r="A14" s="69" t="s">
        <v>169</v>
      </c>
      <c r="B14" s="70">
        <v>0</v>
      </c>
      <c r="C14" s="67"/>
      <c r="D14" s="67"/>
      <c r="E14" s="67"/>
    </row>
    <row r="15" spans="1:5">
      <c r="A15" s="71" t="s">
        <v>170</v>
      </c>
      <c r="B15" s="72" t="e">
        <f>SUM(B10:B14)</f>
        <v>#REF!</v>
      </c>
      <c r="C15" s="67"/>
      <c r="D15" s="67">
        <f>SUM(D10:D14)</f>
        <v>1429262</v>
      </c>
      <c r="E15" s="67">
        <f>SUM(E10:E14)</f>
        <v>2578757</v>
      </c>
    </row>
    <row r="16" spans="1:5">
      <c r="A16" s="73" t="s">
        <v>171</v>
      </c>
      <c r="B16" s="74"/>
      <c r="C16" s="67"/>
      <c r="D16" s="67"/>
      <c r="E16" s="67"/>
    </row>
    <row r="17" spans="1:5">
      <c r="A17" s="77" t="s">
        <v>172</v>
      </c>
      <c r="B17" s="78" t="e">
        <f>#REF!</f>
        <v>#REF!</v>
      </c>
      <c r="C17" s="67"/>
      <c r="D17" s="67">
        <v>258868</v>
      </c>
      <c r="E17" s="67">
        <v>289012</v>
      </c>
    </row>
    <row r="18" spans="1:5">
      <c r="A18" s="69" t="s">
        <v>173</v>
      </c>
      <c r="B18" s="70">
        <v>0</v>
      </c>
      <c r="C18" s="67"/>
      <c r="D18" s="67"/>
      <c r="E18" s="67"/>
    </row>
    <row r="19" spans="1:5">
      <c r="A19" s="69" t="s">
        <v>174</v>
      </c>
      <c r="B19" s="70">
        <v>0</v>
      </c>
      <c r="C19" s="67"/>
      <c r="D19" s="67"/>
      <c r="E19" s="67"/>
    </row>
    <row r="20" spans="1:5">
      <c r="A20" s="69" t="s">
        <v>175</v>
      </c>
      <c r="B20" s="70">
        <v>0</v>
      </c>
      <c r="C20" s="67"/>
      <c r="D20" s="67"/>
      <c r="E20" s="67"/>
    </row>
    <row r="21" spans="1:5" hidden="1">
      <c r="A21" s="69" t="s">
        <v>176</v>
      </c>
      <c r="B21" s="70"/>
      <c r="C21" s="67"/>
      <c r="D21" s="67"/>
      <c r="E21" s="67"/>
    </row>
    <row r="22" spans="1:5" hidden="1">
      <c r="A22" s="69" t="s">
        <v>177</v>
      </c>
      <c r="B22" s="70">
        <v>0</v>
      </c>
      <c r="C22" s="67"/>
      <c r="D22" s="67"/>
      <c r="E22" s="67"/>
    </row>
    <row r="23" spans="1:5" hidden="1">
      <c r="A23" s="69" t="s">
        <v>178</v>
      </c>
      <c r="B23" s="70">
        <v>0</v>
      </c>
      <c r="C23" s="67"/>
      <c r="D23" s="67"/>
      <c r="E23" s="67"/>
    </row>
    <row r="24" spans="1:5" hidden="1">
      <c r="A24" s="69" t="s">
        <v>179</v>
      </c>
      <c r="B24" s="70">
        <v>0</v>
      </c>
      <c r="C24" s="67"/>
      <c r="D24" s="67"/>
      <c r="E24" s="67"/>
    </row>
    <row r="25" spans="1:5">
      <c r="A25" s="69" t="s">
        <v>180</v>
      </c>
      <c r="B25" s="70"/>
      <c r="C25" s="67"/>
      <c r="D25" s="67"/>
      <c r="E25" s="67"/>
    </row>
    <row r="26" spans="1:5">
      <c r="A26" s="69" t="s">
        <v>181</v>
      </c>
      <c r="B26" s="70">
        <v>0</v>
      </c>
      <c r="C26" s="67"/>
      <c r="D26" s="67">
        <v>0</v>
      </c>
      <c r="E26" s="67">
        <v>0</v>
      </c>
    </row>
    <row r="27" spans="1:5">
      <c r="A27" s="71" t="s">
        <v>182</v>
      </c>
      <c r="B27" s="72" t="e">
        <f>SUM(B17:B26)</f>
        <v>#REF!</v>
      </c>
      <c r="C27" s="67"/>
      <c r="D27" s="67">
        <f>SUM(E17:E26)</f>
        <v>289012</v>
      </c>
      <c r="E27" s="67">
        <f>SUM(D17:D26)</f>
        <v>258868</v>
      </c>
    </row>
    <row r="28" spans="1:5">
      <c r="A28" s="71" t="s">
        <v>183</v>
      </c>
      <c r="B28" s="72" t="e">
        <f>B5+B8+B15+B27</f>
        <v>#REF!</v>
      </c>
      <c r="C28" s="67"/>
      <c r="D28" s="67">
        <f>D5+D8+D15+E27</f>
        <v>117381156</v>
      </c>
      <c r="E28" s="67">
        <f>E5+E8+E15+D27</f>
        <v>153683083</v>
      </c>
    </row>
    <row r="29" spans="1:5">
      <c r="A29" s="69"/>
      <c r="B29" s="70">
        <v>0</v>
      </c>
      <c r="C29" s="67"/>
      <c r="D29" s="67"/>
      <c r="E29" s="67"/>
    </row>
    <row r="30" spans="1:5">
      <c r="A30" s="73" t="s">
        <v>184</v>
      </c>
      <c r="B30" s="74"/>
      <c r="C30" s="67"/>
      <c r="D30" s="67"/>
      <c r="E30" s="67"/>
    </row>
    <row r="31" spans="1:5">
      <c r="A31" s="75" t="s">
        <v>185</v>
      </c>
      <c r="B31" s="76" t="e">
        <f>SUM(#REF!)+C31</f>
        <v>#REF!</v>
      </c>
      <c r="C31" s="79" t="e">
        <f>SUMIF(#REF!,"Add: Purchase expenses",#REF!)</f>
        <v>#REF!</v>
      </c>
      <c r="D31" s="67">
        <v>71292822</v>
      </c>
      <c r="E31" s="67">
        <v>111910571</v>
      </c>
    </row>
    <row r="32" spans="1:5">
      <c r="A32" s="75" t="s">
        <v>186</v>
      </c>
      <c r="B32" s="76">
        <v>0</v>
      </c>
      <c r="C32" s="67"/>
      <c r="D32" s="67"/>
      <c r="E32" s="67"/>
    </row>
    <row r="33" spans="1:5">
      <c r="A33" s="75" t="s">
        <v>187</v>
      </c>
      <c r="B33" s="76" t="e">
        <f>SUM(#REF!)</f>
        <v>#REF!</v>
      </c>
      <c r="C33" s="67"/>
      <c r="D33" s="67">
        <v>-3450754</v>
      </c>
      <c r="E33" s="67">
        <v>-5251988</v>
      </c>
    </row>
    <row r="34" spans="1:5">
      <c r="A34" s="75" t="s">
        <v>188</v>
      </c>
      <c r="B34" s="76" t="e">
        <f>#REF!</f>
        <v>#REF!</v>
      </c>
      <c r="C34" s="67"/>
      <c r="D34" s="67">
        <v>1844344</v>
      </c>
      <c r="E34" s="67">
        <v>743991</v>
      </c>
    </row>
    <row r="35" spans="1:5">
      <c r="A35" s="71" t="s">
        <v>189</v>
      </c>
      <c r="B35" s="72" t="e">
        <f>SUM(B31:B34)</f>
        <v>#REF!</v>
      </c>
      <c r="C35" s="67"/>
      <c r="D35" s="67">
        <f>SUM(D31:D34)</f>
        <v>69686412</v>
      </c>
      <c r="E35" s="67">
        <f>SUM(E31:E34)</f>
        <v>107402574</v>
      </c>
    </row>
    <row r="36" spans="1:5">
      <c r="A36" s="73" t="s">
        <v>190</v>
      </c>
      <c r="B36" s="74"/>
      <c r="C36" s="67"/>
      <c r="D36" s="67"/>
      <c r="E36" s="67"/>
    </row>
    <row r="37" spans="1:5">
      <c r="A37" s="75" t="s">
        <v>191</v>
      </c>
      <c r="B37" s="76" t="e">
        <f>SUMIF(#REF!,A37,#REF!)+#REF!</f>
        <v>#REF!</v>
      </c>
      <c r="C37" s="67"/>
      <c r="D37" s="67">
        <v>13443755</v>
      </c>
      <c r="E37" s="67">
        <v>13987529</v>
      </c>
    </row>
    <row r="38" spans="1:5">
      <c r="A38" s="75" t="s">
        <v>192</v>
      </c>
      <c r="B38" s="76"/>
      <c r="C38" s="67"/>
      <c r="D38" s="67"/>
      <c r="E38" s="67"/>
    </row>
    <row r="39" spans="1:5">
      <c r="A39" s="75" t="s">
        <v>193</v>
      </c>
      <c r="B39" s="76"/>
      <c r="C39" s="67"/>
      <c r="D39" s="67"/>
      <c r="E39" s="67"/>
    </row>
    <row r="40" spans="1:5">
      <c r="A40" s="75" t="s">
        <v>194</v>
      </c>
      <c r="B40" s="76" t="e">
        <f>SUMIF(#REF!,A40,#REF!)</f>
        <v>#REF!</v>
      </c>
      <c r="C40" s="67"/>
      <c r="D40" s="67"/>
      <c r="E40" s="67"/>
    </row>
    <row r="41" spans="1:5">
      <c r="A41" s="75" t="s">
        <v>195</v>
      </c>
      <c r="B41" s="76"/>
      <c r="C41" s="67"/>
      <c r="D41" s="67"/>
      <c r="E41" s="67"/>
    </row>
    <row r="42" spans="1:5">
      <c r="A42" s="71" t="s">
        <v>196</v>
      </c>
      <c r="B42" s="72" t="e">
        <f>SUM(B37:B41)</f>
        <v>#REF!</v>
      </c>
      <c r="C42" s="67"/>
      <c r="D42" s="67">
        <f>SUM(D37:D41)</f>
        <v>13443755</v>
      </c>
      <c r="E42" s="67">
        <f>SUM(E37:E41)</f>
        <v>13987529</v>
      </c>
    </row>
    <row r="43" spans="1:5">
      <c r="A43" s="73" t="s">
        <v>197</v>
      </c>
      <c r="B43" s="74"/>
      <c r="C43" s="67"/>
      <c r="D43" s="67"/>
      <c r="E43" s="67"/>
    </row>
    <row r="44" spans="1:5">
      <c r="A44" s="69" t="s">
        <v>198</v>
      </c>
      <c r="B44" s="70" t="e">
        <f>#REF!</f>
        <v>#REF!</v>
      </c>
      <c r="C44" s="67"/>
      <c r="D44" s="67">
        <v>4727953</v>
      </c>
      <c r="E44" s="67">
        <v>5745647</v>
      </c>
    </row>
    <row r="45" spans="1:5">
      <c r="A45" s="75" t="s">
        <v>199</v>
      </c>
      <c r="B45" s="76" t="e">
        <f>#REF!</f>
        <v>#REF!</v>
      </c>
      <c r="C45" s="67"/>
      <c r="D45" s="67">
        <v>16638975</v>
      </c>
      <c r="E45" s="67">
        <v>14963019</v>
      </c>
    </row>
    <row r="46" spans="1:5">
      <c r="A46" s="69" t="s">
        <v>200</v>
      </c>
      <c r="B46" s="70" t="e">
        <f>SUMIF(#REF!,A46,#REF!)</f>
        <v>#REF!</v>
      </c>
      <c r="C46" s="67"/>
      <c r="D46" s="67">
        <v>315701</v>
      </c>
      <c r="E46" s="67">
        <v>286873</v>
      </c>
    </row>
    <row r="47" spans="1:5">
      <c r="A47" s="71" t="s">
        <v>201</v>
      </c>
      <c r="B47" s="72" t="e">
        <f>SUM(B44:B46)</f>
        <v>#REF!</v>
      </c>
      <c r="C47" s="67"/>
      <c r="D47" s="67">
        <f>SUM(D44:D46)</f>
        <v>21682629</v>
      </c>
      <c r="E47" s="67">
        <f>SUM(E44:E46)</f>
        <v>20995539</v>
      </c>
    </row>
    <row r="48" spans="1:5">
      <c r="A48" s="73" t="s">
        <v>202</v>
      </c>
      <c r="B48" s="74"/>
      <c r="C48" s="67"/>
      <c r="D48" s="67"/>
      <c r="E48" s="67"/>
    </row>
    <row r="49" spans="1:5">
      <c r="A49" s="69" t="s">
        <v>203</v>
      </c>
      <c r="B49" s="70" t="e">
        <f>SUMIF(#REF!,A49,#REF!)</f>
        <v>#REF!</v>
      </c>
      <c r="C49" s="67"/>
      <c r="D49" s="67"/>
      <c r="E49" s="67"/>
    </row>
    <row r="50" spans="1:5">
      <c r="A50" s="69" t="s">
        <v>204</v>
      </c>
      <c r="B50" s="70" t="e">
        <f>SUMIF(#REF!,A50,#REF!)</f>
        <v>#REF!</v>
      </c>
      <c r="C50" s="67"/>
      <c r="D50" s="67"/>
      <c r="E50" s="67"/>
    </row>
    <row r="51" spans="1:5">
      <c r="A51" s="69" t="s">
        <v>205</v>
      </c>
      <c r="B51" s="70" t="e">
        <f>SUMIF(#REF!,A51,#REF!)</f>
        <v>#REF!</v>
      </c>
      <c r="C51" s="67"/>
      <c r="D51" s="67">
        <v>206883</v>
      </c>
      <c r="E51" s="67">
        <v>325633</v>
      </c>
    </row>
    <row r="52" spans="1:5">
      <c r="A52" s="75" t="s">
        <v>206</v>
      </c>
      <c r="B52" s="76" t="e">
        <f>SUMIF(#REF!,A52,#REF!)</f>
        <v>#REF!</v>
      </c>
      <c r="C52" s="67"/>
      <c r="D52" s="67">
        <v>45214</v>
      </c>
      <c r="E52" s="67">
        <v>39522</v>
      </c>
    </row>
    <row r="53" spans="1:5">
      <c r="A53" s="75" t="s">
        <v>207</v>
      </c>
      <c r="B53" s="76" t="e">
        <f>SUMIF(#REF!,A53,#REF!)</f>
        <v>#REF!</v>
      </c>
      <c r="C53" s="67"/>
      <c r="D53" s="67">
        <v>1097780</v>
      </c>
      <c r="E53" s="67">
        <v>1381255</v>
      </c>
    </row>
    <row r="54" spans="1:5">
      <c r="A54" s="71" t="s">
        <v>208</v>
      </c>
      <c r="B54" s="72" t="e">
        <f>SUM(B49:B53)</f>
        <v>#REF!</v>
      </c>
      <c r="C54" s="67"/>
      <c r="D54" s="67">
        <f>SUM(D49:D53)</f>
        <v>1349877</v>
      </c>
      <c r="E54" s="67">
        <f>SUM(E49:E53)</f>
        <v>1746410</v>
      </c>
    </row>
    <row r="55" spans="1:5">
      <c r="A55" s="73" t="s">
        <v>209</v>
      </c>
      <c r="B55" s="74"/>
      <c r="C55" s="67"/>
      <c r="D55" s="67"/>
      <c r="E55" s="67"/>
    </row>
    <row r="56" spans="1:5">
      <c r="A56" s="69" t="s">
        <v>210</v>
      </c>
      <c r="B56" s="70" t="e">
        <f>SUMIF(#REF!,A56,#REF!)</f>
        <v>#REF!</v>
      </c>
      <c r="C56" s="67"/>
      <c r="D56" s="67"/>
      <c r="E56" s="67"/>
    </row>
    <row r="57" spans="1:5">
      <c r="A57" s="69" t="s">
        <v>211</v>
      </c>
      <c r="B57" s="70" t="e">
        <f>SUMIF(#REF!,A57,#REF!)</f>
        <v>#REF!</v>
      </c>
      <c r="C57" s="67"/>
      <c r="D57" s="67"/>
      <c r="E57" s="67"/>
    </row>
    <row r="58" spans="1:5">
      <c r="A58" s="75" t="s">
        <v>212</v>
      </c>
      <c r="B58" s="76" t="e">
        <f>SUMIF(#REF!,A58,#REF!)</f>
        <v>#REF!</v>
      </c>
      <c r="C58" s="67"/>
      <c r="D58" s="67">
        <v>2023815</v>
      </c>
      <c r="E58" s="67">
        <v>459349</v>
      </c>
    </row>
    <row r="59" spans="1:5">
      <c r="A59" s="80" t="s">
        <v>213</v>
      </c>
      <c r="B59" s="81" t="e">
        <f>#REF!</f>
        <v>#REF!</v>
      </c>
      <c r="C59" s="67"/>
      <c r="D59" s="67">
        <v>500000</v>
      </c>
      <c r="E59" s="67">
        <v>500000</v>
      </c>
    </row>
    <row r="60" spans="1:5">
      <c r="A60" s="80" t="s">
        <v>214</v>
      </c>
      <c r="B60" s="81"/>
      <c r="C60" s="67"/>
      <c r="D60" s="67">
        <v>500000</v>
      </c>
      <c r="E60" s="67">
        <v>0</v>
      </c>
    </row>
    <row r="61" spans="1:5">
      <c r="A61" s="71" t="s">
        <v>215</v>
      </c>
      <c r="B61" s="72" t="e">
        <f>SUM(B56:B60)</f>
        <v>#REF!</v>
      </c>
      <c r="C61" s="67"/>
      <c r="D61" s="67">
        <f>SUM(D56:D60)</f>
        <v>3023815</v>
      </c>
      <c r="E61" s="67">
        <f>SUM(E56:E60)</f>
        <v>959349</v>
      </c>
    </row>
    <row r="62" spans="1:5">
      <c r="A62" s="71" t="s">
        <v>216</v>
      </c>
      <c r="B62" s="72" t="e">
        <f>B35+B42+B47+B54+B61</f>
        <v>#REF!</v>
      </c>
      <c r="C62" s="67"/>
      <c r="D62" s="67">
        <f>D35+D42+D47+D54+D61</f>
        <v>109186488</v>
      </c>
      <c r="E62" s="67">
        <f>E35+E42+E47+E54+E61</f>
        <v>145091401</v>
      </c>
    </row>
    <row r="63" spans="1:5">
      <c r="A63" s="71" t="s">
        <v>217</v>
      </c>
      <c r="B63" s="72" t="e">
        <f>B28-B62</f>
        <v>#REF!</v>
      </c>
      <c r="C63" s="67"/>
      <c r="D63" s="67">
        <f>D28-D62</f>
        <v>8194668</v>
      </c>
      <c r="E63" s="67">
        <f>E28-E62</f>
        <v>8591682</v>
      </c>
    </row>
    <row r="64" spans="1:5">
      <c r="A64" s="80" t="s">
        <v>218</v>
      </c>
      <c r="B64" s="81"/>
      <c r="C64" s="67"/>
      <c r="D64" s="67"/>
      <c r="E64" s="67"/>
    </row>
    <row r="65" spans="1:5">
      <c r="A65" s="80" t="s">
        <v>219</v>
      </c>
      <c r="B65" s="81"/>
      <c r="C65" s="67"/>
      <c r="D65" s="67"/>
      <c r="E65" s="67"/>
    </row>
    <row r="66" spans="1:5">
      <c r="A66" s="80" t="s">
        <v>220</v>
      </c>
      <c r="B66" s="81">
        <v>0</v>
      </c>
      <c r="C66" s="67"/>
      <c r="D66" s="67"/>
      <c r="E66" s="67"/>
    </row>
    <row r="67" spans="1:5">
      <c r="A67" s="80" t="s">
        <v>221</v>
      </c>
      <c r="B67" s="81">
        <v>0</v>
      </c>
      <c r="C67" s="67"/>
      <c r="D67" s="67"/>
      <c r="E67" s="67"/>
    </row>
    <row r="68" spans="1:5">
      <c r="A68" s="82" t="s">
        <v>222</v>
      </c>
      <c r="B68" s="83" t="e">
        <f>B63-B64-B66-B67</f>
        <v>#REF!</v>
      </c>
      <c r="C68" s="67"/>
      <c r="D68" s="67"/>
      <c r="E68" s="67"/>
    </row>
    <row r="69" spans="1:5">
      <c r="B69" s="67"/>
      <c r="C69" s="67"/>
      <c r="D69" s="67"/>
      <c r="E69" s="67"/>
    </row>
    <row r="70" spans="1:5">
      <c r="B70" s="67"/>
      <c r="C70" s="67"/>
      <c r="D70" s="67"/>
      <c r="E70" s="67"/>
    </row>
    <row r="71" spans="1:5">
      <c r="B71" s="67"/>
      <c r="C71" s="67"/>
      <c r="D71" s="67"/>
      <c r="E71" s="67"/>
    </row>
    <row r="72" spans="1:5">
      <c r="B72" s="67" t="e">
        <f>#REF!</f>
        <v>#REF!</v>
      </c>
      <c r="C72" s="67"/>
      <c r="D72" s="67"/>
      <c r="E72" s="67"/>
    </row>
    <row r="73" spans="1:5">
      <c r="B73" s="67" t="e">
        <f>B68-B72</f>
        <v>#REF!</v>
      </c>
      <c r="C73" s="67"/>
      <c r="D73" s="67"/>
      <c r="E73" s="67"/>
    </row>
    <row r="74" spans="1:5">
      <c r="B74" s="67"/>
      <c r="C74" s="67"/>
      <c r="D74" s="67"/>
      <c r="E74" s="67"/>
    </row>
    <row r="75" spans="1:5">
      <c r="B75" s="67"/>
      <c r="C75" s="67"/>
      <c r="D75" s="67"/>
      <c r="E75" s="67"/>
    </row>
    <row r="76" spans="1:5">
      <c r="B76" s="67"/>
      <c r="C76" s="67"/>
      <c r="D76" s="67"/>
      <c r="E76" s="67"/>
    </row>
    <row r="77" spans="1:5">
      <c r="B77" s="67"/>
      <c r="C77" s="67"/>
      <c r="D77" s="67"/>
      <c r="E77" s="67"/>
    </row>
    <row r="78" spans="1:5">
      <c r="B78" s="67"/>
      <c r="C78" s="67"/>
      <c r="D78" s="67"/>
      <c r="E78" s="67"/>
    </row>
    <row r="79" spans="1:5">
      <c r="B79" s="67"/>
      <c r="C79" s="67"/>
      <c r="D79" s="67"/>
      <c r="E79" s="67"/>
    </row>
    <row r="80" spans="1:5">
      <c r="B80" s="67"/>
      <c r="C80" s="67"/>
      <c r="D80" s="67"/>
      <c r="E80" s="67"/>
    </row>
    <row r="81" spans="2:5">
      <c r="B81" s="67"/>
      <c r="C81" s="67"/>
      <c r="D81" s="67"/>
      <c r="E81" s="67"/>
    </row>
    <row r="82" spans="2:5">
      <c r="B82" s="67"/>
      <c r="C82" s="67"/>
      <c r="D82" s="67"/>
      <c r="E82" s="67"/>
    </row>
  </sheetData>
  <mergeCells count="2">
    <mergeCell ref="A1:A2"/>
    <mergeCell ref="B1:B2"/>
  </mergeCells>
  <pageMargins left="0.75" right="0.75" top="1" bottom="1" header="0.5" footer="0.5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opLeftCell="A6" workbookViewId="0">
      <selection activeCell="D24" sqref="D24"/>
    </sheetView>
  </sheetViews>
  <sheetFormatPr defaultRowHeight="15"/>
  <cols>
    <col min="2" max="2" width="20.42578125" bestFit="1" customWidth="1"/>
    <col min="5" max="5" width="10.85546875" bestFit="1" customWidth="1"/>
    <col min="8" max="8" width="11.85546875" bestFit="1" customWidth="1"/>
    <col min="10" max="10" width="8.140625" bestFit="1" customWidth="1"/>
    <col min="11" max="11" width="10.42578125" bestFit="1" customWidth="1"/>
    <col min="14" max="14" width="9" bestFit="1" customWidth="1"/>
    <col min="17" max="17" width="9" bestFit="1" customWidth="1"/>
  </cols>
  <sheetData>
    <row r="1" spans="1:20">
      <c r="B1" s="379" t="s">
        <v>40</v>
      </c>
      <c r="C1" s="379"/>
      <c r="D1" s="379"/>
      <c r="E1" s="379"/>
      <c r="F1" s="330"/>
      <c r="G1" s="377" t="s">
        <v>233</v>
      </c>
      <c r="H1" s="378"/>
      <c r="J1" s="377" t="s">
        <v>404</v>
      </c>
      <c r="K1" s="378"/>
      <c r="M1" s="377" t="s">
        <v>30</v>
      </c>
      <c r="N1" s="378"/>
      <c r="P1" s="377" t="s">
        <v>41</v>
      </c>
      <c r="Q1" s="378"/>
      <c r="S1" s="377" t="s">
        <v>41</v>
      </c>
      <c r="T1" s="378"/>
    </row>
    <row r="2" spans="1:20">
      <c r="B2" s="331"/>
      <c r="C2" s="332"/>
      <c r="D2" s="332"/>
      <c r="E2" s="332"/>
      <c r="F2" s="330"/>
      <c r="G2" s="333"/>
      <c r="H2" s="334"/>
      <c r="J2" s="333"/>
      <c r="K2" s="334"/>
      <c r="M2" s="333"/>
      <c r="N2" s="334"/>
      <c r="P2" s="333"/>
      <c r="Q2" s="334"/>
      <c r="S2" s="333"/>
      <c r="T2" s="334"/>
    </row>
    <row r="3" spans="1:20">
      <c r="B3" s="99" t="s">
        <v>275</v>
      </c>
      <c r="C3" s="335"/>
      <c r="D3" s="335">
        <f>IFERROR(VLOOKUP(B3,#REF!,15,0),0)</f>
        <v>0</v>
      </c>
      <c r="E3" s="335"/>
      <c r="F3" s="330"/>
      <c r="G3" s="336">
        <f>IFERROR(VLOOKUP(B3,#REF!,3,0),0)</f>
        <v>0</v>
      </c>
      <c r="H3" s="337">
        <f>G3*D3</f>
        <v>0</v>
      </c>
      <c r="J3" s="336"/>
      <c r="K3" s="337"/>
      <c r="M3" s="336"/>
      <c r="N3" s="337"/>
      <c r="P3" s="336"/>
      <c r="Q3" s="337"/>
      <c r="S3" s="336"/>
      <c r="T3" s="337"/>
    </row>
    <row r="4" spans="1:20">
      <c r="B4" s="327" t="s">
        <v>30</v>
      </c>
      <c r="C4" s="337"/>
      <c r="D4" s="337">
        <f>IFERROR(VLOOKUP(B4,#REF!,15,0),0)</f>
        <v>0</v>
      </c>
      <c r="E4" s="337"/>
      <c r="F4" s="330"/>
      <c r="G4" s="336"/>
      <c r="H4" s="337"/>
      <c r="J4" s="336"/>
      <c r="K4" s="337"/>
      <c r="M4" s="336"/>
      <c r="N4" s="337"/>
      <c r="P4" s="336">
        <f>IFERROR(VLOOKUP(B4,#REF!,7,0),0)</f>
        <v>0</v>
      </c>
      <c r="Q4" s="337">
        <f t="shared" ref="Q4:Q24" si="0">P4*D4</f>
        <v>0</v>
      </c>
      <c r="S4" s="336">
        <f>IFERROR(VLOOKUP(B4,#REF!,10,0),0)</f>
        <v>0</v>
      </c>
      <c r="T4" s="337">
        <f>S4*D4</f>
        <v>0</v>
      </c>
    </row>
    <row r="5" spans="1:20">
      <c r="B5" s="327" t="s">
        <v>274</v>
      </c>
      <c r="C5" s="337"/>
      <c r="D5" s="337">
        <f>IFERROR(VLOOKUP(B5,#REF!,15,0),0)</f>
        <v>0</v>
      </c>
      <c r="E5" s="337"/>
      <c r="F5" s="330"/>
      <c r="G5" s="336"/>
      <c r="H5" s="337"/>
      <c r="J5" s="336"/>
      <c r="K5" s="337"/>
      <c r="M5" s="336"/>
      <c r="N5" s="337"/>
      <c r="P5" s="336"/>
      <c r="Q5" s="337"/>
      <c r="S5" s="336"/>
      <c r="T5" s="337"/>
    </row>
    <row r="6" spans="1:20">
      <c r="B6" s="327" t="s">
        <v>41</v>
      </c>
      <c r="C6" s="337"/>
      <c r="D6" s="337">
        <f>IFERROR(VLOOKUP(B6,#REF!,15,0),0)</f>
        <v>0</v>
      </c>
      <c r="E6" s="337"/>
      <c r="F6" s="330"/>
      <c r="G6" s="336"/>
      <c r="H6" s="337"/>
      <c r="J6" s="336"/>
      <c r="K6" s="337"/>
      <c r="M6" s="336"/>
      <c r="N6" s="337"/>
      <c r="P6" s="336"/>
      <c r="Q6" s="337"/>
      <c r="S6" s="336"/>
      <c r="T6" s="337"/>
    </row>
    <row r="7" spans="1:20">
      <c r="B7" s="327" t="s">
        <v>40</v>
      </c>
      <c r="C7" s="337"/>
      <c r="D7" s="337">
        <f>IFERROR(VLOOKUP(B7,#REF!,15,0),0)</f>
        <v>0</v>
      </c>
      <c r="E7" s="337"/>
      <c r="F7" s="330"/>
      <c r="G7" s="336"/>
      <c r="H7" s="337"/>
      <c r="J7" s="336">
        <f>IFERROR(VLOOKUP(B7,#REF!,4,0),0)</f>
        <v>0</v>
      </c>
      <c r="K7" s="337">
        <f>J7*D7</f>
        <v>0</v>
      </c>
      <c r="M7" s="336"/>
      <c r="N7" s="337"/>
      <c r="P7" s="336">
        <f>IFERROR(VLOOKUP(B7,#REF!,7,0),0)</f>
        <v>0</v>
      </c>
      <c r="Q7" s="337">
        <f t="shared" si="0"/>
        <v>0</v>
      </c>
      <c r="S7" s="336">
        <f>IFERROR(VLOOKUP(B7,#REF!,10,0),0)</f>
        <v>0</v>
      </c>
      <c r="T7" s="337">
        <f>S7*D7</f>
        <v>0</v>
      </c>
    </row>
    <row r="8" spans="1:20">
      <c r="B8" s="327"/>
      <c r="C8" s="337"/>
      <c r="D8" s="337">
        <f>IFERROR(VLOOKUP(B8,#REF!,15,0),0)</f>
        <v>0</v>
      </c>
      <c r="E8" s="337"/>
      <c r="F8" s="330"/>
      <c r="G8" s="336"/>
      <c r="H8" s="337"/>
      <c r="J8" s="336"/>
      <c r="K8" s="337"/>
      <c r="M8" s="336"/>
      <c r="N8" s="337"/>
      <c r="P8" s="336"/>
      <c r="Q8" s="337"/>
      <c r="S8" s="336"/>
      <c r="T8" s="337"/>
    </row>
    <row r="9" spans="1:20">
      <c r="A9" s="340" t="e">
        <f>C9/$C$27</f>
        <v>#REF!</v>
      </c>
      <c r="B9" s="327" t="s">
        <v>403</v>
      </c>
      <c r="C9" s="337">
        <f>IFERROR(VLOOKUP(B9,#REF!,2,0),0)</f>
        <v>0</v>
      </c>
      <c r="D9" s="337">
        <f>IFERROR(VLOOKUP(B9,#REF!,15,0),0)</f>
        <v>0</v>
      </c>
      <c r="E9" s="337">
        <f>C9*D9</f>
        <v>0</v>
      </c>
      <c r="F9" s="330"/>
      <c r="G9" s="336">
        <f>IFERROR(VLOOKUP(B9,#REF!,3,0),0)</f>
        <v>0</v>
      </c>
      <c r="H9" s="337">
        <f t="shared" ref="H9:H24" si="1">G9*D9</f>
        <v>0</v>
      </c>
      <c r="J9" s="336">
        <f>IFERROR(VLOOKUP(B9,#REF!,4,0),0)</f>
        <v>0</v>
      </c>
      <c r="K9" s="337">
        <f t="shared" ref="K9:K24" si="2">J9*D9</f>
        <v>0</v>
      </c>
      <c r="M9" s="336">
        <f>IFERROR(VLOOKUP(B9,#REF!,6,0),0)</f>
        <v>0</v>
      </c>
      <c r="N9" s="337">
        <f t="shared" ref="N9:N24" si="3">M9*D9</f>
        <v>0</v>
      </c>
      <c r="P9" s="336">
        <f>IFERROR(VLOOKUP(B9,#REF!,7,0),0)</f>
        <v>0</v>
      </c>
      <c r="Q9" s="337">
        <f t="shared" si="0"/>
        <v>0</v>
      </c>
      <c r="S9" s="336">
        <f>IFERROR(VLOOKUP(B9,#REF!,10,0),0)</f>
        <v>0</v>
      </c>
      <c r="T9" s="337">
        <f t="shared" ref="T9:T24" si="4">S9*D9</f>
        <v>0</v>
      </c>
    </row>
    <row r="10" spans="1:20">
      <c r="A10" s="340" t="e">
        <f t="shared" ref="A10:A24" si="5">C10/$C$27</f>
        <v>#REF!</v>
      </c>
      <c r="B10" s="327" t="s">
        <v>405</v>
      </c>
      <c r="C10" s="337">
        <f>IFERROR(VLOOKUP(B10,#REF!,2,0),0)</f>
        <v>0</v>
      </c>
      <c r="D10" s="337">
        <f>IFERROR(VLOOKUP(B10,#REF!,15,0),0)</f>
        <v>0</v>
      </c>
      <c r="E10" s="337">
        <f t="shared" ref="E10:E24" si="6">C10*D10</f>
        <v>0</v>
      </c>
      <c r="F10" s="330"/>
      <c r="G10" s="336">
        <f>IFERROR(VLOOKUP(B10,#REF!,3,0),0)</f>
        <v>0</v>
      </c>
      <c r="H10" s="337">
        <f t="shared" si="1"/>
        <v>0</v>
      </c>
      <c r="J10" s="336">
        <f>IFERROR(VLOOKUP(B10,#REF!,4,0),0)</f>
        <v>0</v>
      </c>
      <c r="K10" s="337">
        <f t="shared" si="2"/>
        <v>0</v>
      </c>
      <c r="M10" s="336">
        <f>IFERROR(VLOOKUP(B10,#REF!,6,0),0)</f>
        <v>0</v>
      </c>
      <c r="N10" s="337">
        <f t="shared" si="3"/>
        <v>0</v>
      </c>
      <c r="P10" s="336">
        <f>IFERROR(VLOOKUP(B10,#REF!,7,0),0)</f>
        <v>0</v>
      </c>
      <c r="Q10" s="337">
        <f t="shared" si="0"/>
        <v>0</v>
      </c>
      <c r="S10" s="336">
        <f>IFERROR(VLOOKUP(B10,#REF!,10,0),0)</f>
        <v>0</v>
      </c>
      <c r="T10" s="337">
        <f t="shared" si="4"/>
        <v>0</v>
      </c>
    </row>
    <row r="11" spans="1:20">
      <c r="A11" s="340" t="e">
        <f t="shared" si="5"/>
        <v>#REF!</v>
      </c>
      <c r="B11" s="327" t="s">
        <v>278</v>
      </c>
      <c r="C11" s="337">
        <f>IFERROR(VLOOKUP(B11,#REF!,2,0),0)</f>
        <v>0</v>
      </c>
      <c r="D11" s="337">
        <f>IFERROR(VLOOKUP(B11,#REF!,15,0),0)</f>
        <v>0</v>
      </c>
      <c r="E11" s="337">
        <f t="shared" si="6"/>
        <v>0</v>
      </c>
      <c r="F11" s="330"/>
      <c r="G11" s="336">
        <f>IFERROR(VLOOKUP(B11,#REF!,3,0),0)</f>
        <v>0</v>
      </c>
      <c r="H11" s="337">
        <f t="shared" si="1"/>
        <v>0</v>
      </c>
      <c r="J11" s="336">
        <f>IFERROR(VLOOKUP(B11,#REF!,4,0),0)</f>
        <v>0</v>
      </c>
      <c r="K11" s="337">
        <f t="shared" si="2"/>
        <v>0</v>
      </c>
      <c r="M11" s="336">
        <f>IFERROR(VLOOKUP(B11,#REF!,6,0),0)</f>
        <v>0</v>
      </c>
      <c r="N11" s="337">
        <f t="shared" si="3"/>
        <v>0</v>
      </c>
      <c r="P11" s="336">
        <f>IFERROR(VLOOKUP(B11,#REF!,7,0),0)</f>
        <v>0</v>
      </c>
      <c r="Q11" s="337">
        <f t="shared" si="0"/>
        <v>0</v>
      </c>
      <c r="S11" s="336">
        <f>IFERROR(VLOOKUP(B11,#REF!,10,0),0)</f>
        <v>0</v>
      </c>
      <c r="T11" s="337">
        <f t="shared" si="4"/>
        <v>0</v>
      </c>
    </row>
    <row r="12" spans="1:20">
      <c r="A12" s="340" t="e">
        <f t="shared" si="5"/>
        <v>#REF!</v>
      </c>
      <c r="B12" s="327" t="s">
        <v>23</v>
      </c>
      <c r="C12" s="337">
        <f>IFERROR(VLOOKUP(B12,#REF!,2,0),0)</f>
        <v>0</v>
      </c>
      <c r="D12" s="337">
        <f>IFERROR(VLOOKUP(B12,#REF!,15,0),0)</f>
        <v>0</v>
      </c>
      <c r="E12" s="337">
        <f t="shared" si="6"/>
        <v>0</v>
      </c>
      <c r="F12" s="330"/>
      <c r="G12" s="336">
        <f>IFERROR(VLOOKUP(B12,#REF!,3,0),0)</f>
        <v>0</v>
      </c>
      <c r="H12" s="337">
        <f t="shared" si="1"/>
        <v>0</v>
      </c>
      <c r="J12" s="336">
        <f>IFERROR(VLOOKUP(B12,#REF!,4,0),0)</f>
        <v>0</v>
      </c>
      <c r="K12" s="337">
        <f t="shared" si="2"/>
        <v>0</v>
      </c>
      <c r="M12" s="336">
        <f>IFERROR(VLOOKUP(B12,#REF!,6,0),0)</f>
        <v>0</v>
      </c>
      <c r="N12" s="337">
        <f t="shared" si="3"/>
        <v>0</v>
      </c>
      <c r="P12" s="336">
        <f>IFERROR(VLOOKUP(B12,#REF!,7,0),0)</f>
        <v>0</v>
      </c>
      <c r="Q12" s="337">
        <f t="shared" si="0"/>
        <v>0</v>
      </c>
      <c r="S12" s="336">
        <f>IFERROR(VLOOKUP(B12,#REF!,10,0),0)</f>
        <v>0</v>
      </c>
      <c r="T12" s="337">
        <f t="shared" si="4"/>
        <v>0</v>
      </c>
    </row>
    <row r="13" spans="1:20">
      <c r="A13" s="340" t="e">
        <f t="shared" si="5"/>
        <v>#REF!</v>
      </c>
      <c r="B13" s="327" t="s">
        <v>22</v>
      </c>
      <c r="C13" s="337">
        <f>IFERROR(VLOOKUP(B13,#REF!,2,0),0)</f>
        <v>0</v>
      </c>
      <c r="D13" s="337">
        <f>IFERROR(VLOOKUP(B13,#REF!,15,0),0)</f>
        <v>0</v>
      </c>
      <c r="E13" s="337">
        <f t="shared" si="6"/>
        <v>0</v>
      </c>
      <c r="F13" s="330"/>
      <c r="G13" s="336">
        <f>IFERROR(VLOOKUP(B13,#REF!,3,0),0)</f>
        <v>0</v>
      </c>
      <c r="H13" s="337">
        <f t="shared" si="1"/>
        <v>0</v>
      </c>
      <c r="J13" s="336">
        <f>IFERROR(VLOOKUP(B13,#REF!,4,0),0)</f>
        <v>0</v>
      </c>
      <c r="K13" s="337">
        <f t="shared" si="2"/>
        <v>0</v>
      </c>
      <c r="M13" s="336">
        <f>IFERROR(VLOOKUP(B13,#REF!,6,0),0)</f>
        <v>0</v>
      </c>
      <c r="N13" s="337">
        <f t="shared" si="3"/>
        <v>0</v>
      </c>
      <c r="P13" s="336">
        <f>IFERROR(VLOOKUP(B13,#REF!,7,0),0)</f>
        <v>0</v>
      </c>
      <c r="Q13" s="337">
        <f t="shared" si="0"/>
        <v>0</v>
      </c>
      <c r="S13" s="336">
        <f>IFERROR(VLOOKUP(B13,#REF!,10,0),0)</f>
        <v>0</v>
      </c>
      <c r="T13" s="337">
        <f t="shared" si="4"/>
        <v>0</v>
      </c>
    </row>
    <row r="14" spans="1:20">
      <c r="A14" s="340" t="e">
        <f t="shared" si="5"/>
        <v>#REF!</v>
      </c>
      <c r="B14" s="327" t="s">
        <v>111</v>
      </c>
      <c r="C14" s="337">
        <f>IFERROR(VLOOKUP(B14,#REF!,2,0),0)</f>
        <v>0</v>
      </c>
      <c r="D14" s="337">
        <f>IFERROR(VLOOKUP(B14,#REF!,15,0),0)</f>
        <v>0</v>
      </c>
      <c r="E14" s="337">
        <f t="shared" si="6"/>
        <v>0</v>
      </c>
      <c r="F14" s="330"/>
      <c r="G14" s="336">
        <f>IFERROR(VLOOKUP(B14,#REF!,3,0),0)</f>
        <v>0</v>
      </c>
      <c r="H14" s="337">
        <f t="shared" si="1"/>
        <v>0</v>
      </c>
      <c r="J14" s="336">
        <f>IFERROR(VLOOKUP(B14,#REF!,4,0),0)</f>
        <v>0</v>
      </c>
      <c r="K14" s="337">
        <f t="shared" si="2"/>
        <v>0</v>
      </c>
      <c r="M14" s="336">
        <f>IFERROR(VLOOKUP(B14,#REF!,6,0),0)</f>
        <v>0</v>
      </c>
      <c r="N14" s="337">
        <f t="shared" si="3"/>
        <v>0</v>
      </c>
      <c r="P14" s="336">
        <f>IFERROR(VLOOKUP(B14,#REF!,7,0),0)</f>
        <v>0</v>
      </c>
      <c r="Q14" s="337">
        <f t="shared" si="0"/>
        <v>0</v>
      </c>
      <c r="S14" s="336">
        <f>IFERROR(VLOOKUP(B14,#REF!,10,0),0)</f>
        <v>0</v>
      </c>
      <c r="T14" s="337">
        <f t="shared" si="4"/>
        <v>0</v>
      </c>
    </row>
    <row r="15" spans="1:20">
      <c r="A15" s="340" t="e">
        <f t="shared" si="5"/>
        <v>#REF!</v>
      </c>
      <c r="B15" s="327" t="s">
        <v>25</v>
      </c>
      <c r="C15" s="337">
        <f>IFERROR(VLOOKUP(B15,#REF!,2,0),0)</f>
        <v>0</v>
      </c>
      <c r="D15" s="337">
        <f>IFERROR(VLOOKUP(B15,#REF!,15,0),0)</f>
        <v>0</v>
      </c>
      <c r="E15" s="337">
        <f t="shared" si="6"/>
        <v>0</v>
      </c>
      <c r="F15" s="330"/>
      <c r="G15" s="336">
        <f>IFERROR(VLOOKUP(B15,#REF!,3,0),0)</f>
        <v>0</v>
      </c>
      <c r="H15" s="337">
        <f t="shared" si="1"/>
        <v>0</v>
      </c>
      <c r="J15" s="336">
        <f>IFERROR(VLOOKUP(B15,#REF!,4,0),0)</f>
        <v>0</v>
      </c>
      <c r="K15" s="337">
        <f t="shared" si="2"/>
        <v>0</v>
      </c>
      <c r="M15" s="336">
        <f>IFERROR(VLOOKUP(B15,#REF!,6,0),0)</f>
        <v>0</v>
      </c>
      <c r="N15" s="337">
        <f t="shared" si="3"/>
        <v>0</v>
      </c>
      <c r="P15" s="336">
        <f>IFERROR(VLOOKUP(B15,#REF!,7,0),0)</f>
        <v>0</v>
      </c>
      <c r="Q15" s="337">
        <f t="shared" si="0"/>
        <v>0</v>
      </c>
      <c r="S15" s="336">
        <f>IFERROR(VLOOKUP(B15,#REF!,10,0),0)</f>
        <v>0</v>
      </c>
      <c r="T15" s="337">
        <f t="shared" si="4"/>
        <v>0</v>
      </c>
    </row>
    <row r="16" spans="1:20">
      <c r="A16" s="340" t="e">
        <f t="shared" si="5"/>
        <v>#REF!</v>
      </c>
      <c r="B16" s="327" t="s">
        <v>24</v>
      </c>
      <c r="C16" s="337">
        <f>IFERROR(VLOOKUP(B16,#REF!,2,0),0)</f>
        <v>0</v>
      </c>
      <c r="D16" s="337">
        <f>IFERROR(VLOOKUP(B16,#REF!,15,0),0)</f>
        <v>0</v>
      </c>
      <c r="E16" s="337">
        <f t="shared" si="6"/>
        <v>0</v>
      </c>
      <c r="F16" s="330"/>
      <c r="G16" s="336">
        <f>IFERROR(VLOOKUP(B16,#REF!,3,0),0)</f>
        <v>0</v>
      </c>
      <c r="H16" s="337">
        <f t="shared" si="1"/>
        <v>0</v>
      </c>
      <c r="J16" s="336">
        <f>IFERROR(VLOOKUP(B16,#REF!,4,0),0)</f>
        <v>0</v>
      </c>
      <c r="K16" s="337">
        <f t="shared" si="2"/>
        <v>0</v>
      </c>
      <c r="M16" s="336">
        <f>IFERROR(VLOOKUP(B16,#REF!,6,0),0)</f>
        <v>0</v>
      </c>
      <c r="N16" s="337">
        <f t="shared" si="3"/>
        <v>0</v>
      </c>
      <c r="P16" s="336">
        <f>IFERROR(VLOOKUP(B16,#REF!,7,0),0)</f>
        <v>0</v>
      </c>
      <c r="Q16" s="337">
        <f t="shared" si="0"/>
        <v>0</v>
      </c>
      <c r="S16" s="336">
        <f>IFERROR(VLOOKUP(B16,#REF!,10,0),0)</f>
        <v>0</v>
      </c>
      <c r="T16" s="337">
        <f t="shared" si="4"/>
        <v>0</v>
      </c>
    </row>
    <row r="17" spans="1:20">
      <c r="A17" s="340" t="e">
        <f t="shared" si="5"/>
        <v>#REF!</v>
      </c>
      <c r="B17" s="327" t="s">
        <v>398</v>
      </c>
      <c r="C17" s="337">
        <f>IFERROR(VLOOKUP(B17,#REF!,2,0),0)</f>
        <v>0</v>
      </c>
      <c r="D17" s="337">
        <f>IFERROR(VLOOKUP(B17,#REF!,15,0),0)</f>
        <v>0</v>
      </c>
      <c r="E17" s="337">
        <f t="shared" si="6"/>
        <v>0</v>
      </c>
      <c r="F17" s="330"/>
      <c r="G17" s="336">
        <f>IFERROR(VLOOKUP(B17,#REF!,3,0),0)</f>
        <v>0</v>
      </c>
      <c r="H17" s="337">
        <f t="shared" si="1"/>
        <v>0</v>
      </c>
      <c r="J17" s="336">
        <f>IFERROR(VLOOKUP(B17,#REF!,4,0),0)</f>
        <v>0</v>
      </c>
      <c r="K17" s="337">
        <f t="shared" si="2"/>
        <v>0</v>
      </c>
      <c r="M17" s="336">
        <f>IFERROR(VLOOKUP(B17,#REF!,6,0),0)</f>
        <v>0</v>
      </c>
      <c r="N17" s="337">
        <f t="shared" si="3"/>
        <v>0</v>
      </c>
      <c r="P17" s="336">
        <f>IFERROR(VLOOKUP(B17,#REF!,7,0),0)</f>
        <v>0</v>
      </c>
      <c r="Q17" s="337">
        <f t="shared" si="0"/>
        <v>0</v>
      </c>
      <c r="S17" s="336">
        <f>IFERROR(VLOOKUP(B17,#REF!,10,0),0)</f>
        <v>0</v>
      </c>
      <c r="T17" s="337">
        <f t="shared" si="4"/>
        <v>0</v>
      </c>
    </row>
    <row r="18" spans="1:20">
      <c r="A18" s="340" t="e">
        <f t="shared" si="5"/>
        <v>#REF!</v>
      </c>
      <c r="B18" s="327" t="s">
        <v>416</v>
      </c>
      <c r="C18" s="337">
        <f>IFERROR(VLOOKUP(B18,#REF!,2,0),0)</f>
        <v>0</v>
      </c>
      <c r="D18" s="337">
        <f>IFERROR(VLOOKUP(B18,#REF!,15,0),0)</f>
        <v>0</v>
      </c>
      <c r="E18" s="337">
        <f t="shared" si="6"/>
        <v>0</v>
      </c>
      <c r="F18" s="330"/>
      <c r="G18" s="336">
        <f>IFERROR(VLOOKUP(B18,#REF!,3,0),0)</f>
        <v>0</v>
      </c>
      <c r="H18" s="337">
        <f t="shared" si="1"/>
        <v>0</v>
      </c>
      <c r="J18" s="336">
        <f>IFERROR(VLOOKUP(B18,#REF!,4,0),0)</f>
        <v>0</v>
      </c>
      <c r="K18" s="337">
        <f t="shared" si="2"/>
        <v>0</v>
      </c>
      <c r="M18" s="336">
        <f>IFERROR(VLOOKUP(B18,#REF!,6,0),0)</f>
        <v>0</v>
      </c>
      <c r="N18" s="337">
        <f t="shared" si="3"/>
        <v>0</v>
      </c>
      <c r="P18" s="336">
        <f>IFERROR(VLOOKUP(B18,#REF!,7,0),0)</f>
        <v>0</v>
      </c>
      <c r="Q18" s="337">
        <f t="shared" si="0"/>
        <v>0</v>
      </c>
      <c r="S18" s="336">
        <f>IFERROR(VLOOKUP(B18,#REF!,10,0),0)</f>
        <v>0</v>
      </c>
      <c r="T18" s="337">
        <f t="shared" si="4"/>
        <v>0</v>
      </c>
    </row>
    <row r="19" spans="1:20">
      <c r="A19" s="340" t="e">
        <f t="shared" si="5"/>
        <v>#REF!</v>
      </c>
      <c r="B19" s="327" t="s">
        <v>399</v>
      </c>
      <c r="C19" s="337">
        <f>IFERROR(VLOOKUP(B19,#REF!,2,0),0)</f>
        <v>0</v>
      </c>
      <c r="D19" s="337">
        <f>IFERROR(VLOOKUP(B19,#REF!,15,0),0)</f>
        <v>0</v>
      </c>
      <c r="E19" s="337">
        <f t="shared" si="6"/>
        <v>0</v>
      </c>
      <c r="F19" s="330"/>
      <c r="G19" s="336">
        <f>IFERROR(VLOOKUP(B19,#REF!,3,0),0)</f>
        <v>0</v>
      </c>
      <c r="H19" s="337">
        <f t="shared" si="1"/>
        <v>0</v>
      </c>
      <c r="J19" s="336">
        <f>IFERROR(VLOOKUP(B19,#REF!,4,0),0)</f>
        <v>0</v>
      </c>
      <c r="K19" s="337">
        <f t="shared" si="2"/>
        <v>0</v>
      </c>
      <c r="M19" s="336">
        <f>IFERROR(VLOOKUP(B19,#REF!,6,0),0)</f>
        <v>0</v>
      </c>
      <c r="N19" s="337">
        <f t="shared" si="3"/>
        <v>0</v>
      </c>
      <c r="P19" s="336">
        <f>IFERROR(VLOOKUP(B19,#REF!,7,0),0)</f>
        <v>0</v>
      </c>
      <c r="Q19" s="337">
        <f t="shared" si="0"/>
        <v>0</v>
      </c>
      <c r="S19" s="336">
        <f>IFERROR(VLOOKUP(B19,#REF!,10,0),0)</f>
        <v>0</v>
      </c>
      <c r="T19" s="337">
        <f t="shared" si="4"/>
        <v>0</v>
      </c>
    </row>
    <row r="20" spans="1:20">
      <c r="A20" s="340" t="e">
        <f t="shared" si="5"/>
        <v>#REF!</v>
      </c>
      <c r="B20" s="327" t="s">
        <v>400</v>
      </c>
      <c r="C20" s="337">
        <f>IFERROR(VLOOKUP(B20,#REF!,2,0),0)</f>
        <v>0</v>
      </c>
      <c r="D20" s="337">
        <f>IFERROR(VLOOKUP(B20,#REF!,15,0),0)</f>
        <v>0</v>
      </c>
      <c r="E20" s="337">
        <f t="shared" si="6"/>
        <v>0</v>
      </c>
      <c r="F20" s="330"/>
      <c r="G20" s="336">
        <f>IFERROR(VLOOKUP(B20,#REF!,3,0),0)</f>
        <v>0</v>
      </c>
      <c r="H20" s="337">
        <f t="shared" si="1"/>
        <v>0</v>
      </c>
      <c r="J20" s="336">
        <f>IFERROR(VLOOKUP(B20,#REF!,4,0),0)</f>
        <v>0</v>
      </c>
      <c r="K20" s="337">
        <f t="shared" si="2"/>
        <v>0</v>
      </c>
      <c r="M20" s="336">
        <f>IFERROR(VLOOKUP(B20,#REF!,6,0),0)</f>
        <v>0</v>
      </c>
      <c r="N20" s="337">
        <f t="shared" si="3"/>
        <v>0</v>
      </c>
      <c r="P20" s="336">
        <f>IFERROR(VLOOKUP(B20,#REF!,7,0),0)</f>
        <v>0</v>
      </c>
      <c r="Q20" s="337">
        <f t="shared" si="0"/>
        <v>0</v>
      </c>
      <c r="S20" s="336">
        <f>IFERROR(VLOOKUP(B20,#REF!,10,0),0)</f>
        <v>0</v>
      </c>
      <c r="T20" s="337">
        <f t="shared" si="4"/>
        <v>0</v>
      </c>
    </row>
    <row r="21" spans="1:20">
      <c r="A21" s="340" t="e">
        <f t="shared" si="5"/>
        <v>#REF!</v>
      </c>
      <c r="B21" s="327" t="s">
        <v>227</v>
      </c>
      <c r="C21" s="337">
        <f>IFERROR(VLOOKUP(B21,#REF!,2,0),0)</f>
        <v>0</v>
      </c>
      <c r="D21" s="337">
        <f>IFERROR(VLOOKUP(B21,#REF!,15,0),0)</f>
        <v>0</v>
      </c>
      <c r="E21" s="337">
        <f t="shared" si="6"/>
        <v>0</v>
      </c>
      <c r="F21" s="330"/>
      <c r="G21" s="336">
        <f>IFERROR(VLOOKUP(B21,#REF!,3,0),0)</f>
        <v>0</v>
      </c>
      <c r="H21" s="337">
        <f t="shared" si="1"/>
        <v>0</v>
      </c>
      <c r="J21" s="336">
        <f>IFERROR(VLOOKUP(B21,#REF!,4,0),0)</f>
        <v>0</v>
      </c>
      <c r="K21" s="337">
        <f t="shared" si="2"/>
        <v>0</v>
      </c>
      <c r="M21" s="336">
        <f>IFERROR(VLOOKUP(B21,#REF!,6,0),0)</f>
        <v>0</v>
      </c>
      <c r="N21" s="337">
        <f t="shared" si="3"/>
        <v>0</v>
      </c>
      <c r="P21" s="336">
        <f>IFERROR(VLOOKUP(B21,#REF!,7,0),0)</f>
        <v>0</v>
      </c>
      <c r="Q21" s="337">
        <f t="shared" si="0"/>
        <v>0</v>
      </c>
      <c r="S21" s="336">
        <f>IFERROR(VLOOKUP(B21,#REF!,10,0),0)</f>
        <v>0</v>
      </c>
      <c r="T21" s="337">
        <f t="shared" si="4"/>
        <v>0</v>
      </c>
    </row>
    <row r="22" spans="1:20">
      <c r="A22" s="340" t="e">
        <f t="shared" si="5"/>
        <v>#REF!</v>
      </c>
      <c r="B22" s="327" t="s">
        <v>289</v>
      </c>
      <c r="C22" s="337">
        <f>IFERROR(VLOOKUP(B22,#REF!,2,0),0)</f>
        <v>0</v>
      </c>
      <c r="D22" s="337">
        <f>IFERROR(VLOOKUP(B22,#REF!,15,0),0)</f>
        <v>0</v>
      </c>
      <c r="E22" s="337">
        <f t="shared" si="6"/>
        <v>0</v>
      </c>
      <c r="F22" s="330"/>
      <c r="G22" s="336">
        <f>IFERROR(VLOOKUP(B22,#REF!,3,0),0)</f>
        <v>0</v>
      </c>
      <c r="H22" s="337">
        <f t="shared" si="1"/>
        <v>0</v>
      </c>
      <c r="J22" s="336">
        <f>IFERROR(VLOOKUP(B22,#REF!,4,0),0)</f>
        <v>0</v>
      </c>
      <c r="K22" s="337">
        <f t="shared" si="2"/>
        <v>0</v>
      </c>
      <c r="M22" s="336">
        <f>IFERROR(VLOOKUP(B22,#REF!,6,0),0)</f>
        <v>0</v>
      </c>
      <c r="N22" s="337">
        <f t="shared" si="3"/>
        <v>0</v>
      </c>
      <c r="P22" s="336">
        <f>IFERROR(VLOOKUP(B22,#REF!,7,0),0)</f>
        <v>0</v>
      </c>
      <c r="Q22" s="337">
        <f t="shared" si="0"/>
        <v>0</v>
      </c>
      <c r="S22" s="336">
        <f>IFERROR(VLOOKUP(B22,#REF!,10,0),0)</f>
        <v>0</v>
      </c>
      <c r="T22" s="337">
        <f t="shared" si="4"/>
        <v>0</v>
      </c>
    </row>
    <row r="23" spans="1:20">
      <c r="A23" s="340" t="e">
        <f t="shared" si="5"/>
        <v>#REF!</v>
      </c>
      <c r="B23" s="327" t="s">
        <v>415</v>
      </c>
      <c r="C23" s="337">
        <f>IFERROR(VLOOKUP(B23,#REF!,2,0),0)</f>
        <v>0</v>
      </c>
      <c r="D23" s="337">
        <f>IFERROR(VLOOKUP(B23,#REF!,15,0),0)</f>
        <v>0</v>
      </c>
      <c r="E23" s="337">
        <f t="shared" ref="E23" si="7">C23*D23</f>
        <v>0</v>
      </c>
      <c r="F23" s="330"/>
      <c r="G23" s="336">
        <f>IFERROR(VLOOKUP(B23,#REF!,3,0),0)</f>
        <v>0</v>
      </c>
      <c r="H23" s="337">
        <f t="shared" ref="H23" si="8">G23*D23</f>
        <v>0</v>
      </c>
      <c r="J23" s="336">
        <f>IFERROR(VLOOKUP(B23,#REF!,4,0),0)</f>
        <v>0</v>
      </c>
      <c r="K23" s="337">
        <f t="shared" ref="K23" si="9">J23*D23</f>
        <v>0</v>
      </c>
      <c r="M23" s="336">
        <f>IFERROR(VLOOKUP(B23,#REF!,6,0),0)</f>
        <v>0</v>
      </c>
      <c r="N23" s="337">
        <f t="shared" ref="N23" si="10">M23*D23</f>
        <v>0</v>
      </c>
      <c r="P23" s="336">
        <f>IFERROR(VLOOKUP(B23,#REF!,7,0),0)</f>
        <v>0</v>
      </c>
      <c r="Q23" s="337">
        <f t="shared" ref="Q23" si="11">P23*D23</f>
        <v>0</v>
      </c>
      <c r="S23" s="336">
        <f>IFERROR(VLOOKUP(B23,#REF!,10,0),0)</f>
        <v>0</v>
      </c>
      <c r="T23" s="337">
        <f t="shared" si="4"/>
        <v>0</v>
      </c>
    </row>
    <row r="24" spans="1:20">
      <c r="A24" s="340" t="e">
        <f t="shared" si="5"/>
        <v>#REF!</v>
      </c>
      <c r="B24" s="327" t="s">
        <v>26</v>
      </c>
      <c r="C24" s="337">
        <f>IFERROR(VLOOKUP(B24,#REF!,2,0),0)</f>
        <v>0</v>
      </c>
      <c r="D24" s="337">
        <f>IFERROR(VLOOKUP(B24,#REF!,15,0),0)</f>
        <v>0</v>
      </c>
      <c r="E24" s="337">
        <f t="shared" si="6"/>
        <v>0</v>
      </c>
      <c r="F24" s="330"/>
      <c r="G24" s="336">
        <f>IFERROR(VLOOKUP(B24,#REF!,3,0),0)</f>
        <v>0</v>
      </c>
      <c r="H24" s="337">
        <f t="shared" si="1"/>
        <v>0</v>
      </c>
      <c r="J24" s="336">
        <f>IFERROR(VLOOKUP(B24,#REF!,4,0),0)</f>
        <v>0</v>
      </c>
      <c r="K24" s="337">
        <f t="shared" si="2"/>
        <v>0</v>
      </c>
      <c r="M24" s="336">
        <f>IFERROR(VLOOKUP(B24,#REF!,6,0),0)</f>
        <v>0</v>
      </c>
      <c r="N24" s="337">
        <f t="shared" si="3"/>
        <v>0</v>
      </c>
      <c r="P24" s="336">
        <f>IFERROR(VLOOKUP(B24,#REF!,7,0),0)</f>
        <v>0</v>
      </c>
      <c r="Q24" s="337">
        <f t="shared" si="0"/>
        <v>0</v>
      </c>
      <c r="S24" s="336">
        <f>IFERROR(VLOOKUP(B24,#REF!,10,0),0)</f>
        <v>0</v>
      </c>
      <c r="T24" s="337">
        <f t="shared" si="4"/>
        <v>0</v>
      </c>
    </row>
    <row r="25" spans="1:20" ht="15.75" thickBot="1">
      <c r="B25" s="328"/>
      <c r="C25" s="329">
        <f>SUM(C3:C24)</f>
        <v>0</v>
      </c>
      <c r="D25" s="329"/>
      <c r="E25" s="329">
        <f>SUM(E3:E24)</f>
        <v>0</v>
      </c>
      <c r="F25" s="330"/>
      <c r="G25" s="329">
        <f t="shared" ref="G25:H25" si="12">SUM(G3:G24)</f>
        <v>0</v>
      </c>
      <c r="H25" s="329">
        <f t="shared" si="12"/>
        <v>0</v>
      </c>
      <c r="J25" s="329">
        <f t="shared" ref="J25" si="13">SUM(J3:J24)</f>
        <v>0</v>
      </c>
      <c r="K25" s="329">
        <f t="shared" ref="K25" si="14">SUM(K3:K24)</f>
        <v>0</v>
      </c>
      <c r="M25" s="329">
        <f t="shared" ref="M25" si="15">SUM(M3:M24)</f>
        <v>0</v>
      </c>
      <c r="N25" s="329">
        <f t="shared" ref="N25" si="16">SUM(N3:N24)</f>
        <v>0</v>
      </c>
      <c r="P25" s="329">
        <f t="shared" ref="P25" si="17">SUM(P3:P24)</f>
        <v>0</v>
      </c>
      <c r="Q25" s="329">
        <f t="shared" ref="Q25" si="18">SUM(Q3:Q24)</f>
        <v>0</v>
      </c>
      <c r="S25" s="329">
        <f t="shared" ref="S25:T25" si="19">SUM(S3:S24)</f>
        <v>0</v>
      </c>
      <c r="T25" s="329">
        <f t="shared" si="19"/>
        <v>0</v>
      </c>
    </row>
    <row r="26" spans="1:20" ht="15.75" thickTop="1">
      <c r="B26" s="327" t="s">
        <v>27</v>
      </c>
      <c r="C26" s="337" t="e">
        <f>#REF!</f>
        <v>#REF!</v>
      </c>
      <c r="D26" s="337"/>
      <c r="E26" s="337"/>
      <c r="F26" s="330"/>
      <c r="G26" s="337" t="e">
        <f>#REF!</f>
        <v>#REF!</v>
      </c>
      <c r="H26" s="337"/>
      <c r="J26" s="337" t="e">
        <f>#REF!</f>
        <v>#REF!</v>
      </c>
      <c r="K26" s="337"/>
      <c r="M26" s="337" t="e">
        <f>#REF!</f>
        <v>#REF!</v>
      </c>
      <c r="N26" s="337"/>
      <c r="P26" s="337" t="e">
        <f>#REF!</f>
        <v>#REF!</v>
      </c>
      <c r="Q26" s="337"/>
      <c r="S26" s="337" t="e">
        <f>#REF!</f>
        <v>#REF!</v>
      </c>
      <c r="T26" s="337"/>
    </row>
    <row r="27" spans="1:20" ht="15.75" thickBot="1">
      <c r="B27" s="328"/>
      <c r="C27" s="329" t="e">
        <f>C25-C26</f>
        <v>#REF!</v>
      </c>
      <c r="D27" s="329">
        <f>IFERROR(E27/C27,0)</f>
        <v>0</v>
      </c>
      <c r="E27" s="329">
        <f>SUM(E25:E26)</f>
        <v>0</v>
      </c>
      <c r="F27" s="330"/>
      <c r="G27" s="338" t="e">
        <f>G25-G26</f>
        <v>#REF!</v>
      </c>
      <c r="H27" s="338">
        <f>SUM(H25:H26)</f>
        <v>0</v>
      </c>
      <c r="J27" s="338" t="e">
        <f>J25-J26</f>
        <v>#REF!</v>
      </c>
      <c r="K27" s="338">
        <f>SUM(K25:K26)</f>
        <v>0</v>
      </c>
      <c r="M27" s="338" t="e">
        <f>M25-M26</f>
        <v>#REF!</v>
      </c>
      <c r="N27" s="338">
        <f>SUM(N25:N26)</f>
        <v>0</v>
      </c>
      <c r="P27" s="338" t="e">
        <f>P25-P26</f>
        <v>#REF!</v>
      </c>
      <c r="Q27" s="338">
        <f>SUM(Q25:Q26)</f>
        <v>0</v>
      </c>
      <c r="S27" s="338" t="e">
        <f>S25-S26</f>
        <v>#REF!</v>
      </c>
      <c r="T27" s="338">
        <f>SUM(T25:T26)</f>
        <v>0</v>
      </c>
    </row>
    <row r="28" spans="1:20" ht="15.75" thickTop="1">
      <c r="F28" s="330"/>
      <c r="G28" s="339"/>
      <c r="H28" s="339">
        <f>IFERROR(H27/G27,0)</f>
        <v>0</v>
      </c>
      <c r="J28" s="339"/>
      <c r="K28" s="339">
        <f>IFERROR(K27/J27,0)</f>
        <v>0</v>
      </c>
      <c r="M28" s="339"/>
      <c r="N28" s="339">
        <f>IFERROR(N27/M27,0)</f>
        <v>0</v>
      </c>
      <c r="P28" s="339"/>
      <c r="Q28" s="339">
        <f>IFERROR(Q27/P27,0)</f>
        <v>0</v>
      </c>
      <c r="S28" s="339"/>
      <c r="T28" s="339">
        <f>IFERROR(T27/S27,0)</f>
        <v>0</v>
      </c>
    </row>
  </sheetData>
  <mergeCells count="6">
    <mergeCell ref="S1:T1"/>
    <mergeCell ref="B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abSelected="1" workbookViewId="0">
      <selection sqref="A1:D1"/>
    </sheetView>
  </sheetViews>
  <sheetFormatPr defaultColWidth="11.85546875" defaultRowHeight="12.75"/>
  <cols>
    <col min="1" max="1" width="33.42578125" style="10" customWidth="1"/>
    <col min="2" max="2" width="12.5703125" style="10" customWidth="1"/>
    <col min="3" max="3" width="9.7109375" style="10" customWidth="1"/>
    <col min="4" max="4" width="12.42578125" style="10" customWidth="1"/>
    <col min="5" max="16384" width="11.85546875" style="10"/>
  </cols>
  <sheetData>
    <row r="1" spans="1:4" ht="15">
      <c r="A1" s="380" t="s">
        <v>425</v>
      </c>
      <c r="B1" s="380"/>
      <c r="C1" s="380"/>
      <c r="D1" s="380"/>
    </row>
    <row r="2" spans="1:4">
      <c r="A2" s="362" t="s">
        <v>517</v>
      </c>
      <c r="B2" s="362"/>
      <c r="C2" s="362"/>
      <c r="D2" s="362"/>
    </row>
    <row r="3" spans="1:4">
      <c r="A3" s="275"/>
      <c r="B3" s="275"/>
      <c r="C3" s="275"/>
      <c r="D3" s="275"/>
    </row>
    <row r="4" spans="1:4" s="251" customFormat="1" ht="40.5" customHeight="1">
      <c r="A4" s="276" t="s">
        <v>119</v>
      </c>
      <c r="B4" s="276" t="s">
        <v>1</v>
      </c>
      <c r="C4" s="276" t="s">
        <v>2</v>
      </c>
      <c r="D4" s="277" t="s">
        <v>518</v>
      </c>
    </row>
    <row r="5" spans="1:4" ht="15">
      <c r="A5" s="278" t="s">
        <v>0</v>
      </c>
      <c r="B5" s="278"/>
      <c r="C5" s="278"/>
      <c r="D5" s="279"/>
    </row>
    <row r="6" spans="1:4" ht="15">
      <c r="A6" s="280" t="s">
        <v>429</v>
      </c>
      <c r="B6" s="341">
        <f>'Cons Prod'!B16</f>
        <v>112139.2</v>
      </c>
      <c r="C6" s="282">
        <f>D6/B6</f>
        <v>128.7604309287029</v>
      </c>
      <c r="D6" s="279">
        <f>'Cons Prod'!D16</f>
        <v>14439091.716</v>
      </c>
    </row>
    <row r="7" spans="1:4" ht="15">
      <c r="A7" s="280" t="s">
        <v>428</v>
      </c>
      <c r="B7" s="281"/>
      <c r="C7" s="282" t="e">
        <f>D7/B7</f>
        <v>#DIV/0!</v>
      </c>
      <c r="D7" s="279"/>
    </row>
    <row r="8" spans="1:4" ht="15">
      <c r="A8" s="280" t="s">
        <v>409</v>
      </c>
      <c r="B8" s="283"/>
      <c r="C8" s="284"/>
      <c r="D8" s="279"/>
    </row>
    <row r="9" spans="1:4" ht="15">
      <c r="A9" s="278"/>
      <c r="B9" s="278"/>
      <c r="C9" s="285"/>
      <c r="D9" s="279"/>
    </row>
    <row r="10" spans="1:4" ht="15">
      <c r="A10" s="286" t="s">
        <v>390</v>
      </c>
      <c r="B10" s="287">
        <f>SUM(B6:B9)</f>
        <v>112139.2</v>
      </c>
      <c r="C10" s="288"/>
      <c r="D10" s="287">
        <f>SUM(D6:D9)</f>
        <v>14439091.716</v>
      </c>
    </row>
    <row r="11" spans="1:4" ht="15">
      <c r="A11" s="278"/>
      <c r="B11" s="278"/>
      <c r="C11" s="285"/>
      <c r="D11" s="279"/>
    </row>
    <row r="12" spans="1:4" ht="15">
      <c r="A12" s="280" t="s">
        <v>223</v>
      </c>
      <c r="B12" s="289">
        <f>B6</f>
        <v>112139.2</v>
      </c>
      <c r="C12" s="284">
        <f>D12/B12</f>
        <v>112.82941810000432</v>
      </c>
      <c r="D12" s="279">
        <f>'Cons Prod'!I21</f>
        <v>12652600.682200003</v>
      </c>
    </row>
    <row r="13" spans="1:4" ht="15">
      <c r="A13" s="280" t="s">
        <v>413</v>
      </c>
      <c r="B13" s="289">
        <f>B7</f>
        <v>0</v>
      </c>
      <c r="C13" s="284" t="e">
        <f>D13/B13</f>
        <v>#DIV/0!</v>
      </c>
      <c r="D13" s="279"/>
    </row>
    <row r="14" spans="1:4" ht="15">
      <c r="A14" s="283" t="s">
        <v>426</v>
      </c>
      <c r="B14" s="289"/>
      <c r="C14" s="284"/>
      <c r="D14" s="279"/>
    </row>
    <row r="15" spans="1:4" ht="15">
      <c r="A15" s="278" t="s">
        <v>414</v>
      </c>
      <c r="B15" s="278"/>
      <c r="C15" s="285"/>
      <c r="D15" s="290">
        <f>SUM(D12:D14)</f>
        <v>12652600.682200003</v>
      </c>
    </row>
    <row r="16" spans="1:4" ht="15">
      <c r="A16" s="291"/>
      <c r="B16" s="291"/>
      <c r="C16" s="292"/>
      <c r="D16" s="293"/>
    </row>
    <row r="17" spans="1:17" ht="15.75" thickBot="1">
      <c r="A17" s="294" t="s">
        <v>410</v>
      </c>
      <c r="B17" s="294"/>
      <c r="C17" s="295">
        <f>D17/D10</f>
        <v>0.1237259980709438</v>
      </c>
      <c r="D17" s="296">
        <f>+D10-D15</f>
        <v>1786491.0337999966</v>
      </c>
    </row>
    <row r="18" spans="1:17" ht="15.75" thickTop="1">
      <c r="A18" s="297" t="s">
        <v>417</v>
      </c>
      <c r="B18" s="297"/>
      <c r="C18" s="298" t="e">
        <f>D18/D7</f>
        <v>#DIV/0!</v>
      </c>
      <c r="D18" s="299">
        <f>D7-D13</f>
        <v>0</v>
      </c>
    </row>
    <row r="19" spans="1:17" ht="15">
      <c r="A19" s="300" t="s">
        <v>418</v>
      </c>
      <c r="B19" s="300"/>
      <c r="C19" s="301">
        <f>D19/D6</f>
        <v>0.1237259980709438</v>
      </c>
      <c r="D19" s="302">
        <f>D6-D12</f>
        <v>1786491.0337999966</v>
      </c>
    </row>
    <row r="20" spans="1:17" ht="15">
      <c r="A20" s="303"/>
      <c r="B20" s="303"/>
      <c r="C20" s="304"/>
      <c r="D20" s="279"/>
    </row>
    <row r="21" spans="1:17" ht="15">
      <c r="A21" s="305" t="s">
        <v>411</v>
      </c>
      <c r="B21" s="305"/>
      <c r="C21" s="306">
        <f>D21/$D$10</f>
        <v>0</v>
      </c>
      <c r="D21" s="279"/>
    </row>
    <row r="22" spans="1:17" ht="15">
      <c r="A22" s="305" t="s">
        <v>391</v>
      </c>
      <c r="B22" s="305"/>
      <c r="C22" s="306">
        <f>D22/$D$10</f>
        <v>4.1756034996950554E-2</v>
      </c>
      <c r="D22" s="279">
        <v>602919.2190174748</v>
      </c>
    </row>
    <row r="23" spans="1:17" ht="15">
      <c r="A23" s="305" t="s">
        <v>46</v>
      </c>
      <c r="B23" s="305"/>
      <c r="C23" s="306">
        <f t="shared" ref="C23:C25" si="0">D23/$D$10</f>
        <v>2.4883144110918673E-2</v>
      </c>
      <c r="D23" s="279">
        <v>359290</v>
      </c>
      <c r="Q23" s="10">
        <v>8.44</v>
      </c>
    </row>
    <row r="24" spans="1:17" ht="15">
      <c r="A24" s="305" t="s">
        <v>392</v>
      </c>
      <c r="B24" s="305"/>
      <c r="C24" s="306">
        <f t="shared" si="0"/>
        <v>9.6043388827796276E-3</v>
      </c>
      <c r="D24" s="279">
        <f>'Consumables and Stores'!I71</f>
        <v>138677.93000000002</v>
      </c>
    </row>
    <row r="25" spans="1:17" ht="15">
      <c r="A25" s="305" t="s">
        <v>419</v>
      </c>
      <c r="B25" s="305"/>
      <c r="C25" s="306">
        <f t="shared" si="0"/>
        <v>0</v>
      </c>
      <c r="D25" s="279"/>
    </row>
    <row r="26" spans="1:17" ht="15">
      <c r="A26" s="305"/>
      <c r="B26" s="305"/>
      <c r="C26" s="305"/>
      <c r="D26" s="279"/>
    </row>
    <row r="27" spans="1:17" ht="15">
      <c r="A27" s="307" t="s">
        <v>412</v>
      </c>
      <c r="B27" s="307"/>
      <c r="C27" s="308">
        <f>D27/D10</f>
        <v>7.6243517990648851E-2</v>
      </c>
      <c r="D27" s="309">
        <f>SUM(D21:D26)</f>
        <v>1100887.1490174748</v>
      </c>
    </row>
    <row r="28" spans="1:17" ht="15">
      <c r="A28" s="310" t="s">
        <v>420</v>
      </c>
      <c r="B28" s="310"/>
      <c r="C28" s="311">
        <f>D28/D10</f>
        <v>4.7482480080294945E-2</v>
      </c>
      <c r="D28" s="287">
        <f>D17-D27</f>
        <v>685603.88478252175</v>
      </c>
    </row>
    <row r="29" spans="1:17" ht="15">
      <c r="A29" s="291"/>
      <c r="B29" s="291"/>
      <c r="C29" s="291"/>
      <c r="D29" s="290"/>
    </row>
    <row r="30" spans="1:17" ht="15">
      <c r="A30" s="291" t="s">
        <v>421</v>
      </c>
      <c r="B30" s="291"/>
      <c r="C30" s="291"/>
      <c r="D30" s="290"/>
    </row>
    <row r="31" spans="1:17" ht="15">
      <c r="A31" s="312" t="s">
        <v>210</v>
      </c>
      <c r="B31" s="291"/>
      <c r="C31" s="291"/>
      <c r="D31" s="290">
        <v>16667</v>
      </c>
    </row>
    <row r="32" spans="1:17" ht="15">
      <c r="A32" s="312" t="s">
        <v>422</v>
      </c>
      <c r="B32" s="313"/>
      <c r="C32" s="313"/>
      <c r="D32" s="279">
        <v>75000</v>
      </c>
    </row>
    <row r="33" spans="1:4" ht="15">
      <c r="A33" s="312" t="s">
        <v>423</v>
      </c>
      <c r="B33" s="313"/>
      <c r="C33" s="313"/>
      <c r="D33" s="279">
        <v>66667</v>
      </c>
    </row>
    <row r="34" spans="1:4" ht="15">
      <c r="A34" s="314" t="s">
        <v>424</v>
      </c>
      <c r="B34" s="314"/>
      <c r="C34" s="314"/>
      <c r="D34" s="309">
        <f>SUM(D31:D33)</f>
        <v>158334</v>
      </c>
    </row>
    <row r="35" spans="1:4" ht="15">
      <c r="A35" s="291"/>
      <c r="B35" s="291"/>
      <c r="C35" s="291"/>
      <c r="D35" s="290"/>
    </row>
    <row r="36" spans="1:4" ht="15.75" thickBot="1">
      <c r="A36" s="315"/>
      <c r="B36" s="291"/>
      <c r="C36" s="291"/>
      <c r="D36" s="279"/>
    </row>
    <row r="37" spans="1:4" ht="16.5" thickTop="1" thickBot="1">
      <c r="A37" s="294" t="s">
        <v>393</v>
      </c>
      <c r="B37" s="294"/>
      <c r="C37" s="295">
        <f>D37/D10</f>
        <v>3.6516831886194923E-2</v>
      </c>
      <c r="D37" s="296">
        <f>D28-D34</f>
        <v>527269.88478252175</v>
      </c>
    </row>
    <row r="38" spans="1:4" ht="15.75" thickTop="1">
      <c r="A38" s="316" t="s">
        <v>395</v>
      </c>
      <c r="B38" s="316"/>
      <c r="C38" s="316"/>
      <c r="D38" s="279">
        <f>5000000/31*1</f>
        <v>161290.32258064515</v>
      </c>
    </row>
    <row r="39" spans="1:4" ht="15">
      <c r="A39" s="313" t="s">
        <v>218</v>
      </c>
      <c r="B39" s="313"/>
      <c r="C39" s="313"/>
      <c r="D39" s="279">
        <f>1800000/31*1</f>
        <v>58064.516129032258</v>
      </c>
    </row>
    <row r="40" spans="1:4" ht="15.75" thickBot="1">
      <c r="A40" s="317" t="s">
        <v>396</v>
      </c>
      <c r="B40" s="317"/>
      <c r="C40" s="318">
        <f>D40/D10</f>
        <v>2.1325098013723592E-2</v>
      </c>
      <c r="D40" s="319">
        <f>+D37-D38-D39</f>
        <v>307915.04607284436</v>
      </c>
    </row>
    <row r="41" spans="1:4" ht="15.75" thickTop="1">
      <c r="A41" s="303"/>
      <c r="B41" s="303"/>
      <c r="C41" s="303"/>
      <c r="D41" s="320"/>
    </row>
    <row r="42" spans="1:4" ht="15">
      <c r="A42" s="321" t="s">
        <v>394</v>
      </c>
      <c r="B42" s="321"/>
      <c r="C42" s="322"/>
      <c r="D42" s="323">
        <f>(D37-D18)/B6</f>
        <v>4.7019230098174569</v>
      </c>
    </row>
    <row r="43" spans="1:4" ht="15">
      <c r="A43" s="324" t="s">
        <v>397</v>
      </c>
      <c r="B43" s="324"/>
      <c r="C43" s="325"/>
      <c r="D43" s="326">
        <f>(D40-D18)/B6</f>
        <v>2.7458288098438759</v>
      </c>
    </row>
  </sheetData>
  <mergeCells count="2">
    <mergeCell ref="A1:D1"/>
    <mergeCell ref="A2:D2"/>
  </mergeCells>
  <pageMargins left="0.45" right="0.4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topLeftCell="A4" workbookViewId="0">
      <selection activeCell="A4" sqref="A4"/>
    </sheetView>
  </sheetViews>
  <sheetFormatPr defaultRowHeight="15"/>
  <cols>
    <col min="1" max="1" width="23.42578125" customWidth="1"/>
    <col min="2" max="2" width="10.7109375" bestFit="1" customWidth="1"/>
    <col min="3" max="3" width="9.42578125" customWidth="1"/>
    <col min="4" max="4" width="13.140625" bestFit="1" customWidth="1"/>
    <col min="6" max="6" width="19.85546875" customWidth="1"/>
    <col min="7" max="7" width="14.42578125" customWidth="1"/>
    <col min="8" max="8" width="10.5703125" customWidth="1"/>
    <col min="9" max="9" width="10.140625" customWidth="1"/>
  </cols>
  <sheetData>
    <row r="2" spans="1:9">
      <c r="A2" t="s">
        <v>76</v>
      </c>
      <c r="F2" t="s">
        <v>248</v>
      </c>
    </row>
    <row r="4" spans="1:9">
      <c r="A4" s="348" t="s">
        <v>69</v>
      </c>
      <c r="B4" s="348" t="s">
        <v>1</v>
      </c>
      <c r="C4" s="348" t="s">
        <v>2</v>
      </c>
      <c r="D4" s="348" t="s">
        <v>3</v>
      </c>
      <c r="E4" s="343"/>
      <c r="F4" s="348" t="s">
        <v>69</v>
      </c>
      <c r="G4" s="348" t="s">
        <v>1</v>
      </c>
      <c r="H4" s="348" t="s">
        <v>2</v>
      </c>
      <c r="I4" s="348" t="s">
        <v>3</v>
      </c>
    </row>
    <row r="5" spans="1:9">
      <c r="A5" s="343" t="s">
        <v>437</v>
      </c>
      <c r="B5" s="352">
        <v>31373.4</v>
      </c>
      <c r="C5" s="343">
        <f t="shared" ref="C5:C10" si="0">H12</f>
        <v>119.58</v>
      </c>
      <c r="D5" s="344">
        <f>B5*C5</f>
        <v>3751631.1720000003</v>
      </c>
      <c r="E5" s="343"/>
      <c r="F5" s="343" t="s">
        <v>440</v>
      </c>
      <c r="G5" s="352">
        <f>27175+1725+24+2700</f>
        <v>31624</v>
      </c>
      <c r="H5" s="343">
        <v>109.58</v>
      </c>
      <c r="I5" s="343">
        <f>G5*H5</f>
        <v>3465357.92</v>
      </c>
    </row>
    <row r="6" spans="1:9">
      <c r="A6" s="343" t="s">
        <v>438</v>
      </c>
      <c r="B6" s="343">
        <v>26119</v>
      </c>
      <c r="C6" s="343">
        <f t="shared" si="0"/>
        <v>129.57999999999998</v>
      </c>
      <c r="D6" s="344">
        <f t="shared" ref="D6:D15" si="1">B6*C6</f>
        <v>3384500.0199999996</v>
      </c>
      <c r="E6" s="343"/>
      <c r="F6" s="343" t="s">
        <v>13</v>
      </c>
      <c r="G6" s="352">
        <f>25+1861.3</f>
        <v>1886.3</v>
      </c>
      <c r="H6" s="343">
        <v>37.39</v>
      </c>
      <c r="I6" s="343">
        <f t="shared" ref="I6:I20" si="2">G6*H6</f>
        <v>70528.756999999998</v>
      </c>
    </row>
    <row r="7" spans="1:9">
      <c r="A7" s="343" t="s">
        <v>7</v>
      </c>
      <c r="B7" s="343">
        <v>9745</v>
      </c>
      <c r="C7" s="343">
        <f t="shared" si="0"/>
        <v>134.57999999999998</v>
      </c>
      <c r="D7" s="344">
        <f t="shared" si="1"/>
        <v>1311482.0999999999</v>
      </c>
      <c r="E7" s="343"/>
      <c r="F7" s="343" t="s">
        <v>22</v>
      </c>
      <c r="G7" s="352">
        <f>75+1139.3+76</f>
        <v>1290.3</v>
      </c>
      <c r="H7" s="343">
        <v>213.89</v>
      </c>
      <c r="I7" s="343">
        <f t="shared" si="2"/>
        <v>275982.26699999999</v>
      </c>
    </row>
    <row r="8" spans="1:9">
      <c r="A8" s="343" t="s">
        <v>434</v>
      </c>
      <c r="B8" s="343">
        <v>3896.8</v>
      </c>
      <c r="C8" s="343">
        <f t="shared" si="0"/>
        <v>129.57999999999998</v>
      </c>
      <c r="D8" s="344">
        <f t="shared" si="1"/>
        <v>504947.34399999998</v>
      </c>
      <c r="E8" s="343"/>
      <c r="F8" s="343" t="s">
        <v>441</v>
      </c>
      <c r="G8" s="343">
        <f>2925+305</f>
        <v>3230</v>
      </c>
      <c r="H8" s="343">
        <v>131.71</v>
      </c>
      <c r="I8" s="343">
        <f t="shared" si="2"/>
        <v>425423.30000000005</v>
      </c>
    </row>
    <row r="9" spans="1:9">
      <c r="A9" s="343" t="s">
        <v>436</v>
      </c>
      <c r="B9" s="343">
        <v>2716</v>
      </c>
      <c r="C9" s="344">
        <f t="shared" si="0"/>
        <v>154.55000000000001</v>
      </c>
      <c r="D9" s="344">
        <f t="shared" si="1"/>
        <v>419757.80000000005</v>
      </c>
      <c r="E9" s="343"/>
      <c r="F9" s="343" t="s">
        <v>442</v>
      </c>
      <c r="G9" s="343">
        <v>6068</v>
      </c>
      <c r="H9" s="343">
        <v>136.4</v>
      </c>
      <c r="I9" s="343">
        <f t="shared" si="2"/>
        <v>827675.20000000007</v>
      </c>
    </row>
    <row r="10" spans="1:9">
      <c r="A10" s="343" t="s">
        <v>94</v>
      </c>
      <c r="B10" s="343">
        <v>10521</v>
      </c>
      <c r="C10" s="343">
        <f t="shared" si="0"/>
        <v>156.4</v>
      </c>
      <c r="D10" s="344">
        <f t="shared" si="1"/>
        <v>1645484.4000000001</v>
      </c>
      <c r="E10" s="343"/>
      <c r="F10" s="343" t="s">
        <v>446</v>
      </c>
      <c r="G10" s="343"/>
      <c r="H10" s="343">
        <v>141.80000000000001</v>
      </c>
      <c r="I10" s="343">
        <f t="shared" si="2"/>
        <v>0</v>
      </c>
    </row>
    <row r="11" spans="1:9">
      <c r="A11" s="343" t="s">
        <v>279</v>
      </c>
      <c r="B11" s="343">
        <v>7528</v>
      </c>
      <c r="C11" s="344">
        <v>195.34</v>
      </c>
      <c r="D11" s="344">
        <f t="shared" si="1"/>
        <v>1470519.52</v>
      </c>
      <c r="E11" s="343"/>
      <c r="F11" s="343" t="s">
        <v>443</v>
      </c>
      <c r="G11" s="352">
        <f>1438+1674.8+133</f>
        <v>3245.8</v>
      </c>
      <c r="H11" s="343">
        <v>28</v>
      </c>
      <c r="I11" s="343">
        <f t="shared" si="2"/>
        <v>90882.400000000009</v>
      </c>
    </row>
    <row r="12" spans="1:9">
      <c r="A12" s="343" t="s">
        <v>435</v>
      </c>
      <c r="B12" s="343">
        <v>5723</v>
      </c>
      <c r="C12" s="344">
        <v>218.32</v>
      </c>
      <c r="D12" s="344">
        <f t="shared" si="1"/>
        <v>1249445.3599999999</v>
      </c>
      <c r="E12" s="343"/>
      <c r="F12" s="343" t="s">
        <v>437</v>
      </c>
      <c r="G12" s="351">
        <f>26491+3234.8</f>
        <v>29725.8</v>
      </c>
      <c r="H12" s="343">
        <f>H5+10</f>
        <v>119.58</v>
      </c>
      <c r="I12" s="343">
        <f t="shared" si="2"/>
        <v>3554611.1639999999</v>
      </c>
    </row>
    <row r="13" spans="1:9">
      <c r="A13" s="343" t="s">
        <v>439</v>
      </c>
      <c r="B13" s="343">
        <v>1770</v>
      </c>
      <c r="C13" s="344">
        <v>232.2</v>
      </c>
      <c r="D13" s="344">
        <f t="shared" si="1"/>
        <v>410994</v>
      </c>
      <c r="E13" s="343"/>
      <c r="F13" s="343" t="s">
        <v>438</v>
      </c>
      <c r="G13" s="343">
        <f>4286.1+8034</f>
        <v>12320.1</v>
      </c>
      <c r="H13" s="343">
        <f>H5+20</f>
        <v>129.57999999999998</v>
      </c>
      <c r="I13" s="343">
        <f t="shared" si="2"/>
        <v>1596438.558</v>
      </c>
    </row>
    <row r="14" spans="1:9">
      <c r="A14" s="274" t="s">
        <v>443</v>
      </c>
      <c r="B14" s="343">
        <v>7625</v>
      </c>
      <c r="C14" s="343">
        <v>28</v>
      </c>
      <c r="D14" s="344">
        <f t="shared" si="1"/>
        <v>213500</v>
      </c>
      <c r="E14" s="343"/>
      <c r="F14" s="343" t="s">
        <v>7</v>
      </c>
      <c r="G14" s="343">
        <v>1595.01</v>
      </c>
      <c r="H14" s="343">
        <f>H5+25</f>
        <v>134.57999999999998</v>
      </c>
      <c r="I14" s="343">
        <f t="shared" si="2"/>
        <v>214656.44579999999</v>
      </c>
    </row>
    <row r="15" spans="1:9">
      <c r="A15" s="274" t="s">
        <v>27</v>
      </c>
      <c r="B15" s="405">
        <f>113+10+2669+372+400+249+477+734+60+38</f>
        <v>5122</v>
      </c>
      <c r="C15" s="343">
        <v>15</v>
      </c>
      <c r="D15" s="344">
        <f t="shared" si="1"/>
        <v>76830</v>
      </c>
      <c r="E15" s="343"/>
      <c r="F15" s="343" t="s">
        <v>434</v>
      </c>
      <c r="G15" s="343">
        <v>918.45</v>
      </c>
      <c r="H15" s="343">
        <f>H5+20</f>
        <v>129.57999999999998</v>
      </c>
      <c r="I15" s="343">
        <f t="shared" si="2"/>
        <v>119012.75099999999</v>
      </c>
    </row>
    <row r="16" spans="1:9">
      <c r="A16" s="347" t="s">
        <v>95</v>
      </c>
      <c r="B16" s="347">
        <f>SUM(B5:B15)</f>
        <v>112139.2</v>
      </c>
      <c r="C16" s="347"/>
      <c r="D16" s="346">
        <f>SUM(D5:D15)</f>
        <v>14439091.716</v>
      </c>
      <c r="F16" s="343" t="s">
        <v>436</v>
      </c>
      <c r="G16" s="343">
        <f>918.45+700</f>
        <v>1618.45</v>
      </c>
      <c r="H16" s="344">
        <v>154.55000000000001</v>
      </c>
      <c r="I16" s="343">
        <f t="shared" si="2"/>
        <v>250131.44750000004</v>
      </c>
    </row>
    <row r="17" spans="6:11">
      <c r="F17" s="343" t="s">
        <v>94</v>
      </c>
      <c r="G17" s="343">
        <v>10197</v>
      </c>
      <c r="H17" s="343">
        <f>H9+20</f>
        <v>156.4</v>
      </c>
      <c r="I17" s="343">
        <f t="shared" si="2"/>
        <v>1594810.8</v>
      </c>
    </row>
    <row r="18" spans="6:11">
      <c r="F18" s="343" t="s">
        <v>444</v>
      </c>
      <c r="G18" s="343"/>
      <c r="H18" s="343">
        <v>215.33</v>
      </c>
      <c r="I18" s="343">
        <f t="shared" si="2"/>
        <v>0</v>
      </c>
    </row>
    <row r="19" spans="6:11">
      <c r="F19" s="343" t="s">
        <v>445</v>
      </c>
      <c r="G19" s="343">
        <f>423.99+258</f>
        <v>681.99</v>
      </c>
      <c r="H19" s="343">
        <v>74.81</v>
      </c>
      <c r="I19" s="343">
        <f t="shared" si="2"/>
        <v>51019.671900000001</v>
      </c>
    </row>
    <row r="20" spans="6:11">
      <c r="F20" s="274" t="s">
        <v>27</v>
      </c>
      <c r="G20" s="343">
        <v>7738</v>
      </c>
      <c r="H20" s="343">
        <v>15</v>
      </c>
      <c r="I20" s="343">
        <f t="shared" si="2"/>
        <v>116070</v>
      </c>
    </row>
    <row r="21" spans="6:11">
      <c r="F21" s="353" t="s">
        <v>414</v>
      </c>
      <c r="G21" s="353">
        <f>SUM(G5:G20)</f>
        <v>112139.20000000001</v>
      </c>
      <c r="H21" s="353"/>
      <c r="I21" s="353">
        <f>SUM(I5:I20)</f>
        <v>12652600.682200003</v>
      </c>
      <c r="K21">
        <f>B16-G21</f>
        <v>0</v>
      </c>
    </row>
    <row r="24" spans="6:11">
      <c r="F24" s="345"/>
      <c r="I24" s="349"/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cols>
    <col min="1" max="16384" width="9.140625" style="1"/>
  </cols>
  <sheetData/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1"/>
  <sheetViews>
    <sheetView topLeftCell="A50" workbookViewId="0">
      <selection activeCell="I71" sqref="I71"/>
    </sheetView>
  </sheetViews>
  <sheetFormatPr defaultRowHeight="15"/>
  <cols>
    <col min="1" max="1" width="9.140625" style="350"/>
    <col min="2" max="2" width="21" style="350" bestFit="1" customWidth="1"/>
    <col min="3" max="3" width="10.7109375" style="350" bestFit="1" customWidth="1"/>
    <col min="4" max="4" width="57" style="350" customWidth="1"/>
    <col min="5" max="5" width="5.28515625" style="350" customWidth="1"/>
    <col min="6" max="7" width="9.140625" style="350" bestFit="1" customWidth="1"/>
    <col min="8" max="8" width="7.85546875" style="350" customWidth="1"/>
    <col min="9" max="9" width="11.7109375" style="350" customWidth="1"/>
    <col min="10" max="10" width="17" style="350" customWidth="1"/>
    <col min="11" max="11" width="19.7109375" style="350" bestFit="1" customWidth="1"/>
    <col min="12" max="12" width="22" style="350" customWidth="1"/>
    <col min="13" max="13" width="13.7109375" style="350" customWidth="1"/>
    <col min="14" max="14" width="19.140625" style="350" bestFit="1" customWidth="1"/>
    <col min="15" max="15" width="5.7109375" style="350" customWidth="1"/>
    <col min="16" max="16384" width="9.140625" style="350"/>
  </cols>
  <sheetData>
    <row r="3" spans="1:15">
      <c r="A3" s="342"/>
      <c r="B3" s="342" t="s">
        <v>430</v>
      </c>
      <c r="C3" s="342" t="s">
        <v>406</v>
      </c>
      <c r="D3" s="342" t="s">
        <v>407</v>
      </c>
      <c r="E3" s="342" t="s">
        <v>230</v>
      </c>
      <c r="F3" s="342" t="s">
        <v>1</v>
      </c>
      <c r="G3" s="342" t="s">
        <v>431</v>
      </c>
      <c r="H3" s="342" t="s">
        <v>2</v>
      </c>
      <c r="I3" s="342" t="s">
        <v>129</v>
      </c>
      <c r="J3" s="342" t="s">
        <v>432</v>
      </c>
      <c r="K3" s="342" t="s">
        <v>408</v>
      </c>
      <c r="L3" s="342" t="s">
        <v>401</v>
      </c>
      <c r="M3" s="342" t="s">
        <v>427</v>
      </c>
      <c r="N3" s="342" t="s">
        <v>433</v>
      </c>
      <c r="O3" s="342" t="s">
        <v>402</v>
      </c>
    </row>
    <row r="4" spans="1:15">
      <c r="B4" s="143" t="s">
        <v>447</v>
      </c>
      <c r="C4" s="143" t="s">
        <v>500</v>
      </c>
      <c r="D4" s="143" t="s">
        <v>501</v>
      </c>
      <c r="E4" s="143" t="s">
        <v>477</v>
      </c>
      <c r="F4" s="143">
        <v>1</v>
      </c>
      <c r="G4" s="143">
        <v>0</v>
      </c>
      <c r="H4" s="143">
        <v>180</v>
      </c>
      <c r="I4" s="143">
        <v>180</v>
      </c>
      <c r="J4" s="143" t="s">
        <v>449</v>
      </c>
      <c r="K4" s="143" t="s">
        <v>147</v>
      </c>
      <c r="L4" s="143" t="s">
        <v>147</v>
      </c>
      <c r="M4" s="143"/>
      <c r="N4" s="143" t="s">
        <v>115</v>
      </c>
      <c r="O4" s="143" t="s">
        <v>469</v>
      </c>
    </row>
    <row r="5" spans="1:15">
      <c r="B5" s="143" t="s">
        <v>447</v>
      </c>
      <c r="C5" s="143" t="s">
        <v>502</v>
      </c>
      <c r="D5" s="143" t="s">
        <v>503</v>
      </c>
      <c r="E5" s="143" t="s">
        <v>504</v>
      </c>
      <c r="F5" s="143">
        <v>2</v>
      </c>
      <c r="G5" s="143">
        <v>0</v>
      </c>
      <c r="H5" s="143">
        <v>66.66</v>
      </c>
      <c r="I5" s="143">
        <v>133.32</v>
      </c>
      <c r="J5" s="143" t="s">
        <v>449</v>
      </c>
      <c r="K5" s="143" t="s">
        <v>147</v>
      </c>
      <c r="L5" s="143" t="s">
        <v>450</v>
      </c>
      <c r="M5" s="143"/>
      <c r="N5" s="143" t="s">
        <v>115</v>
      </c>
      <c r="O5" s="143" t="s">
        <v>469</v>
      </c>
    </row>
    <row r="6" spans="1:15">
      <c r="B6" s="143" t="s">
        <v>447</v>
      </c>
      <c r="C6" s="143" t="s">
        <v>519</v>
      </c>
      <c r="D6" s="143" t="s">
        <v>520</v>
      </c>
      <c r="E6" s="143" t="s">
        <v>451</v>
      </c>
      <c r="F6" s="143">
        <v>86</v>
      </c>
      <c r="G6" s="143">
        <v>0</v>
      </c>
      <c r="H6" s="143">
        <v>21.32</v>
      </c>
      <c r="I6" s="354">
        <v>1833.52</v>
      </c>
      <c r="J6" s="143" t="s">
        <v>449</v>
      </c>
      <c r="K6" s="143" t="s">
        <v>452</v>
      </c>
      <c r="L6" s="143" t="s">
        <v>470</v>
      </c>
      <c r="M6" s="143"/>
      <c r="N6" s="143" t="s">
        <v>404</v>
      </c>
      <c r="O6" s="143" t="s">
        <v>469</v>
      </c>
    </row>
    <row r="7" spans="1:15">
      <c r="B7" s="143" t="s">
        <v>447</v>
      </c>
      <c r="C7" s="143" t="s">
        <v>521</v>
      </c>
      <c r="D7" s="143" t="s">
        <v>522</v>
      </c>
      <c r="E7" s="143" t="s">
        <v>451</v>
      </c>
      <c r="F7" s="143">
        <v>60</v>
      </c>
      <c r="G7" s="143">
        <v>0</v>
      </c>
      <c r="H7" s="143">
        <v>41.82</v>
      </c>
      <c r="I7" s="354">
        <v>2509.1999999999998</v>
      </c>
      <c r="J7" s="143" t="s">
        <v>449</v>
      </c>
      <c r="K7" s="143" t="s">
        <v>452</v>
      </c>
      <c r="L7" s="143" t="s">
        <v>470</v>
      </c>
      <c r="M7" s="143"/>
      <c r="N7" s="143" t="s">
        <v>404</v>
      </c>
      <c r="O7" s="143" t="s">
        <v>469</v>
      </c>
    </row>
    <row r="8" spans="1:15">
      <c r="B8" s="143" t="s">
        <v>447</v>
      </c>
      <c r="C8" s="143" t="s">
        <v>523</v>
      </c>
      <c r="D8" s="143" t="s">
        <v>524</v>
      </c>
      <c r="E8" s="143" t="s">
        <v>448</v>
      </c>
      <c r="F8" s="143">
        <v>300</v>
      </c>
      <c r="G8" s="143">
        <v>0</v>
      </c>
      <c r="H8" s="143">
        <v>0.59</v>
      </c>
      <c r="I8" s="143">
        <v>178.5</v>
      </c>
      <c r="J8" s="143" t="s">
        <v>449</v>
      </c>
      <c r="K8" s="143" t="s">
        <v>452</v>
      </c>
      <c r="L8" s="143" t="s">
        <v>470</v>
      </c>
      <c r="M8" s="143"/>
      <c r="N8" s="143" t="s">
        <v>115</v>
      </c>
      <c r="O8" s="143" t="s">
        <v>469</v>
      </c>
    </row>
    <row r="9" spans="1:15">
      <c r="B9" s="143" t="s">
        <v>447</v>
      </c>
      <c r="C9" s="143" t="s">
        <v>453</v>
      </c>
      <c r="D9" s="143" t="s">
        <v>454</v>
      </c>
      <c r="E9" s="143" t="s">
        <v>455</v>
      </c>
      <c r="F9" s="143">
        <v>97</v>
      </c>
      <c r="G9" s="143">
        <v>0</v>
      </c>
      <c r="H9" s="143">
        <v>130</v>
      </c>
      <c r="I9" s="354">
        <v>12610</v>
      </c>
      <c r="J9" s="143" t="s">
        <v>449</v>
      </c>
      <c r="K9" s="143" t="s">
        <v>147</v>
      </c>
      <c r="L9" s="143" t="s">
        <v>456</v>
      </c>
      <c r="M9" s="143"/>
      <c r="N9" s="143" t="s">
        <v>115</v>
      </c>
      <c r="O9" s="143" t="s">
        <v>469</v>
      </c>
    </row>
    <row r="10" spans="1:15">
      <c r="B10" s="143" t="s">
        <v>447</v>
      </c>
      <c r="C10" s="143" t="s">
        <v>457</v>
      </c>
      <c r="D10" s="143" t="s">
        <v>458</v>
      </c>
      <c r="E10" s="143" t="s">
        <v>459</v>
      </c>
      <c r="F10" s="143">
        <v>3</v>
      </c>
      <c r="G10" s="143">
        <v>0</v>
      </c>
      <c r="H10" s="143">
        <v>63</v>
      </c>
      <c r="I10" s="143">
        <v>189</v>
      </c>
      <c r="J10" s="143" t="s">
        <v>449</v>
      </c>
      <c r="K10" s="143" t="s">
        <v>452</v>
      </c>
      <c r="L10" s="143" t="s">
        <v>460</v>
      </c>
      <c r="M10" s="143"/>
      <c r="N10" s="143" t="s">
        <v>115</v>
      </c>
      <c r="O10" s="143" t="s">
        <v>469</v>
      </c>
    </row>
    <row r="11" spans="1:15">
      <c r="B11" s="143" t="s">
        <v>447</v>
      </c>
      <c r="C11" s="143" t="s">
        <v>461</v>
      </c>
      <c r="D11" s="143" t="s">
        <v>462</v>
      </c>
      <c r="E11" s="143" t="s">
        <v>451</v>
      </c>
      <c r="F11" s="143">
        <v>6</v>
      </c>
      <c r="G11" s="143">
        <v>0</v>
      </c>
      <c r="H11" s="143">
        <v>25</v>
      </c>
      <c r="I11" s="143">
        <v>150</v>
      </c>
      <c r="J11" s="143" t="s">
        <v>449</v>
      </c>
      <c r="K11" s="143" t="s">
        <v>147</v>
      </c>
      <c r="L11" s="143" t="s">
        <v>450</v>
      </c>
      <c r="M11" s="143"/>
      <c r="N11" s="143" t="s">
        <v>115</v>
      </c>
      <c r="O11" s="143" t="s">
        <v>469</v>
      </c>
    </row>
    <row r="12" spans="1:15">
      <c r="B12" s="143" t="s">
        <v>447</v>
      </c>
      <c r="C12" s="143" t="s">
        <v>471</v>
      </c>
      <c r="D12" s="143" t="s">
        <v>472</v>
      </c>
      <c r="E12" s="143" t="s">
        <v>463</v>
      </c>
      <c r="F12" s="143">
        <v>4</v>
      </c>
      <c r="G12" s="143">
        <v>0</v>
      </c>
      <c r="H12" s="143">
        <v>16</v>
      </c>
      <c r="I12" s="143">
        <v>64</v>
      </c>
      <c r="J12" s="143" t="s">
        <v>449</v>
      </c>
      <c r="K12" s="143" t="s">
        <v>147</v>
      </c>
      <c r="L12" s="143" t="s">
        <v>473</v>
      </c>
      <c r="M12" s="143"/>
      <c r="N12" s="143" t="s">
        <v>115</v>
      </c>
      <c r="O12" s="143" t="s">
        <v>469</v>
      </c>
    </row>
    <row r="13" spans="1:15">
      <c r="B13" s="143" t="s">
        <v>447</v>
      </c>
      <c r="C13" s="143" t="s">
        <v>525</v>
      </c>
      <c r="D13" s="143" t="s">
        <v>526</v>
      </c>
      <c r="E13" s="143" t="s">
        <v>451</v>
      </c>
      <c r="F13" s="143">
        <v>4</v>
      </c>
      <c r="G13" s="143">
        <v>0</v>
      </c>
      <c r="H13" s="143">
        <v>6.18</v>
      </c>
      <c r="I13" s="143">
        <v>24.71</v>
      </c>
      <c r="J13" s="143" t="s">
        <v>449</v>
      </c>
      <c r="K13" s="143" t="s">
        <v>452</v>
      </c>
      <c r="L13" s="143" t="s">
        <v>466</v>
      </c>
      <c r="M13" s="143"/>
      <c r="N13" s="143" t="s">
        <v>115</v>
      </c>
      <c r="O13" s="143" t="s">
        <v>469</v>
      </c>
    </row>
    <row r="14" spans="1:15">
      <c r="B14" s="143" t="s">
        <v>447</v>
      </c>
      <c r="C14" s="143" t="s">
        <v>489</v>
      </c>
      <c r="D14" s="143" t="s">
        <v>490</v>
      </c>
      <c r="E14" s="143" t="s">
        <v>474</v>
      </c>
      <c r="F14" s="143">
        <v>5</v>
      </c>
      <c r="G14" s="143">
        <v>0</v>
      </c>
      <c r="H14" s="143">
        <v>97.88</v>
      </c>
      <c r="I14" s="143">
        <v>489.4</v>
      </c>
      <c r="J14" s="143" t="s">
        <v>449</v>
      </c>
      <c r="K14" s="143" t="s">
        <v>147</v>
      </c>
      <c r="L14" s="143" t="s">
        <v>456</v>
      </c>
      <c r="M14" s="143"/>
      <c r="N14" s="143" t="s">
        <v>115</v>
      </c>
      <c r="O14" s="143" t="s">
        <v>469</v>
      </c>
    </row>
    <row r="15" spans="1:15">
      <c r="B15" s="143" t="s">
        <v>447</v>
      </c>
      <c r="C15" s="143" t="s">
        <v>527</v>
      </c>
      <c r="D15" s="143" t="s">
        <v>528</v>
      </c>
      <c r="E15" s="143" t="s">
        <v>448</v>
      </c>
      <c r="F15" s="143">
        <v>17</v>
      </c>
      <c r="G15" s="143">
        <v>0</v>
      </c>
      <c r="H15" s="143">
        <v>2.0499999999999998</v>
      </c>
      <c r="I15" s="143">
        <v>34.92</v>
      </c>
      <c r="J15" s="143" t="s">
        <v>449</v>
      </c>
      <c r="K15" s="143" t="s">
        <v>452</v>
      </c>
      <c r="L15" s="143" t="s">
        <v>466</v>
      </c>
      <c r="M15" s="143"/>
      <c r="N15" s="143" t="s">
        <v>115</v>
      </c>
      <c r="O15" s="143" t="s">
        <v>469</v>
      </c>
    </row>
    <row r="16" spans="1:15">
      <c r="B16" s="143" t="s">
        <v>447</v>
      </c>
      <c r="C16" s="143" t="s">
        <v>529</v>
      </c>
      <c r="D16" s="143" t="s">
        <v>530</v>
      </c>
      <c r="E16" s="143" t="s">
        <v>448</v>
      </c>
      <c r="F16" s="143">
        <v>17</v>
      </c>
      <c r="G16" s="143">
        <v>0</v>
      </c>
      <c r="H16" s="143">
        <v>4.96</v>
      </c>
      <c r="I16" s="143">
        <v>84.32</v>
      </c>
      <c r="J16" s="143" t="s">
        <v>449</v>
      </c>
      <c r="K16" s="143" t="s">
        <v>452</v>
      </c>
      <c r="L16" s="143" t="s">
        <v>466</v>
      </c>
      <c r="M16" s="143"/>
      <c r="N16" s="143" t="s">
        <v>115</v>
      </c>
      <c r="O16" s="143" t="s">
        <v>469</v>
      </c>
    </row>
    <row r="17" spans="2:15">
      <c r="B17" s="143" t="s">
        <v>447</v>
      </c>
      <c r="C17" s="143" t="s">
        <v>531</v>
      </c>
      <c r="D17" s="143" t="s">
        <v>532</v>
      </c>
      <c r="E17" s="143" t="s">
        <v>448</v>
      </c>
      <c r="F17" s="143">
        <v>1</v>
      </c>
      <c r="G17" s="143">
        <v>0</v>
      </c>
      <c r="H17" s="143">
        <v>26.25</v>
      </c>
      <c r="I17" s="143">
        <v>26.25</v>
      </c>
      <c r="J17" s="143" t="s">
        <v>449</v>
      </c>
      <c r="K17" s="143" t="s">
        <v>452</v>
      </c>
      <c r="L17" s="143" t="s">
        <v>466</v>
      </c>
      <c r="M17" s="143"/>
      <c r="N17" s="143" t="s">
        <v>115</v>
      </c>
      <c r="O17" s="143" t="s">
        <v>469</v>
      </c>
    </row>
    <row r="18" spans="2:15">
      <c r="B18" s="143" t="s">
        <v>447</v>
      </c>
      <c r="C18" s="143" t="s">
        <v>533</v>
      </c>
      <c r="D18" s="143" t="s">
        <v>534</v>
      </c>
      <c r="E18" s="143" t="s">
        <v>448</v>
      </c>
      <c r="F18" s="143">
        <v>4</v>
      </c>
      <c r="G18" s="143">
        <v>0</v>
      </c>
      <c r="H18" s="143">
        <v>92.25</v>
      </c>
      <c r="I18" s="143">
        <v>369</v>
      </c>
      <c r="J18" s="143" t="s">
        <v>449</v>
      </c>
      <c r="K18" s="143" t="s">
        <v>452</v>
      </c>
      <c r="L18" s="143" t="s">
        <v>535</v>
      </c>
      <c r="M18" s="143"/>
      <c r="N18" s="143" t="s">
        <v>115</v>
      </c>
      <c r="O18" s="143" t="s">
        <v>469</v>
      </c>
    </row>
    <row r="19" spans="2:15">
      <c r="B19" s="143" t="s">
        <v>447</v>
      </c>
      <c r="C19" s="143" t="s">
        <v>475</v>
      </c>
      <c r="D19" s="143" t="s">
        <v>476</v>
      </c>
      <c r="E19" s="143" t="s">
        <v>448</v>
      </c>
      <c r="F19" s="143">
        <v>2</v>
      </c>
      <c r="G19" s="143">
        <v>0</v>
      </c>
      <c r="H19" s="143">
        <v>7.1</v>
      </c>
      <c r="I19" s="143">
        <v>14.2</v>
      </c>
      <c r="J19" s="143" t="s">
        <v>449</v>
      </c>
      <c r="K19" s="143" t="s">
        <v>452</v>
      </c>
      <c r="L19" s="143" t="s">
        <v>460</v>
      </c>
      <c r="M19" s="143"/>
      <c r="N19" s="143" t="s">
        <v>115</v>
      </c>
      <c r="O19" s="143" t="s">
        <v>469</v>
      </c>
    </row>
    <row r="20" spans="2:15">
      <c r="B20" s="143" t="s">
        <v>447</v>
      </c>
      <c r="C20" s="143" t="s">
        <v>536</v>
      </c>
      <c r="D20" s="143" t="s">
        <v>612</v>
      </c>
      <c r="E20" s="143" t="s">
        <v>448</v>
      </c>
      <c r="F20" s="143">
        <v>1</v>
      </c>
      <c r="G20" s="143">
        <v>0</v>
      </c>
      <c r="H20" s="354">
        <v>1050</v>
      </c>
      <c r="I20" s="354">
        <v>1050</v>
      </c>
      <c r="J20" s="143" t="s">
        <v>35</v>
      </c>
      <c r="K20" s="143" t="s">
        <v>452</v>
      </c>
      <c r="L20" s="143" t="s">
        <v>467</v>
      </c>
      <c r="M20" s="143"/>
      <c r="N20" s="143" t="s">
        <v>468</v>
      </c>
      <c r="O20" s="143" t="s">
        <v>469</v>
      </c>
    </row>
    <row r="21" spans="2:15">
      <c r="B21" s="143" t="s">
        <v>447</v>
      </c>
      <c r="C21" s="143" t="s">
        <v>537</v>
      </c>
      <c r="D21" s="143" t="s">
        <v>538</v>
      </c>
      <c r="E21" s="143" t="s">
        <v>448</v>
      </c>
      <c r="F21" s="143">
        <v>1</v>
      </c>
      <c r="G21" s="143">
        <v>0</v>
      </c>
      <c r="H21" s="143">
        <v>300</v>
      </c>
      <c r="I21" s="143">
        <v>300</v>
      </c>
      <c r="J21" s="143" t="s">
        <v>35</v>
      </c>
      <c r="K21" s="143" t="s">
        <v>452</v>
      </c>
      <c r="L21" s="143" t="s">
        <v>467</v>
      </c>
      <c r="M21" s="143"/>
      <c r="N21" s="143" t="s">
        <v>468</v>
      </c>
      <c r="O21" s="143" t="s">
        <v>469</v>
      </c>
    </row>
    <row r="22" spans="2:15">
      <c r="B22" s="143" t="s">
        <v>447</v>
      </c>
      <c r="C22" s="143" t="s">
        <v>539</v>
      </c>
      <c r="D22" s="143" t="s">
        <v>540</v>
      </c>
      <c r="E22" s="143" t="s">
        <v>448</v>
      </c>
      <c r="F22" s="143">
        <v>3</v>
      </c>
      <c r="G22" s="143">
        <v>0</v>
      </c>
      <c r="H22" s="143">
        <v>250</v>
      </c>
      <c r="I22" s="143">
        <v>750</v>
      </c>
      <c r="J22" s="143" t="s">
        <v>35</v>
      </c>
      <c r="K22" s="143" t="s">
        <v>452</v>
      </c>
      <c r="L22" s="143" t="s">
        <v>467</v>
      </c>
      <c r="M22" s="143"/>
      <c r="N22" s="143" t="s">
        <v>468</v>
      </c>
      <c r="O22" s="143" t="s">
        <v>469</v>
      </c>
    </row>
    <row r="23" spans="2:15">
      <c r="B23" s="143" t="s">
        <v>447</v>
      </c>
      <c r="C23" s="143" t="s">
        <v>453</v>
      </c>
      <c r="D23" s="143" t="s">
        <v>454</v>
      </c>
      <c r="E23" s="143" t="s">
        <v>455</v>
      </c>
      <c r="F23" s="143">
        <v>17</v>
      </c>
      <c r="G23" s="143">
        <v>0</v>
      </c>
      <c r="H23" s="143">
        <v>130</v>
      </c>
      <c r="I23" s="354">
        <v>2210</v>
      </c>
      <c r="J23" s="143" t="s">
        <v>35</v>
      </c>
      <c r="K23" s="143" t="s">
        <v>147</v>
      </c>
      <c r="L23" s="143" t="s">
        <v>456</v>
      </c>
      <c r="M23" s="143"/>
      <c r="N23" s="143" t="s">
        <v>35</v>
      </c>
      <c r="O23" s="143" t="s">
        <v>469</v>
      </c>
    </row>
    <row r="24" spans="2:15">
      <c r="B24" s="143" t="s">
        <v>447</v>
      </c>
      <c r="C24" s="143" t="s">
        <v>471</v>
      </c>
      <c r="D24" s="143" t="s">
        <v>472</v>
      </c>
      <c r="E24" s="143" t="s">
        <v>463</v>
      </c>
      <c r="F24" s="143">
        <v>5</v>
      </c>
      <c r="G24" s="143">
        <v>0</v>
      </c>
      <c r="H24" s="143">
        <v>16</v>
      </c>
      <c r="I24" s="143">
        <v>80</v>
      </c>
      <c r="J24" s="143" t="s">
        <v>35</v>
      </c>
      <c r="K24" s="143" t="s">
        <v>147</v>
      </c>
      <c r="L24" s="143" t="s">
        <v>473</v>
      </c>
      <c r="M24" s="143"/>
      <c r="N24" s="143" t="s">
        <v>35</v>
      </c>
      <c r="O24" s="143" t="s">
        <v>469</v>
      </c>
    </row>
    <row r="25" spans="2:15">
      <c r="B25" s="143" t="s">
        <v>447</v>
      </c>
      <c r="C25" s="143" t="s">
        <v>541</v>
      </c>
      <c r="D25" s="143" t="s">
        <v>542</v>
      </c>
      <c r="E25" s="143" t="s">
        <v>448</v>
      </c>
      <c r="F25" s="143">
        <v>1</v>
      </c>
      <c r="G25" s="143">
        <v>0</v>
      </c>
      <c r="H25" s="143">
        <v>840</v>
      </c>
      <c r="I25" s="143">
        <v>840</v>
      </c>
      <c r="J25" s="143" t="s">
        <v>35</v>
      </c>
      <c r="K25" s="143" t="s">
        <v>452</v>
      </c>
      <c r="L25" s="143" t="s">
        <v>467</v>
      </c>
      <c r="M25" s="143"/>
      <c r="N25" s="143" t="s">
        <v>35</v>
      </c>
      <c r="O25" s="143" t="s">
        <v>469</v>
      </c>
    </row>
    <row r="26" spans="2:15">
      <c r="B26" s="143" t="s">
        <v>447</v>
      </c>
      <c r="C26" s="143" t="s">
        <v>543</v>
      </c>
      <c r="D26" s="143" t="s">
        <v>544</v>
      </c>
      <c r="E26" s="143" t="s">
        <v>451</v>
      </c>
      <c r="F26" s="143">
        <v>1</v>
      </c>
      <c r="G26" s="143">
        <v>0</v>
      </c>
      <c r="H26" s="143">
        <v>192.5</v>
      </c>
      <c r="I26" s="143">
        <v>192.5</v>
      </c>
      <c r="J26" s="143" t="s">
        <v>35</v>
      </c>
      <c r="K26" s="143" t="s">
        <v>452</v>
      </c>
      <c r="L26" s="143" t="s">
        <v>467</v>
      </c>
      <c r="M26" s="143"/>
      <c r="N26" s="143" t="s">
        <v>468</v>
      </c>
      <c r="O26" s="143" t="s">
        <v>469</v>
      </c>
    </row>
    <row r="27" spans="2:15">
      <c r="B27" s="143" t="s">
        <v>447</v>
      </c>
      <c r="C27" s="143" t="s">
        <v>545</v>
      </c>
      <c r="D27" s="143" t="s">
        <v>546</v>
      </c>
      <c r="E27" s="143" t="s">
        <v>448</v>
      </c>
      <c r="F27" s="143">
        <v>1</v>
      </c>
      <c r="G27" s="143">
        <v>0</v>
      </c>
      <c r="H27" s="143">
        <v>33</v>
      </c>
      <c r="I27" s="143">
        <v>33</v>
      </c>
      <c r="J27" s="143" t="s">
        <v>547</v>
      </c>
      <c r="K27" s="143" t="s">
        <v>452</v>
      </c>
      <c r="L27" s="143" t="s">
        <v>460</v>
      </c>
      <c r="M27" s="143"/>
      <c r="N27" s="143" t="s">
        <v>548</v>
      </c>
      <c r="O27" s="143" t="s">
        <v>469</v>
      </c>
    </row>
    <row r="28" spans="2:15">
      <c r="B28" s="143" t="s">
        <v>447</v>
      </c>
      <c r="C28" s="143" t="s">
        <v>549</v>
      </c>
      <c r="D28" s="143" t="s">
        <v>550</v>
      </c>
      <c r="E28" s="143" t="s">
        <v>494</v>
      </c>
      <c r="F28" s="143">
        <v>2</v>
      </c>
      <c r="G28" s="143">
        <v>0</v>
      </c>
      <c r="H28" s="143">
        <v>470</v>
      </c>
      <c r="I28" s="143">
        <v>940</v>
      </c>
      <c r="J28" s="143" t="s">
        <v>233</v>
      </c>
      <c r="K28" s="143" t="s">
        <v>147</v>
      </c>
      <c r="L28" s="143" t="s">
        <v>450</v>
      </c>
      <c r="M28" s="143"/>
      <c r="N28" s="143" t="s">
        <v>110</v>
      </c>
      <c r="O28" s="143" t="s">
        <v>469</v>
      </c>
    </row>
    <row r="29" spans="2:15">
      <c r="B29" s="143" t="s">
        <v>447</v>
      </c>
      <c r="C29" s="143" t="s">
        <v>551</v>
      </c>
      <c r="D29" s="143" t="s">
        <v>552</v>
      </c>
      <c r="E29" s="143" t="s">
        <v>477</v>
      </c>
      <c r="F29" s="143">
        <v>7</v>
      </c>
      <c r="G29" s="143">
        <v>0</v>
      </c>
      <c r="H29" s="143">
        <v>145</v>
      </c>
      <c r="I29" s="354">
        <v>1015</v>
      </c>
      <c r="J29" s="143" t="s">
        <v>233</v>
      </c>
      <c r="K29" s="143" t="s">
        <v>511</v>
      </c>
      <c r="L29" s="143" t="s">
        <v>553</v>
      </c>
      <c r="M29" s="143"/>
      <c r="N29" s="143" t="s">
        <v>110</v>
      </c>
      <c r="O29" s="143" t="s">
        <v>469</v>
      </c>
    </row>
    <row r="30" spans="2:15">
      <c r="B30" s="143" t="s">
        <v>447</v>
      </c>
      <c r="C30" s="143" t="s">
        <v>505</v>
      </c>
      <c r="D30" s="143" t="s">
        <v>506</v>
      </c>
      <c r="E30" s="143" t="s">
        <v>451</v>
      </c>
      <c r="F30" s="143">
        <v>6</v>
      </c>
      <c r="G30" s="143">
        <v>0</v>
      </c>
      <c r="H30" s="143">
        <v>25</v>
      </c>
      <c r="I30" s="143">
        <v>150</v>
      </c>
      <c r="J30" s="143" t="s">
        <v>233</v>
      </c>
      <c r="K30" s="143" t="s">
        <v>147</v>
      </c>
      <c r="L30" s="143" t="s">
        <v>450</v>
      </c>
      <c r="M30" s="143"/>
      <c r="N30" s="143" t="s">
        <v>110</v>
      </c>
      <c r="O30" s="143" t="s">
        <v>469</v>
      </c>
    </row>
    <row r="31" spans="2:15">
      <c r="B31" s="143" t="s">
        <v>447</v>
      </c>
      <c r="C31" s="143" t="s">
        <v>554</v>
      </c>
      <c r="D31" s="143" t="s">
        <v>555</v>
      </c>
      <c r="E31" s="143" t="s">
        <v>448</v>
      </c>
      <c r="F31" s="143">
        <v>4</v>
      </c>
      <c r="G31" s="143">
        <v>0</v>
      </c>
      <c r="H31" s="143">
        <v>550</v>
      </c>
      <c r="I31" s="354">
        <v>2200</v>
      </c>
      <c r="J31" s="143" t="s">
        <v>478</v>
      </c>
      <c r="K31" s="143" t="s">
        <v>452</v>
      </c>
      <c r="L31" s="143" t="s">
        <v>556</v>
      </c>
      <c r="M31" s="143"/>
      <c r="N31" s="143" t="s">
        <v>479</v>
      </c>
      <c r="O31" s="143" t="s">
        <v>469</v>
      </c>
    </row>
    <row r="32" spans="2:15">
      <c r="B32" s="143" t="s">
        <v>447</v>
      </c>
      <c r="C32" s="143" t="s">
        <v>557</v>
      </c>
      <c r="D32" s="143" t="s">
        <v>558</v>
      </c>
      <c r="E32" s="143" t="s">
        <v>451</v>
      </c>
      <c r="F32" s="143">
        <v>35</v>
      </c>
      <c r="G32" s="143">
        <v>0</v>
      </c>
      <c r="H32" s="143">
        <v>1.8</v>
      </c>
      <c r="I32" s="143">
        <v>62.86</v>
      </c>
      <c r="J32" s="143" t="s">
        <v>478</v>
      </c>
      <c r="K32" s="143" t="s">
        <v>452</v>
      </c>
      <c r="L32" s="143" t="s">
        <v>466</v>
      </c>
      <c r="M32" s="143"/>
      <c r="N32" s="143" t="s">
        <v>479</v>
      </c>
      <c r="O32" s="143" t="s">
        <v>469</v>
      </c>
    </row>
    <row r="33" spans="2:15">
      <c r="B33" s="143" t="s">
        <v>447</v>
      </c>
      <c r="C33" s="143" t="s">
        <v>492</v>
      </c>
      <c r="D33" s="143" t="s">
        <v>493</v>
      </c>
      <c r="E33" s="143" t="s">
        <v>448</v>
      </c>
      <c r="F33" s="143">
        <v>3</v>
      </c>
      <c r="G33" s="143">
        <v>0</v>
      </c>
      <c r="H33" s="143">
        <v>11</v>
      </c>
      <c r="I33" s="143">
        <v>33</v>
      </c>
      <c r="J33" s="143" t="s">
        <v>478</v>
      </c>
      <c r="K33" s="143" t="s">
        <v>464</v>
      </c>
      <c r="L33" s="143" t="s">
        <v>465</v>
      </c>
      <c r="M33" s="143"/>
      <c r="N33" s="143" t="s">
        <v>479</v>
      </c>
      <c r="O33" s="143" t="s">
        <v>469</v>
      </c>
    </row>
    <row r="34" spans="2:15">
      <c r="B34" s="143" t="s">
        <v>447</v>
      </c>
      <c r="C34" s="143" t="s">
        <v>475</v>
      </c>
      <c r="D34" s="143" t="s">
        <v>476</v>
      </c>
      <c r="E34" s="143" t="s">
        <v>448</v>
      </c>
      <c r="F34" s="143">
        <v>8</v>
      </c>
      <c r="G34" s="143">
        <v>0</v>
      </c>
      <c r="H34" s="143">
        <v>7.1</v>
      </c>
      <c r="I34" s="143">
        <v>56.8</v>
      </c>
      <c r="J34" s="143" t="s">
        <v>478</v>
      </c>
      <c r="K34" s="143" t="s">
        <v>452</v>
      </c>
      <c r="L34" s="143" t="s">
        <v>460</v>
      </c>
      <c r="M34" s="143"/>
      <c r="N34" s="143" t="s">
        <v>479</v>
      </c>
      <c r="O34" s="143" t="s">
        <v>469</v>
      </c>
    </row>
    <row r="35" spans="2:15">
      <c r="B35" s="143" t="s">
        <v>447</v>
      </c>
      <c r="C35" s="143" t="s">
        <v>507</v>
      </c>
      <c r="D35" s="143" t="s">
        <v>508</v>
      </c>
      <c r="E35" s="143" t="s">
        <v>494</v>
      </c>
      <c r="F35" s="143">
        <v>54</v>
      </c>
      <c r="G35" s="143">
        <v>45.9</v>
      </c>
      <c r="H35" s="143">
        <v>254.31</v>
      </c>
      <c r="I35" s="354">
        <v>13732.74</v>
      </c>
      <c r="J35" s="143" t="s">
        <v>478</v>
      </c>
      <c r="K35" s="143" t="s">
        <v>481</v>
      </c>
      <c r="L35" s="143" t="s">
        <v>481</v>
      </c>
      <c r="M35" s="143"/>
      <c r="N35" s="143" t="s">
        <v>479</v>
      </c>
      <c r="O35" s="143" t="s">
        <v>469</v>
      </c>
    </row>
    <row r="36" spans="2:15">
      <c r="B36" s="143" t="s">
        <v>447</v>
      </c>
      <c r="C36" s="143" t="s">
        <v>509</v>
      </c>
      <c r="D36" s="143" t="s">
        <v>510</v>
      </c>
      <c r="E36" s="143" t="s">
        <v>494</v>
      </c>
      <c r="F36" s="143">
        <v>54</v>
      </c>
      <c r="G36" s="143">
        <v>45.9</v>
      </c>
      <c r="H36" s="143">
        <v>254.31</v>
      </c>
      <c r="I36" s="354">
        <v>13732.74</v>
      </c>
      <c r="J36" s="143" t="s">
        <v>478</v>
      </c>
      <c r="K36" s="143" t="s">
        <v>481</v>
      </c>
      <c r="L36" s="143" t="s">
        <v>481</v>
      </c>
      <c r="M36" s="143"/>
      <c r="N36" s="143" t="s">
        <v>479</v>
      </c>
      <c r="O36" s="143" t="s">
        <v>469</v>
      </c>
    </row>
    <row r="37" spans="2:15">
      <c r="B37" s="143" t="s">
        <v>447</v>
      </c>
      <c r="C37" s="143" t="s">
        <v>559</v>
      </c>
      <c r="D37" s="143" t="s">
        <v>560</v>
      </c>
      <c r="E37" s="143" t="s">
        <v>448</v>
      </c>
      <c r="F37" s="143">
        <v>6</v>
      </c>
      <c r="G37" s="143">
        <v>0</v>
      </c>
      <c r="H37" s="143">
        <v>2.17</v>
      </c>
      <c r="I37" s="143">
        <v>13</v>
      </c>
      <c r="J37" s="143" t="s">
        <v>478</v>
      </c>
      <c r="K37" s="143" t="s">
        <v>452</v>
      </c>
      <c r="L37" s="143" t="s">
        <v>466</v>
      </c>
      <c r="M37" s="143"/>
      <c r="N37" s="143" t="s">
        <v>479</v>
      </c>
      <c r="O37" s="143" t="s">
        <v>469</v>
      </c>
    </row>
    <row r="38" spans="2:15">
      <c r="B38" s="143" t="s">
        <v>447</v>
      </c>
      <c r="C38" s="143" t="s">
        <v>561</v>
      </c>
      <c r="D38" s="143" t="s">
        <v>562</v>
      </c>
      <c r="E38" s="143" t="s">
        <v>448</v>
      </c>
      <c r="F38" s="143">
        <v>1</v>
      </c>
      <c r="G38" s="143">
        <v>0</v>
      </c>
      <c r="H38" s="143">
        <v>115.56</v>
      </c>
      <c r="I38" s="143">
        <v>115.56</v>
      </c>
      <c r="J38" s="143" t="s">
        <v>482</v>
      </c>
      <c r="K38" s="143" t="s">
        <v>452</v>
      </c>
      <c r="L38" s="143" t="s">
        <v>495</v>
      </c>
      <c r="M38" s="143"/>
      <c r="N38" s="143" t="s">
        <v>117</v>
      </c>
      <c r="O38" s="143" t="s">
        <v>469</v>
      </c>
    </row>
    <row r="39" spans="2:15">
      <c r="B39" s="143" t="s">
        <v>447</v>
      </c>
      <c r="C39" s="143" t="s">
        <v>563</v>
      </c>
      <c r="D39" s="143" t="s">
        <v>564</v>
      </c>
      <c r="E39" s="143" t="s">
        <v>463</v>
      </c>
      <c r="F39" s="143">
        <v>202</v>
      </c>
      <c r="G39" s="143">
        <v>0</v>
      </c>
      <c r="H39" s="143">
        <v>158</v>
      </c>
      <c r="I39" s="354">
        <v>31916</v>
      </c>
      <c r="J39" s="143" t="s">
        <v>482</v>
      </c>
      <c r="K39" s="143" t="s">
        <v>147</v>
      </c>
      <c r="L39" s="143" t="s">
        <v>147</v>
      </c>
      <c r="M39" s="143"/>
      <c r="N39" s="143" t="s">
        <v>483</v>
      </c>
      <c r="O39" s="143" t="s">
        <v>469</v>
      </c>
    </row>
    <row r="40" spans="2:15">
      <c r="B40" s="143" t="s">
        <v>447</v>
      </c>
      <c r="C40" s="143" t="s">
        <v>565</v>
      </c>
      <c r="D40" s="143" t="s">
        <v>566</v>
      </c>
      <c r="E40" s="143" t="s">
        <v>448</v>
      </c>
      <c r="F40" s="143">
        <v>1</v>
      </c>
      <c r="G40" s="143">
        <v>0</v>
      </c>
      <c r="H40" s="143">
        <v>160</v>
      </c>
      <c r="I40" s="143">
        <v>160</v>
      </c>
      <c r="J40" s="143" t="s">
        <v>482</v>
      </c>
      <c r="K40" s="143" t="s">
        <v>147</v>
      </c>
      <c r="L40" s="143" t="s">
        <v>147</v>
      </c>
      <c r="M40" s="143"/>
      <c r="N40" s="143" t="s">
        <v>483</v>
      </c>
      <c r="O40" s="143" t="s">
        <v>469</v>
      </c>
    </row>
    <row r="41" spans="2:15">
      <c r="B41" s="143" t="s">
        <v>447</v>
      </c>
      <c r="C41" s="143" t="s">
        <v>457</v>
      </c>
      <c r="D41" s="143" t="s">
        <v>458</v>
      </c>
      <c r="E41" s="143" t="s">
        <v>459</v>
      </c>
      <c r="F41" s="143">
        <v>1</v>
      </c>
      <c r="G41" s="143">
        <v>0</v>
      </c>
      <c r="H41" s="143">
        <v>63</v>
      </c>
      <c r="I41" s="143">
        <v>63</v>
      </c>
      <c r="J41" s="143" t="s">
        <v>484</v>
      </c>
      <c r="K41" s="143" t="s">
        <v>452</v>
      </c>
      <c r="L41" s="143" t="s">
        <v>460</v>
      </c>
      <c r="M41" s="143"/>
      <c r="N41" s="143" t="s">
        <v>251</v>
      </c>
      <c r="O41" s="143" t="s">
        <v>469</v>
      </c>
    </row>
    <row r="42" spans="2:15">
      <c r="B42" s="143" t="s">
        <v>447</v>
      </c>
      <c r="C42" s="143" t="s">
        <v>515</v>
      </c>
      <c r="D42" s="143" t="s">
        <v>516</v>
      </c>
      <c r="E42" s="143" t="s">
        <v>474</v>
      </c>
      <c r="F42" s="143">
        <v>20</v>
      </c>
      <c r="G42" s="143">
        <v>0</v>
      </c>
      <c r="H42" s="143">
        <v>20</v>
      </c>
      <c r="I42" s="143">
        <v>400</v>
      </c>
      <c r="J42" s="143" t="s">
        <v>486</v>
      </c>
      <c r="K42" s="143" t="s">
        <v>147</v>
      </c>
      <c r="L42" s="143" t="s">
        <v>473</v>
      </c>
      <c r="M42" s="143"/>
      <c r="N42" s="143" t="s">
        <v>567</v>
      </c>
      <c r="O42" s="143" t="s">
        <v>469</v>
      </c>
    </row>
    <row r="43" spans="2:15">
      <c r="B43" s="143" t="s">
        <v>447</v>
      </c>
      <c r="C43" s="143" t="s">
        <v>471</v>
      </c>
      <c r="D43" s="143" t="s">
        <v>472</v>
      </c>
      <c r="E43" s="143" t="s">
        <v>463</v>
      </c>
      <c r="F43" s="143">
        <v>5</v>
      </c>
      <c r="G43" s="143">
        <v>0</v>
      </c>
      <c r="H43" s="143">
        <v>16</v>
      </c>
      <c r="I43" s="143">
        <v>80</v>
      </c>
      <c r="J43" s="143" t="s">
        <v>486</v>
      </c>
      <c r="K43" s="143" t="s">
        <v>147</v>
      </c>
      <c r="L43" s="143" t="s">
        <v>473</v>
      </c>
      <c r="M43" s="143"/>
      <c r="N43" s="143" t="s">
        <v>567</v>
      </c>
      <c r="O43" s="143" t="s">
        <v>469</v>
      </c>
    </row>
    <row r="44" spans="2:15">
      <c r="B44" s="143" t="s">
        <v>447</v>
      </c>
      <c r="C44" s="143" t="s">
        <v>487</v>
      </c>
      <c r="D44" s="143" t="s">
        <v>488</v>
      </c>
      <c r="E44" s="143" t="s">
        <v>463</v>
      </c>
      <c r="F44" s="143">
        <v>2</v>
      </c>
      <c r="G44" s="143">
        <v>0</v>
      </c>
      <c r="H44" s="143">
        <v>52</v>
      </c>
      <c r="I44" s="143">
        <v>104</v>
      </c>
      <c r="J44" s="143" t="s">
        <v>486</v>
      </c>
      <c r="K44" s="143" t="s">
        <v>147</v>
      </c>
      <c r="L44" s="143" t="s">
        <v>473</v>
      </c>
      <c r="M44" s="143"/>
      <c r="N44" s="143" t="s">
        <v>567</v>
      </c>
      <c r="O44" s="143" t="s">
        <v>469</v>
      </c>
    </row>
    <row r="45" spans="2:15">
      <c r="B45" s="143" t="s">
        <v>447</v>
      </c>
      <c r="C45" s="143" t="s">
        <v>487</v>
      </c>
      <c r="D45" s="143" t="s">
        <v>488</v>
      </c>
      <c r="E45" s="143" t="s">
        <v>463</v>
      </c>
      <c r="F45" s="143">
        <v>1</v>
      </c>
      <c r="G45" s="143">
        <v>0</v>
      </c>
      <c r="H45" s="143">
        <v>53</v>
      </c>
      <c r="I45" s="143">
        <v>53</v>
      </c>
      <c r="J45" s="143" t="s">
        <v>486</v>
      </c>
      <c r="K45" s="143" t="s">
        <v>147</v>
      </c>
      <c r="L45" s="143" t="s">
        <v>473</v>
      </c>
      <c r="M45" s="143"/>
      <c r="N45" s="143" t="s">
        <v>567</v>
      </c>
      <c r="O45" s="143" t="s">
        <v>469</v>
      </c>
    </row>
    <row r="46" spans="2:15">
      <c r="B46" s="143" t="s">
        <v>447</v>
      </c>
      <c r="C46" s="143" t="s">
        <v>568</v>
      </c>
      <c r="D46" s="143" t="s">
        <v>569</v>
      </c>
      <c r="E46" s="143" t="s">
        <v>448</v>
      </c>
      <c r="F46" s="143">
        <v>2</v>
      </c>
      <c r="G46" s="143">
        <v>0</v>
      </c>
      <c r="H46" s="143">
        <v>25</v>
      </c>
      <c r="I46" s="143">
        <v>50</v>
      </c>
      <c r="J46" s="143" t="s">
        <v>486</v>
      </c>
      <c r="K46" s="143" t="s">
        <v>147</v>
      </c>
      <c r="L46" s="143" t="s">
        <v>147</v>
      </c>
      <c r="M46" s="143" t="s">
        <v>147</v>
      </c>
      <c r="N46" s="143" t="s">
        <v>570</v>
      </c>
      <c r="O46" s="143" t="s">
        <v>469</v>
      </c>
    </row>
    <row r="47" spans="2:15">
      <c r="B47" s="143" t="s">
        <v>447</v>
      </c>
      <c r="C47" s="143" t="s">
        <v>571</v>
      </c>
      <c r="D47" s="143" t="s">
        <v>613</v>
      </c>
      <c r="E47" s="143" t="s">
        <v>448</v>
      </c>
      <c r="F47" s="143">
        <v>100</v>
      </c>
      <c r="G47" s="143">
        <v>0</v>
      </c>
      <c r="H47" s="143">
        <v>5.0999999999999996</v>
      </c>
      <c r="I47" s="143">
        <v>510</v>
      </c>
      <c r="J47" s="143" t="s">
        <v>26</v>
      </c>
      <c r="K47" s="143" t="s">
        <v>147</v>
      </c>
      <c r="L47" s="143" t="s">
        <v>572</v>
      </c>
      <c r="M47" s="143">
        <v>0</v>
      </c>
      <c r="N47" s="143" t="s">
        <v>26</v>
      </c>
      <c r="O47" s="143" t="s">
        <v>469</v>
      </c>
    </row>
    <row r="48" spans="2:15">
      <c r="B48" s="143" t="s">
        <v>447</v>
      </c>
      <c r="C48" s="143" t="s">
        <v>573</v>
      </c>
      <c r="D48" s="143" t="s">
        <v>574</v>
      </c>
      <c r="E48" s="143" t="s">
        <v>448</v>
      </c>
      <c r="F48" s="143">
        <v>8</v>
      </c>
      <c r="G48" s="143">
        <v>0</v>
      </c>
      <c r="H48" s="143">
        <v>3.02</v>
      </c>
      <c r="I48" s="143">
        <v>24.16</v>
      </c>
      <c r="J48" s="143" t="s">
        <v>26</v>
      </c>
      <c r="K48" s="143" t="s">
        <v>452</v>
      </c>
      <c r="L48" s="143" t="s">
        <v>466</v>
      </c>
      <c r="M48" s="143"/>
      <c r="N48" s="143" t="s">
        <v>26</v>
      </c>
      <c r="O48" s="143" t="s">
        <v>469</v>
      </c>
    </row>
    <row r="49" spans="2:15">
      <c r="B49" s="143" t="s">
        <v>447</v>
      </c>
      <c r="C49" s="143" t="s">
        <v>575</v>
      </c>
      <c r="D49" s="143" t="s">
        <v>576</v>
      </c>
      <c r="E49" s="143" t="s">
        <v>451</v>
      </c>
      <c r="F49" s="143">
        <v>35</v>
      </c>
      <c r="G49" s="143">
        <v>0</v>
      </c>
      <c r="H49" s="143">
        <v>0.28999999999999998</v>
      </c>
      <c r="I49" s="143">
        <v>10.15</v>
      </c>
      <c r="J49" s="143" t="s">
        <v>26</v>
      </c>
      <c r="K49" s="143" t="s">
        <v>452</v>
      </c>
      <c r="L49" s="143" t="s">
        <v>466</v>
      </c>
      <c r="M49" s="143"/>
      <c r="N49" s="143" t="s">
        <v>479</v>
      </c>
      <c r="O49" s="143" t="s">
        <v>469</v>
      </c>
    </row>
    <row r="50" spans="2:15">
      <c r="B50" s="143" t="s">
        <v>447</v>
      </c>
      <c r="C50" s="143" t="s">
        <v>577</v>
      </c>
      <c r="D50" s="143" t="s">
        <v>614</v>
      </c>
      <c r="E50" s="143" t="s">
        <v>448</v>
      </c>
      <c r="F50" s="143">
        <v>100</v>
      </c>
      <c r="G50" s="143">
        <v>0</v>
      </c>
      <c r="H50" s="143">
        <v>18</v>
      </c>
      <c r="I50" s="354">
        <v>1800</v>
      </c>
      <c r="J50" s="143" t="s">
        <v>26</v>
      </c>
      <c r="K50" s="143" t="s">
        <v>147</v>
      </c>
      <c r="L50" s="143" t="s">
        <v>572</v>
      </c>
      <c r="M50" s="143"/>
      <c r="N50" s="143" t="s">
        <v>26</v>
      </c>
      <c r="O50" s="143" t="s">
        <v>469</v>
      </c>
    </row>
    <row r="51" spans="2:15">
      <c r="B51" s="143" t="s">
        <v>447</v>
      </c>
      <c r="C51" s="143" t="s">
        <v>578</v>
      </c>
      <c r="D51" s="143" t="s">
        <v>615</v>
      </c>
      <c r="E51" s="143" t="s">
        <v>448</v>
      </c>
      <c r="F51" s="143">
        <v>100</v>
      </c>
      <c r="G51" s="143">
        <v>0</v>
      </c>
      <c r="H51" s="143">
        <v>6.9</v>
      </c>
      <c r="I51" s="143">
        <v>690</v>
      </c>
      <c r="J51" s="143" t="s">
        <v>26</v>
      </c>
      <c r="K51" s="143" t="s">
        <v>147</v>
      </c>
      <c r="L51" s="143" t="s">
        <v>572</v>
      </c>
      <c r="M51" s="143"/>
      <c r="N51" s="143" t="s">
        <v>26</v>
      </c>
      <c r="O51" s="143" t="s">
        <v>469</v>
      </c>
    </row>
    <row r="52" spans="2:15">
      <c r="B52" s="143" t="s">
        <v>447</v>
      </c>
      <c r="C52" s="143" t="s">
        <v>579</v>
      </c>
      <c r="D52" s="143" t="s">
        <v>616</v>
      </c>
      <c r="E52" s="143" t="s">
        <v>451</v>
      </c>
      <c r="F52" s="143">
        <v>6</v>
      </c>
      <c r="G52" s="143">
        <v>0</v>
      </c>
      <c r="H52" s="143">
        <v>20</v>
      </c>
      <c r="I52" s="143">
        <v>120</v>
      </c>
      <c r="J52" s="143" t="s">
        <v>26</v>
      </c>
      <c r="K52" s="143" t="s">
        <v>452</v>
      </c>
      <c r="L52" s="143" t="s">
        <v>580</v>
      </c>
      <c r="M52" s="143"/>
      <c r="N52" s="143" t="s">
        <v>26</v>
      </c>
      <c r="O52" s="143" t="s">
        <v>469</v>
      </c>
    </row>
    <row r="53" spans="2:15">
      <c r="B53" s="143" t="s">
        <v>447</v>
      </c>
      <c r="C53" s="143" t="s">
        <v>581</v>
      </c>
      <c r="D53" s="143" t="s">
        <v>617</v>
      </c>
      <c r="E53" s="143" t="s">
        <v>448</v>
      </c>
      <c r="F53" s="143">
        <v>100</v>
      </c>
      <c r="G53" s="143">
        <v>0</v>
      </c>
      <c r="H53" s="143">
        <v>5.5</v>
      </c>
      <c r="I53" s="143">
        <v>550</v>
      </c>
      <c r="J53" s="143" t="s">
        <v>26</v>
      </c>
      <c r="K53" s="143" t="s">
        <v>147</v>
      </c>
      <c r="L53" s="143" t="s">
        <v>572</v>
      </c>
      <c r="M53" s="143"/>
      <c r="N53" s="143" t="s">
        <v>26</v>
      </c>
      <c r="O53" s="143" t="s">
        <v>469</v>
      </c>
    </row>
    <row r="54" spans="2:15">
      <c r="B54" s="143" t="s">
        <v>447</v>
      </c>
      <c r="C54" s="143" t="s">
        <v>582</v>
      </c>
      <c r="D54" s="143" t="s">
        <v>583</v>
      </c>
      <c r="E54" s="143" t="s">
        <v>448</v>
      </c>
      <c r="F54" s="143">
        <v>4</v>
      </c>
      <c r="G54" s="143">
        <v>0</v>
      </c>
      <c r="H54" s="354">
        <v>2425</v>
      </c>
      <c r="I54" s="354">
        <v>9700</v>
      </c>
      <c r="J54" s="143" t="s">
        <v>276</v>
      </c>
      <c r="K54" s="143" t="s">
        <v>452</v>
      </c>
      <c r="L54" s="143" t="s">
        <v>535</v>
      </c>
      <c r="M54" s="143"/>
      <c r="N54" s="143" t="s">
        <v>485</v>
      </c>
      <c r="O54" s="143" t="s">
        <v>469</v>
      </c>
    </row>
    <row r="55" spans="2:15">
      <c r="B55" s="143" t="s">
        <v>447</v>
      </c>
      <c r="C55" s="143" t="s">
        <v>505</v>
      </c>
      <c r="D55" s="143" t="s">
        <v>506</v>
      </c>
      <c r="E55" s="143" t="s">
        <v>451</v>
      </c>
      <c r="F55" s="143">
        <v>6</v>
      </c>
      <c r="G55" s="143">
        <v>0</v>
      </c>
      <c r="H55" s="143">
        <v>25</v>
      </c>
      <c r="I55" s="143">
        <v>150</v>
      </c>
      <c r="J55" s="143" t="s">
        <v>276</v>
      </c>
      <c r="K55" s="143" t="s">
        <v>147</v>
      </c>
      <c r="L55" s="143" t="s">
        <v>450</v>
      </c>
      <c r="M55" s="143"/>
      <c r="N55" s="143" t="s">
        <v>485</v>
      </c>
      <c r="O55" s="143" t="s">
        <v>469</v>
      </c>
    </row>
    <row r="56" spans="2:15">
      <c r="B56" s="143" t="s">
        <v>447</v>
      </c>
      <c r="C56" s="143" t="s">
        <v>584</v>
      </c>
      <c r="D56" s="143" t="s">
        <v>585</v>
      </c>
      <c r="E56" s="143" t="s">
        <v>451</v>
      </c>
      <c r="F56" s="143">
        <v>4</v>
      </c>
      <c r="G56" s="143">
        <v>0</v>
      </c>
      <c r="H56" s="143">
        <v>780</v>
      </c>
      <c r="I56" s="354">
        <v>3120</v>
      </c>
      <c r="J56" s="143" t="s">
        <v>276</v>
      </c>
      <c r="K56" s="143" t="s">
        <v>452</v>
      </c>
      <c r="L56" s="143" t="s">
        <v>535</v>
      </c>
      <c r="M56" s="143"/>
      <c r="N56" s="143" t="s">
        <v>485</v>
      </c>
      <c r="O56" s="143" t="s">
        <v>469</v>
      </c>
    </row>
    <row r="57" spans="2:15">
      <c r="B57" s="143" t="s">
        <v>447</v>
      </c>
      <c r="C57" s="143" t="s">
        <v>586</v>
      </c>
      <c r="D57" s="143" t="s">
        <v>587</v>
      </c>
      <c r="E57" s="143" t="s">
        <v>448</v>
      </c>
      <c r="F57" s="143">
        <v>4</v>
      </c>
      <c r="G57" s="143">
        <v>0</v>
      </c>
      <c r="H57" s="143">
        <v>76.400000000000006</v>
      </c>
      <c r="I57" s="143">
        <v>305.60000000000002</v>
      </c>
      <c r="J57" s="143" t="s">
        <v>276</v>
      </c>
      <c r="K57" s="143" t="s">
        <v>452</v>
      </c>
      <c r="L57" s="143" t="s">
        <v>535</v>
      </c>
      <c r="M57" s="143"/>
      <c r="N57" s="143" t="s">
        <v>485</v>
      </c>
      <c r="O57" s="143" t="s">
        <v>469</v>
      </c>
    </row>
    <row r="58" spans="2:15">
      <c r="B58" s="143" t="s">
        <v>447</v>
      </c>
      <c r="C58" s="143" t="s">
        <v>588</v>
      </c>
      <c r="D58" s="143" t="s">
        <v>589</v>
      </c>
      <c r="E58" s="143" t="s">
        <v>448</v>
      </c>
      <c r="F58" s="143">
        <v>3</v>
      </c>
      <c r="G58" s="143">
        <v>0</v>
      </c>
      <c r="H58" s="354">
        <v>4410</v>
      </c>
      <c r="I58" s="354">
        <v>13230</v>
      </c>
      <c r="J58" s="143" t="s">
        <v>496</v>
      </c>
      <c r="K58" s="143" t="s">
        <v>590</v>
      </c>
      <c r="L58" s="143" t="s">
        <v>591</v>
      </c>
      <c r="M58" s="143"/>
      <c r="N58" s="143" t="s">
        <v>497</v>
      </c>
      <c r="O58" s="143" t="s">
        <v>469</v>
      </c>
    </row>
    <row r="59" spans="2:15">
      <c r="B59" s="143" t="s">
        <v>447</v>
      </c>
      <c r="C59" s="143" t="s">
        <v>498</v>
      </c>
      <c r="D59" s="143" t="s">
        <v>499</v>
      </c>
      <c r="E59" s="143" t="s">
        <v>448</v>
      </c>
      <c r="F59" s="354">
        <v>2000</v>
      </c>
      <c r="G59" s="143">
        <v>0</v>
      </c>
      <c r="H59" s="143">
        <v>0.91</v>
      </c>
      <c r="I59" s="354">
        <v>1820</v>
      </c>
      <c r="J59" s="143" t="s">
        <v>496</v>
      </c>
      <c r="K59" s="143" t="s">
        <v>452</v>
      </c>
      <c r="L59" s="143" t="s">
        <v>460</v>
      </c>
      <c r="M59" s="143"/>
      <c r="N59" s="143" t="s">
        <v>497</v>
      </c>
      <c r="O59" s="143" t="s">
        <v>469</v>
      </c>
    </row>
    <row r="60" spans="2:15">
      <c r="B60" s="143" t="s">
        <v>447</v>
      </c>
      <c r="C60" s="143" t="s">
        <v>457</v>
      </c>
      <c r="D60" s="143" t="s">
        <v>458</v>
      </c>
      <c r="E60" s="143" t="s">
        <v>459</v>
      </c>
      <c r="F60" s="143">
        <v>5</v>
      </c>
      <c r="G60" s="143">
        <v>0</v>
      </c>
      <c r="H60" s="143">
        <v>63</v>
      </c>
      <c r="I60" s="143">
        <v>315</v>
      </c>
      <c r="J60" s="143" t="s">
        <v>496</v>
      </c>
      <c r="K60" s="143" t="s">
        <v>452</v>
      </c>
      <c r="L60" s="143" t="s">
        <v>460</v>
      </c>
      <c r="M60" s="143"/>
      <c r="N60" s="143" t="s">
        <v>497</v>
      </c>
      <c r="O60" s="143" t="s">
        <v>469</v>
      </c>
    </row>
    <row r="61" spans="2:15">
      <c r="B61" s="143" t="s">
        <v>447</v>
      </c>
      <c r="C61" s="143" t="s">
        <v>592</v>
      </c>
      <c r="D61" s="143" t="s">
        <v>593</v>
      </c>
      <c r="E61" s="143" t="s">
        <v>451</v>
      </c>
      <c r="F61" s="143">
        <v>50</v>
      </c>
      <c r="G61" s="143">
        <v>0</v>
      </c>
      <c r="H61" s="143">
        <v>16.149999999999999</v>
      </c>
      <c r="I61" s="143">
        <v>807.5</v>
      </c>
      <c r="J61" s="143" t="s">
        <v>496</v>
      </c>
      <c r="K61" s="143" t="s">
        <v>452</v>
      </c>
      <c r="L61" s="143" t="s">
        <v>513</v>
      </c>
      <c r="M61" s="143"/>
      <c r="N61" s="143" t="s">
        <v>594</v>
      </c>
      <c r="O61" s="143" t="s">
        <v>469</v>
      </c>
    </row>
    <row r="62" spans="2:15">
      <c r="B62" s="143" t="s">
        <v>447</v>
      </c>
      <c r="C62" s="143" t="s">
        <v>595</v>
      </c>
      <c r="D62" s="143" t="s">
        <v>596</v>
      </c>
      <c r="E62" s="143" t="s">
        <v>451</v>
      </c>
      <c r="F62" s="143">
        <v>40</v>
      </c>
      <c r="G62" s="143">
        <v>0</v>
      </c>
      <c r="H62" s="143">
        <v>81</v>
      </c>
      <c r="I62" s="354">
        <v>3240</v>
      </c>
      <c r="J62" s="143" t="s">
        <v>496</v>
      </c>
      <c r="K62" s="143" t="s">
        <v>452</v>
      </c>
      <c r="L62" s="143" t="s">
        <v>513</v>
      </c>
      <c r="M62" s="143"/>
      <c r="N62" s="143" t="s">
        <v>497</v>
      </c>
      <c r="O62" s="143" t="s">
        <v>469</v>
      </c>
    </row>
    <row r="63" spans="2:15">
      <c r="B63" s="143" t="s">
        <v>447</v>
      </c>
      <c r="C63" s="143" t="s">
        <v>597</v>
      </c>
      <c r="D63" s="143" t="s">
        <v>598</v>
      </c>
      <c r="E63" s="143" t="s">
        <v>451</v>
      </c>
      <c r="F63" s="143">
        <v>10</v>
      </c>
      <c r="G63" s="143">
        <v>0</v>
      </c>
      <c r="H63" s="143">
        <v>130.5</v>
      </c>
      <c r="I63" s="354">
        <v>1305</v>
      </c>
      <c r="J63" s="143" t="s">
        <v>496</v>
      </c>
      <c r="K63" s="143" t="s">
        <v>452</v>
      </c>
      <c r="L63" s="143" t="s">
        <v>513</v>
      </c>
      <c r="M63" s="143"/>
      <c r="N63" s="143" t="s">
        <v>497</v>
      </c>
      <c r="O63" s="143" t="s">
        <v>469</v>
      </c>
    </row>
    <row r="64" spans="2:15">
      <c r="B64" s="143" t="s">
        <v>447</v>
      </c>
      <c r="C64" s="143" t="s">
        <v>599</v>
      </c>
      <c r="D64" s="143" t="s">
        <v>600</v>
      </c>
      <c r="E64" s="143" t="s">
        <v>448</v>
      </c>
      <c r="F64" s="143">
        <v>40</v>
      </c>
      <c r="G64" s="143">
        <v>0</v>
      </c>
      <c r="H64" s="143">
        <v>81</v>
      </c>
      <c r="I64" s="354">
        <v>3240</v>
      </c>
      <c r="J64" s="143" t="s">
        <v>496</v>
      </c>
      <c r="K64" s="143" t="s">
        <v>452</v>
      </c>
      <c r="L64" s="143" t="s">
        <v>513</v>
      </c>
      <c r="M64" s="143"/>
      <c r="N64" s="143" t="s">
        <v>497</v>
      </c>
      <c r="O64" s="143" t="s">
        <v>469</v>
      </c>
    </row>
    <row r="65" spans="2:15">
      <c r="B65" s="143" t="s">
        <v>447</v>
      </c>
      <c r="C65" s="143" t="s">
        <v>601</v>
      </c>
      <c r="D65" s="143" t="s">
        <v>602</v>
      </c>
      <c r="E65" s="143" t="s">
        <v>448</v>
      </c>
      <c r="F65" s="143">
        <v>10</v>
      </c>
      <c r="G65" s="143">
        <v>0</v>
      </c>
      <c r="H65" s="143">
        <v>38</v>
      </c>
      <c r="I65" s="143">
        <v>380</v>
      </c>
      <c r="J65" s="143" t="s">
        <v>496</v>
      </c>
      <c r="K65" s="143" t="s">
        <v>452</v>
      </c>
      <c r="L65" s="143" t="s">
        <v>513</v>
      </c>
      <c r="M65" s="143"/>
      <c r="N65" s="143" t="s">
        <v>497</v>
      </c>
      <c r="O65" s="143" t="s">
        <v>469</v>
      </c>
    </row>
    <row r="66" spans="2:15">
      <c r="B66" s="143" t="s">
        <v>447</v>
      </c>
      <c r="C66" s="143" t="s">
        <v>603</v>
      </c>
      <c r="D66" s="143" t="s">
        <v>604</v>
      </c>
      <c r="E66" s="143" t="s">
        <v>448</v>
      </c>
      <c r="F66" s="143">
        <v>10</v>
      </c>
      <c r="G66" s="143">
        <v>0</v>
      </c>
      <c r="H66" s="143">
        <v>52.25</v>
      </c>
      <c r="I66" s="143">
        <v>522.5</v>
      </c>
      <c r="J66" s="143" t="s">
        <v>496</v>
      </c>
      <c r="K66" s="143" t="s">
        <v>452</v>
      </c>
      <c r="L66" s="143" t="s">
        <v>513</v>
      </c>
      <c r="M66" s="143"/>
      <c r="N66" s="143" t="s">
        <v>497</v>
      </c>
      <c r="O66" s="143" t="s">
        <v>469</v>
      </c>
    </row>
    <row r="67" spans="2:15">
      <c r="B67" s="143" t="s">
        <v>447</v>
      </c>
      <c r="C67" s="143" t="s">
        <v>605</v>
      </c>
      <c r="D67" s="143" t="s">
        <v>606</v>
      </c>
      <c r="E67" s="143" t="s">
        <v>448</v>
      </c>
      <c r="F67" s="143">
        <v>3</v>
      </c>
      <c r="G67" s="143">
        <v>0</v>
      </c>
      <c r="H67" s="143">
        <v>450</v>
      </c>
      <c r="I67" s="354">
        <v>1350</v>
      </c>
      <c r="J67" s="143" t="s">
        <v>480</v>
      </c>
      <c r="K67" s="143" t="s">
        <v>452</v>
      </c>
      <c r="L67" s="143" t="s">
        <v>607</v>
      </c>
      <c r="M67" s="143"/>
      <c r="N67" s="143" t="s">
        <v>491</v>
      </c>
      <c r="O67" s="143" t="s">
        <v>469</v>
      </c>
    </row>
    <row r="68" spans="2:15">
      <c r="B68" s="143" t="s">
        <v>447</v>
      </c>
      <c r="C68" s="143" t="s">
        <v>489</v>
      </c>
      <c r="D68" s="143" t="s">
        <v>490</v>
      </c>
      <c r="E68" s="143" t="s">
        <v>474</v>
      </c>
      <c r="F68" s="143">
        <v>60</v>
      </c>
      <c r="G68" s="143">
        <v>0</v>
      </c>
      <c r="H68" s="143">
        <v>97.88</v>
      </c>
      <c r="I68" s="354">
        <v>5872.8</v>
      </c>
      <c r="J68" s="143" t="s">
        <v>480</v>
      </c>
      <c r="K68" s="143" t="s">
        <v>147</v>
      </c>
      <c r="L68" s="143" t="s">
        <v>456</v>
      </c>
      <c r="M68" s="143"/>
      <c r="N68" s="143" t="s">
        <v>512</v>
      </c>
      <c r="O68" s="143" t="s">
        <v>469</v>
      </c>
    </row>
    <row r="69" spans="2:15">
      <c r="B69" s="143" t="s">
        <v>447</v>
      </c>
      <c r="C69" s="143" t="s">
        <v>608</v>
      </c>
      <c r="D69" s="143" t="s">
        <v>609</v>
      </c>
      <c r="E69" s="143" t="s">
        <v>451</v>
      </c>
      <c r="F69" s="143">
        <v>3</v>
      </c>
      <c r="G69" s="143">
        <v>0</v>
      </c>
      <c r="H69" s="143">
        <v>20.16</v>
      </c>
      <c r="I69" s="143">
        <v>60.48</v>
      </c>
      <c r="J69" s="143" t="s">
        <v>480</v>
      </c>
      <c r="K69" s="143" t="s">
        <v>452</v>
      </c>
      <c r="L69" s="143" t="s">
        <v>495</v>
      </c>
      <c r="M69" s="143"/>
      <c r="N69" s="143" t="s">
        <v>514</v>
      </c>
      <c r="O69" s="143" t="s">
        <v>469</v>
      </c>
    </row>
    <row r="70" spans="2:15">
      <c r="B70" s="143" t="s">
        <v>447</v>
      </c>
      <c r="C70" s="143" t="s">
        <v>610</v>
      </c>
      <c r="D70" s="143" t="s">
        <v>611</v>
      </c>
      <c r="E70" s="143" t="s">
        <v>448</v>
      </c>
      <c r="F70" s="143">
        <v>10</v>
      </c>
      <c r="G70" s="143">
        <v>0</v>
      </c>
      <c r="H70" s="143">
        <v>33.119999999999997</v>
      </c>
      <c r="I70" s="143">
        <v>331.2</v>
      </c>
      <c r="J70" s="143" t="s">
        <v>480</v>
      </c>
      <c r="K70" s="143" t="s">
        <v>452</v>
      </c>
      <c r="L70" s="143" t="s">
        <v>495</v>
      </c>
      <c r="M70" s="143"/>
      <c r="N70" s="143" t="s">
        <v>514</v>
      </c>
      <c r="O70" s="143" t="s">
        <v>469</v>
      </c>
    </row>
    <row r="71" spans="2:15" ht="15.75">
      <c r="I71" s="355">
        <f>SUM(I4:I70)</f>
        <v>138677.93000000002</v>
      </c>
    </row>
  </sheetData>
  <autoFilter ref="B3:O70"/>
  <pageMargins left="0.7" right="0.7" top="0.75" bottom="0.75" header="0.3" footer="0.3"/>
  <pageSetup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"/>
  <sheetViews>
    <sheetView workbookViewId="0"/>
  </sheetViews>
  <sheetFormatPr defaultColWidth="9.140625" defaultRowHeight="12.75"/>
  <cols>
    <col min="1" max="21" width="8.7109375" style="42" customWidth="1"/>
    <col min="22" max="22" width="9.140625" style="42"/>
    <col min="23" max="16384" width="9.140625" style="41"/>
  </cols>
  <sheetData>
    <row r="1" spans="1:22">
      <c r="A1" s="68" t="s">
        <v>290</v>
      </c>
      <c r="I1" s="386">
        <f ca="1">TODAY()-1</f>
        <v>46259</v>
      </c>
      <c r="J1" s="386"/>
      <c r="K1" s="386"/>
      <c r="L1" s="386"/>
      <c r="M1" s="386"/>
      <c r="N1" s="386"/>
      <c r="O1" s="386"/>
      <c r="P1" s="386"/>
      <c r="Q1" s="386"/>
      <c r="R1" s="386"/>
      <c r="V1" s="41"/>
    </row>
    <row r="2" spans="1:22">
      <c r="I2" s="401" t="s">
        <v>249</v>
      </c>
      <c r="J2" s="402"/>
      <c r="K2" s="402"/>
      <c r="L2" s="402"/>
      <c r="M2" s="402"/>
      <c r="N2" s="399" t="e">
        <f>#REF!</f>
        <v>#REF!</v>
      </c>
      <c r="O2" s="49"/>
      <c r="P2" s="49"/>
      <c r="Q2" s="49"/>
      <c r="R2" s="59"/>
    </row>
    <row r="3" spans="1:22">
      <c r="I3" s="403"/>
      <c r="J3" s="404"/>
      <c r="K3" s="404"/>
      <c r="L3" s="404"/>
      <c r="M3" s="404"/>
      <c r="N3" s="400"/>
      <c r="O3" s="57"/>
      <c r="P3" s="57"/>
      <c r="Q3" s="57"/>
      <c r="R3" s="58"/>
    </row>
    <row r="4" spans="1:22">
      <c r="N4" s="53"/>
    </row>
    <row r="5" spans="1:22">
      <c r="H5" s="43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9"/>
    </row>
    <row r="6" spans="1:22">
      <c r="G6" s="383" t="s">
        <v>225</v>
      </c>
      <c r="H6" s="384"/>
      <c r="T6" s="383" t="s">
        <v>112</v>
      </c>
      <c r="U6" s="384"/>
      <c r="V6" s="41"/>
    </row>
    <row r="7" spans="1:22">
      <c r="G7" s="387"/>
      <c r="H7" s="388"/>
      <c r="T7" s="389" t="e">
        <f>T8/(G8+T8)</f>
        <v>#REF!</v>
      </c>
      <c r="U7" s="390"/>
      <c r="V7" s="41"/>
    </row>
    <row r="8" spans="1:22">
      <c r="G8" s="381" t="e">
        <f>#REF!</f>
        <v>#REF!</v>
      </c>
      <c r="H8" s="382"/>
      <c r="T8" s="381" t="e">
        <f>#REF!</f>
        <v>#REF!</v>
      </c>
      <c r="U8" s="382"/>
      <c r="V8" s="41"/>
    </row>
    <row r="9" spans="1:22">
      <c r="E9" s="47"/>
      <c r="F9" s="47"/>
      <c r="G9" s="47"/>
      <c r="H9" s="48"/>
      <c r="T9" s="47"/>
      <c r="U9" s="47"/>
      <c r="V9" s="41"/>
    </row>
    <row r="10" spans="1:22">
      <c r="E10" s="43"/>
      <c r="F10" s="49"/>
      <c r="G10" s="49"/>
      <c r="H10" s="49"/>
      <c r="I10" s="43"/>
      <c r="J10" s="49"/>
      <c r="K10" s="49"/>
      <c r="L10" s="43"/>
      <c r="M10" s="49"/>
      <c r="N10" s="49"/>
      <c r="O10" s="49"/>
      <c r="P10" s="49"/>
      <c r="Q10" s="49"/>
      <c r="R10" s="59"/>
      <c r="S10" s="49"/>
      <c r="T10" s="59"/>
    </row>
    <row r="11" spans="1:22" ht="30" customHeight="1">
      <c r="D11" s="383" t="s">
        <v>68</v>
      </c>
      <c r="E11" s="384"/>
      <c r="F11" s="50"/>
      <c r="G11" s="50"/>
      <c r="H11" s="383" t="s">
        <v>117</v>
      </c>
      <c r="I11" s="385"/>
      <c r="L11" s="53"/>
      <c r="P11" s="50"/>
      <c r="S11" s="53"/>
      <c r="T11" s="383" t="s">
        <v>250</v>
      </c>
      <c r="U11" s="384"/>
      <c r="V11" s="41"/>
    </row>
    <row r="12" spans="1:22">
      <c r="D12" s="387"/>
      <c r="E12" s="388"/>
      <c r="F12" s="50"/>
      <c r="G12" s="50"/>
      <c r="H12" s="387"/>
      <c r="I12" s="388"/>
      <c r="J12" s="50"/>
      <c r="L12" s="53"/>
      <c r="P12" s="62"/>
      <c r="S12" s="53"/>
      <c r="T12" s="389" t="e">
        <f>T13/(T13+D13)</f>
        <v>#REF!</v>
      </c>
      <c r="U12" s="391"/>
      <c r="V12" s="41"/>
    </row>
    <row r="13" spans="1:22">
      <c r="D13" s="381" t="e">
        <f>#REF!</f>
        <v>#REF!</v>
      </c>
      <c r="E13" s="392"/>
      <c r="F13" s="51"/>
      <c r="G13" s="51"/>
      <c r="H13" s="381" t="e">
        <f>#REF!</f>
        <v>#REF!</v>
      </c>
      <c r="I13" s="382"/>
      <c r="J13" s="47"/>
      <c r="L13" s="53"/>
      <c r="P13" s="51"/>
      <c r="S13" s="53"/>
      <c r="T13" s="381" t="e">
        <f>#REF!</f>
        <v>#REF!</v>
      </c>
      <c r="U13" s="392"/>
      <c r="V13" s="41"/>
    </row>
    <row r="14" spans="1:22">
      <c r="D14" s="47"/>
      <c r="E14" s="52"/>
      <c r="F14" s="51"/>
      <c r="G14" s="51"/>
      <c r="H14" s="47"/>
      <c r="I14" s="47"/>
      <c r="J14" s="47"/>
      <c r="L14" s="53"/>
      <c r="N14" s="47"/>
      <c r="O14" s="51"/>
      <c r="P14" s="51"/>
      <c r="Q14" s="51"/>
      <c r="R14" s="47"/>
      <c r="S14" s="48"/>
    </row>
    <row r="15" spans="1:22">
      <c r="E15" s="53"/>
      <c r="K15" s="383" t="s">
        <v>251</v>
      </c>
      <c r="L15" s="384"/>
      <c r="M15" s="50"/>
      <c r="O15" s="43"/>
      <c r="P15" s="59"/>
      <c r="S15" s="56"/>
      <c r="T15" s="383" t="s">
        <v>252</v>
      </c>
      <c r="U15" s="384"/>
      <c r="V15" s="41"/>
    </row>
    <row r="16" spans="1:22">
      <c r="E16" s="53"/>
      <c r="K16" s="387" t="s">
        <v>225</v>
      </c>
      <c r="L16" s="388"/>
      <c r="M16" s="50"/>
      <c r="O16" s="387" t="s">
        <v>253</v>
      </c>
      <c r="P16" s="388"/>
      <c r="T16" s="389" t="e">
        <f>T17/(T17+H13)</f>
        <v>#REF!</v>
      </c>
      <c r="U16" s="390"/>
      <c r="V16" s="41"/>
    </row>
    <row r="17" spans="1:21" s="41" customFormat="1">
      <c r="A17" s="42"/>
      <c r="B17" s="42"/>
      <c r="C17" s="42"/>
      <c r="D17" s="42"/>
      <c r="E17" s="53"/>
      <c r="F17" s="42"/>
      <c r="G17" s="42"/>
      <c r="H17" s="42"/>
      <c r="I17" s="42"/>
      <c r="J17" s="54"/>
      <c r="K17" s="381" t="e">
        <f>#REF!</f>
        <v>#REF!</v>
      </c>
      <c r="L17" s="382"/>
      <c r="M17" s="55"/>
      <c r="N17" s="42"/>
      <c r="O17" s="381" t="e">
        <f>#REF!</f>
        <v>#REF!</v>
      </c>
      <c r="P17" s="382"/>
      <c r="Q17" s="42"/>
      <c r="R17" s="42"/>
      <c r="S17" s="42"/>
      <c r="T17" s="381" t="e">
        <f>#REF!</f>
        <v>#REF!</v>
      </c>
      <c r="U17" s="382"/>
    </row>
    <row r="18" spans="1:21">
      <c r="E18" s="53"/>
      <c r="L18" s="56"/>
      <c r="M18" s="57"/>
      <c r="N18" s="57"/>
      <c r="O18" s="58"/>
    </row>
    <row r="19" spans="1:21">
      <c r="E19" s="53"/>
      <c r="O19" s="53"/>
    </row>
    <row r="20" spans="1:21">
      <c r="E20" s="53"/>
      <c r="L20" s="43"/>
      <c r="M20" s="49"/>
      <c r="N20" s="49"/>
      <c r="O20" s="49"/>
      <c r="P20" s="49"/>
      <c r="Q20" s="49"/>
      <c r="R20" s="49"/>
      <c r="S20" s="49"/>
      <c r="T20" s="59"/>
    </row>
    <row r="21" spans="1:21" s="41" customFormat="1">
      <c r="A21" s="42"/>
      <c r="B21" s="42"/>
      <c r="C21" s="42"/>
      <c r="D21" s="42"/>
      <c r="E21" s="53"/>
      <c r="F21" s="42"/>
      <c r="G21" s="42"/>
      <c r="H21" s="42"/>
      <c r="I21" s="42"/>
      <c r="J21" s="42"/>
      <c r="K21" s="383" t="s">
        <v>85</v>
      </c>
      <c r="L21" s="384"/>
      <c r="M21" s="50"/>
      <c r="N21" s="42"/>
      <c r="O21" s="42"/>
      <c r="P21" s="42"/>
      <c r="Q21" s="42"/>
      <c r="R21" s="42"/>
      <c r="S21" s="42"/>
      <c r="T21" s="383" t="s">
        <v>254</v>
      </c>
      <c r="U21" s="384"/>
    </row>
    <row r="22" spans="1:21" s="41" customFormat="1">
      <c r="A22" s="42"/>
      <c r="B22" s="42"/>
      <c r="C22" s="42"/>
      <c r="D22" s="42"/>
      <c r="E22" s="53"/>
      <c r="F22" s="42"/>
      <c r="G22" s="42"/>
      <c r="H22" s="42"/>
      <c r="I22" s="42"/>
      <c r="J22" s="42"/>
      <c r="K22" s="53"/>
      <c r="L22" s="60"/>
      <c r="M22" s="42"/>
      <c r="N22" s="42"/>
      <c r="O22" s="42"/>
      <c r="P22" s="42"/>
      <c r="Q22" s="42"/>
      <c r="R22" s="42"/>
      <c r="S22" s="42"/>
      <c r="T22" s="389" t="e">
        <f>T23/(T23+K23)</f>
        <v>#REF!</v>
      </c>
      <c r="U22" s="390"/>
    </row>
    <row r="23" spans="1:21" s="41" customFormat="1">
      <c r="A23" s="42"/>
      <c r="B23" s="42"/>
      <c r="C23" s="42"/>
      <c r="D23" s="42"/>
      <c r="E23" s="53"/>
      <c r="F23" s="42"/>
      <c r="G23" s="42"/>
      <c r="H23" s="42"/>
      <c r="I23" s="42"/>
      <c r="J23" s="42"/>
      <c r="K23" s="381" t="e">
        <f>#REF!</f>
        <v>#REF!</v>
      </c>
      <c r="L23" s="382"/>
      <c r="M23" s="47"/>
      <c r="N23" s="42"/>
      <c r="O23" s="42"/>
      <c r="P23" s="42"/>
      <c r="Q23" s="42"/>
      <c r="R23" s="42"/>
      <c r="S23" s="42"/>
      <c r="T23" s="381" t="e">
        <f>#REF!</f>
        <v>#REF!</v>
      </c>
      <c r="U23" s="382"/>
    </row>
    <row r="24" spans="1:21">
      <c r="E24" s="53"/>
      <c r="K24" s="47"/>
      <c r="L24" s="46"/>
      <c r="M24" s="63"/>
      <c r="N24" s="57"/>
      <c r="O24" s="57"/>
      <c r="P24" s="57"/>
      <c r="Q24" s="57"/>
      <c r="R24" s="63"/>
      <c r="S24" s="63"/>
    </row>
    <row r="25" spans="1:21">
      <c r="B25" s="43"/>
      <c r="C25" s="49"/>
      <c r="D25" s="49"/>
      <c r="E25" s="43"/>
      <c r="F25" s="49"/>
      <c r="G25" s="49"/>
      <c r="H25" s="43"/>
      <c r="I25" s="49"/>
      <c r="J25" s="59"/>
      <c r="N25" s="53"/>
      <c r="P25" s="60"/>
      <c r="S25" s="60"/>
    </row>
    <row r="26" spans="1:21">
      <c r="B26" s="53"/>
      <c r="D26" s="383" t="s">
        <v>255</v>
      </c>
      <c r="E26" s="384"/>
      <c r="G26" s="383" t="s">
        <v>256</v>
      </c>
      <c r="H26" s="384"/>
      <c r="J26" s="60"/>
      <c r="N26" s="53"/>
      <c r="P26" s="383" t="s">
        <v>256</v>
      </c>
      <c r="Q26" s="384"/>
      <c r="R26" s="54"/>
      <c r="S26" s="383" t="s">
        <v>255</v>
      </c>
      <c r="T26" s="384"/>
    </row>
    <row r="27" spans="1:21">
      <c r="A27" s="54"/>
      <c r="B27" s="53"/>
      <c r="D27" s="381" t="e">
        <f>#REF!-#REF!</f>
        <v>#REF!</v>
      </c>
      <c r="E27" s="382"/>
      <c r="G27" s="393" t="e">
        <f>#REF!-#REF!</f>
        <v>#REF!</v>
      </c>
      <c r="H27" s="394"/>
      <c r="J27" s="60"/>
      <c r="K27" s="54"/>
      <c r="M27" s="54"/>
      <c r="N27" s="53"/>
      <c r="P27" s="381" t="e">
        <f>#REF!-#REF!</f>
        <v>#REF!</v>
      </c>
      <c r="Q27" s="382"/>
      <c r="R27" s="64"/>
      <c r="S27" s="381" t="e">
        <f>#REF!</f>
        <v>#REF!</v>
      </c>
      <c r="T27" s="382"/>
    </row>
    <row r="28" spans="1:21">
      <c r="A28" s="55"/>
      <c r="B28" s="44"/>
      <c r="D28" s="55"/>
      <c r="E28" s="55"/>
      <c r="G28" s="55"/>
      <c r="H28" s="55"/>
      <c r="J28" s="45"/>
      <c r="K28" s="55"/>
      <c r="M28" s="55"/>
      <c r="N28" s="44"/>
      <c r="P28" s="55"/>
      <c r="Q28" s="55"/>
      <c r="R28" s="54"/>
      <c r="S28" s="55"/>
      <c r="T28" s="55"/>
    </row>
    <row r="29" spans="1:21">
      <c r="A29" s="55"/>
      <c r="B29" s="53"/>
      <c r="J29" s="60"/>
      <c r="N29" s="53"/>
    </row>
    <row r="30" spans="1:21" ht="30" customHeight="1">
      <c r="A30" s="383" t="s">
        <v>257</v>
      </c>
      <c r="B30" s="384"/>
      <c r="D30" s="383" t="s">
        <v>258</v>
      </c>
      <c r="E30" s="384"/>
      <c r="J30" s="60"/>
      <c r="N30" s="53"/>
    </row>
    <row r="31" spans="1:21">
      <c r="A31" s="381" t="e">
        <f>#REF!</f>
        <v>#REF!</v>
      </c>
      <c r="B31" s="382"/>
      <c r="D31" s="381" t="e">
        <f>#REF!-#REF!</f>
        <v>#REF!</v>
      </c>
      <c r="E31" s="382"/>
      <c r="J31" s="60"/>
      <c r="N31" s="53"/>
    </row>
    <row r="32" spans="1:21">
      <c r="B32" s="56"/>
      <c r="C32" s="57"/>
      <c r="D32" s="58"/>
      <c r="J32" s="60"/>
      <c r="N32" s="53"/>
    </row>
    <row r="33" spans="1:23">
      <c r="C33" s="53"/>
      <c r="J33" s="60"/>
      <c r="N33" s="53"/>
    </row>
    <row r="34" spans="1:23">
      <c r="A34" s="54"/>
      <c r="B34" s="43"/>
      <c r="C34" s="49"/>
      <c r="D34" s="49"/>
      <c r="E34" s="49"/>
      <c r="F34" s="49"/>
      <c r="G34" s="49"/>
      <c r="H34" s="59"/>
      <c r="I34" s="54"/>
      <c r="J34" s="60"/>
      <c r="N34" s="53"/>
      <c r="P34" s="54"/>
      <c r="Q34" s="54"/>
    </row>
    <row r="35" spans="1:23" ht="30" customHeight="1">
      <c r="A35" s="383" t="s">
        <v>259</v>
      </c>
      <c r="B35" s="384"/>
      <c r="H35" s="383" t="s">
        <v>112</v>
      </c>
      <c r="I35" s="384"/>
      <c r="J35" s="60"/>
      <c r="N35" s="53"/>
      <c r="P35" s="54"/>
      <c r="Q35" s="54"/>
    </row>
    <row r="36" spans="1:23" ht="15" customHeight="1">
      <c r="A36" s="395"/>
      <c r="B36" s="396"/>
      <c r="H36" s="389" t="e">
        <f>H37/(A31+D31)</f>
        <v>#REF!</v>
      </c>
      <c r="I36" s="390"/>
      <c r="J36" s="60"/>
      <c r="N36" s="53"/>
      <c r="P36" s="54"/>
      <c r="Q36" s="54"/>
    </row>
    <row r="37" spans="1:23" ht="15" customHeight="1">
      <c r="A37" s="381" t="e">
        <f>#REF!</f>
        <v>#REF!</v>
      </c>
      <c r="B37" s="382"/>
      <c r="H37" s="381" t="e">
        <f>#REF!</f>
        <v>#REF!</v>
      </c>
      <c r="I37" s="382"/>
      <c r="J37" s="60"/>
      <c r="N37" s="53"/>
      <c r="P37" s="54"/>
      <c r="Q37" s="54"/>
    </row>
    <row r="38" spans="1:23">
      <c r="B38" s="56"/>
      <c r="C38" s="57"/>
      <c r="D38" s="57"/>
      <c r="E38" s="57"/>
      <c r="F38" s="57"/>
      <c r="G38" s="57"/>
      <c r="J38" s="60"/>
      <c r="N38" s="53"/>
    </row>
    <row r="39" spans="1:23">
      <c r="A39" s="54"/>
      <c r="B39" s="54"/>
      <c r="C39" s="53"/>
      <c r="D39" s="54"/>
      <c r="E39" s="60"/>
      <c r="G39" s="60"/>
      <c r="J39" s="60"/>
      <c r="N39" s="53"/>
    </row>
    <row r="40" spans="1:23">
      <c r="B40" s="383" t="s">
        <v>260</v>
      </c>
      <c r="C40" s="384"/>
      <c r="E40" s="383" t="s">
        <v>256</v>
      </c>
      <c r="F40" s="384"/>
      <c r="G40" s="60"/>
      <c r="J40" s="60"/>
      <c r="N40" s="53"/>
    </row>
    <row r="41" spans="1:23">
      <c r="B41" s="381" t="e">
        <f>#REF!-#REF!</f>
        <v>#REF!</v>
      </c>
      <c r="C41" s="382"/>
      <c r="E41" s="381" t="e">
        <f>#REF!-#REF!</f>
        <v>#REF!</v>
      </c>
      <c r="F41" s="382"/>
      <c r="G41" s="60"/>
      <c r="J41" s="60"/>
      <c r="N41" s="53"/>
    </row>
    <row r="42" spans="1:23">
      <c r="G42" s="60"/>
      <c r="J42" s="60"/>
      <c r="N42" s="53"/>
    </row>
    <row r="43" spans="1:23">
      <c r="G43" s="60"/>
      <c r="J43" s="60"/>
      <c r="N43" s="53"/>
    </row>
    <row r="44" spans="1:23" ht="30" customHeight="1">
      <c r="G44" s="383" t="s">
        <v>261</v>
      </c>
      <c r="H44" s="384"/>
      <c r="J44" s="383" t="s">
        <v>262</v>
      </c>
      <c r="K44" s="384"/>
      <c r="M44" s="383" t="s">
        <v>263</v>
      </c>
      <c r="N44" s="384"/>
      <c r="P44" s="383" t="s">
        <v>264</v>
      </c>
      <c r="Q44" s="384"/>
      <c r="S44" s="383" t="s">
        <v>253</v>
      </c>
      <c r="T44" s="384"/>
      <c r="V44" s="383" t="s">
        <v>105</v>
      </c>
      <c r="W44" s="384"/>
    </row>
    <row r="45" spans="1:23">
      <c r="G45" s="381" t="e">
        <f>#REF!+#REF!</f>
        <v>#REF!</v>
      </c>
      <c r="H45" s="382"/>
      <c r="I45" s="51"/>
      <c r="J45" s="381" t="e">
        <f>#REF!+#REF!</f>
        <v>#REF!</v>
      </c>
      <c r="K45" s="382"/>
      <c r="L45" s="51"/>
      <c r="M45" s="381" t="e">
        <f>#REF!</f>
        <v>#REF!</v>
      </c>
      <c r="N45" s="382"/>
      <c r="O45" s="51"/>
      <c r="P45" s="381" t="e">
        <f>#REF!+#REF!</f>
        <v>#REF!</v>
      </c>
      <c r="Q45" s="382"/>
      <c r="R45" s="51"/>
      <c r="S45" s="381" t="e">
        <f>#REF!+#REF!</f>
        <v>#REF!</v>
      </c>
      <c r="T45" s="382"/>
      <c r="V45" s="381" t="e">
        <f>#REF!</f>
        <v>#REF!</v>
      </c>
      <c r="W45" s="382"/>
    </row>
    <row r="46" spans="1:23">
      <c r="H46" s="56"/>
      <c r="I46" s="57"/>
      <c r="J46" s="58"/>
      <c r="K46" s="57"/>
      <c r="L46" s="57"/>
      <c r="M46" s="58"/>
      <c r="N46" s="57"/>
      <c r="O46" s="57"/>
      <c r="P46" s="58"/>
      <c r="Q46" s="57"/>
      <c r="R46" s="57"/>
      <c r="S46" s="57"/>
      <c r="T46" s="56"/>
      <c r="U46" s="57"/>
      <c r="V46" s="65"/>
    </row>
    <row r="47" spans="1:23">
      <c r="M47" s="53"/>
    </row>
    <row r="48" spans="1:23">
      <c r="H48" s="43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9"/>
    </row>
    <row r="49" spans="1:22">
      <c r="G49" s="383" t="s">
        <v>265</v>
      </c>
      <c r="H49" s="384"/>
      <c r="T49" s="383" t="s">
        <v>112</v>
      </c>
      <c r="U49" s="384"/>
      <c r="V49" s="41"/>
    </row>
    <row r="50" spans="1:22">
      <c r="G50" s="387"/>
      <c r="H50" s="388"/>
      <c r="T50" s="389" t="e">
        <f>T51/(G51+T51)</f>
        <v>#REF!</v>
      </c>
      <c r="U50" s="390"/>
      <c r="V50" s="41"/>
    </row>
    <row r="51" spans="1:22">
      <c r="G51" s="397" t="e">
        <f>#REF!+#REF!</f>
        <v>#REF!</v>
      </c>
      <c r="H51" s="398"/>
      <c r="T51" s="397" t="e">
        <f>#REF!+#REF!</f>
        <v>#REF!</v>
      </c>
      <c r="U51" s="398"/>
      <c r="V51" s="41"/>
    </row>
    <row r="52" spans="1:22">
      <c r="V52" s="41"/>
    </row>
    <row r="53" spans="1:22">
      <c r="A53" s="61" t="s">
        <v>266</v>
      </c>
      <c r="G53" s="51" t="e">
        <f>T51+H37+T23+T17+T13+T8</f>
        <v>#REF!</v>
      </c>
    </row>
    <row r="54" spans="1:22">
      <c r="A54" s="61" t="s">
        <v>267</v>
      </c>
      <c r="G54" s="51" t="e">
        <f>N2+O17+D31+P45+S45-H13</f>
        <v>#REF!</v>
      </c>
    </row>
    <row r="55" spans="1:22">
      <c r="A55" s="61" t="s">
        <v>268</v>
      </c>
      <c r="G55" s="62" t="e">
        <f>G53/G54</f>
        <v>#REF!</v>
      </c>
    </row>
    <row r="56" spans="1:22" s="185" customFormat="1">
      <c r="A56" s="183" t="s">
        <v>358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</row>
    <row r="57" spans="1:22" s="185" customFormat="1">
      <c r="A57" s="183" t="s">
        <v>357</v>
      </c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</row>
    <row r="58" spans="1:22" s="185" customFormat="1">
      <c r="A58" s="183" t="s">
        <v>359</v>
      </c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</row>
    <row r="59" spans="1:22">
      <c r="A59" s="61"/>
    </row>
  </sheetData>
  <mergeCells count="70">
    <mergeCell ref="T49:U49"/>
    <mergeCell ref="T50:U50"/>
    <mergeCell ref="G51:H51"/>
    <mergeCell ref="T51:U51"/>
    <mergeCell ref="N2:N3"/>
    <mergeCell ref="I2:M3"/>
    <mergeCell ref="G49:H50"/>
    <mergeCell ref="T22:U22"/>
    <mergeCell ref="K23:L23"/>
    <mergeCell ref="T23:U23"/>
    <mergeCell ref="K15:L15"/>
    <mergeCell ref="T15:U15"/>
    <mergeCell ref="K16:L16"/>
    <mergeCell ref="O16:P16"/>
    <mergeCell ref="T16:U16"/>
    <mergeCell ref="G8:H8"/>
    <mergeCell ref="V44:W44"/>
    <mergeCell ref="G45:H45"/>
    <mergeCell ref="J45:K45"/>
    <mergeCell ref="M45:N45"/>
    <mergeCell ref="P45:Q45"/>
    <mergeCell ref="S45:T45"/>
    <mergeCell ref="V45:W45"/>
    <mergeCell ref="G44:H44"/>
    <mergeCell ref="J44:K44"/>
    <mergeCell ref="M44:N44"/>
    <mergeCell ref="P44:Q44"/>
    <mergeCell ref="S44:T44"/>
    <mergeCell ref="A37:B37"/>
    <mergeCell ref="H37:I37"/>
    <mergeCell ref="B40:C40"/>
    <mergeCell ref="E40:F40"/>
    <mergeCell ref="B41:C41"/>
    <mergeCell ref="E41:F41"/>
    <mergeCell ref="A31:B31"/>
    <mergeCell ref="D31:E31"/>
    <mergeCell ref="A35:B35"/>
    <mergeCell ref="H35:I35"/>
    <mergeCell ref="A36:B36"/>
    <mergeCell ref="H36:I36"/>
    <mergeCell ref="D27:E27"/>
    <mergeCell ref="G27:H27"/>
    <mergeCell ref="P27:Q27"/>
    <mergeCell ref="S27:T27"/>
    <mergeCell ref="A30:B30"/>
    <mergeCell ref="D30:E30"/>
    <mergeCell ref="D26:E26"/>
    <mergeCell ref="G26:H26"/>
    <mergeCell ref="P26:Q26"/>
    <mergeCell ref="S26:T26"/>
    <mergeCell ref="K17:L17"/>
    <mergeCell ref="O17:P17"/>
    <mergeCell ref="T17:U17"/>
    <mergeCell ref="K21:L21"/>
    <mergeCell ref="T21:U21"/>
    <mergeCell ref="D12:E12"/>
    <mergeCell ref="H12:I12"/>
    <mergeCell ref="T12:U12"/>
    <mergeCell ref="D13:E13"/>
    <mergeCell ref="H13:I13"/>
    <mergeCell ref="T13:U13"/>
    <mergeCell ref="T8:U8"/>
    <mergeCell ref="D11:E11"/>
    <mergeCell ref="H11:I11"/>
    <mergeCell ref="T11:U11"/>
    <mergeCell ref="I1:R1"/>
    <mergeCell ref="G6:H6"/>
    <mergeCell ref="T6:U6"/>
    <mergeCell ref="G7:H7"/>
    <mergeCell ref="T7:U7"/>
  </mergeCells>
  <pageMargins left="0.35763888888888901" right="0.35763888888888901" top="0.21249999999999999" bottom="0" header="0" footer="0"/>
  <pageSetup paperSize="9" scale="6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10.28515625" style="10" customWidth="1"/>
    <col min="4" max="4" width="10.140625" style="10" customWidth="1"/>
    <col min="5" max="5" width="8.28515625" style="10" customWidth="1"/>
    <col min="6" max="6" width="13.140625" style="10" customWidth="1"/>
    <col min="7" max="7" width="16.85546875" style="10" customWidth="1"/>
    <col min="8" max="8" width="15.28515625" style="10" customWidth="1"/>
    <col min="9" max="9" width="10" style="10" bestFit="1" customWidth="1"/>
    <col min="10" max="10" width="9.5703125" style="10" bestFit="1" customWidth="1"/>
    <col min="11" max="11" width="10.85546875" style="10" customWidth="1"/>
    <col min="12" max="12" width="11.7109375" style="10" customWidth="1"/>
    <col min="13" max="14" width="10.28515625" style="10" customWidth="1"/>
    <col min="15" max="16" width="9" style="10"/>
    <col min="17" max="17" width="10.28515625" style="10" customWidth="1"/>
    <col min="18" max="18" width="6.85546875" style="10" customWidth="1"/>
    <col min="19" max="19" width="13" style="10" customWidth="1"/>
    <col min="20" max="22" width="9" style="10"/>
    <col min="23" max="23" width="16.5703125" style="10" customWidth="1"/>
    <col min="24" max="24" width="10.5703125" style="10" customWidth="1"/>
    <col min="25" max="25" width="12.85546875" style="10" customWidth="1"/>
    <col min="26" max="26" width="14" style="10" customWidth="1"/>
    <col min="27" max="16384" width="9" style="10"/>
  </cols>
  <sheetData>
    <row r="1" spans="13:33" s="15" customFormat="1"/>
    <row r="2" spans="13:33">
      <c r="M2" s="14">
        <v>9100</v>
      </c>
      <c r="N2" s="14" t="e">
        <f>#REF!-M2</f>
        <v>#REF!</v>
      </c>
      <c r="O2" s="14">
        <v>0</v>
      </c>
      <c r="P2" s="14" t="e">
        <f>+#REF!-O2</f>
        <v>#REF!</v>
      </c>
      <c r="Q2" s="14">
        <v>1351.7200000000084</v>
      </c>
      <c r="R2" s="14">
        <v>25.823133609130547</v>
      </c>
      <c r="S2" s="14">
        <f t="shared" ref="S2:S12" si="0">+Q2*R2</f>
        <v>34905.646162134159</v>
      </c>
      <c r="AD2" s="140" t="s">
        <v>386</v>
      </c>
      <c r="AE2" s="39">
        <v>849.51500000003944</v>
      </c>
      <c r="AF2" s="39" t="e">
        <f>+#REF!</f>
        <v>#REF!</v>
      </c>
      <c r="AG2" s="39" t="e">
        <f>+AE2-AF2</f>
        <v>#REF!</v>
      </c>
    </row>
    <row r="3" spans="13:33">
      <c r="M3" s="14">
        <v>5700</v>
      </c>
      <c r="N3" s="14" t="e">
        <f>#REF!-M3</f>
        <v>#REF!</v>
      </c>
      <c r="O3" s="14">
        <v>1895.5</v>
      </c>
      <c r="P3" s="14" t="e">
        <f>+#REF!-O3</f>
        <v>#REF!</v>
      </c>
      <c r="Q3" s="14">
        <v>8500</v>
      </c>
      <c r="R3" s="14">
        <v>27</v>
      </c>
      <c r="S3" s="14">
        <f t="shared" si="0"/>
        <v>229500</v>
      </c>
      <c r="T3" s="128">
        <v>43952</v>
      </c>
      <c r="W3" s="15" t="s">
        <v>63</v>
      </c>
      <c r="X3" s="15">
        <f>Q2</f>
        <v>1351.7200000000084</v>
      </c>
      <c r="Y3" s="15">
        <f>R2</f>
        <v>25.823133609130547</v>
      </c>
      <c r="Z3" s="15">
        <f>X3*Y3</f>
        <v>34905.646162134159</v>
      </c>
      <c r="AD3" s="140" t="s">
        <v>387</v>
      </c>
      <c r="AE3" s="39">
        <v>-36034.050000000003</v>
      </c>
      <c r="AF3" s="39" t="e">
        <f>-G33</f>
        <v>#REF!</v>
      </c>
      <c r="AG3" s="39" t="e">
        <f>+AE3-AF3</f>
        <v>#REF!</v>
      </c>
    </row>
    <row r="4" spans="13:33">
      <c r="M4" s="14">
        <v>4000</v>
      </c>
      <c r="N4" s="14" t="e">
        <f>#REF!-M4</f>
        <v>#REF!</v>
      </c>
      <c r="O4" s="14">
        <v>1558.8</v>
      </c>
      <c r="P4" s="14" t="e">
        <f>+#REF!-O4</f>
        <v>#REF!</v>
      </c>
      <c r="Q4" s="14">
        <v>250</v>
      </c>
      <c r="R4" s="14">
        <v>27</v>
      </c>
      <c r="S4" s="14">
        <f t="shared" si="0"/>
        <v>6750</v>
      </c>
      <c r="T4" s="128">
        <v>43952</v>
      </c>
      <c r="W4" s="15" t="s">
        <v>61</v>
      </c>
      <c r="X4" s="35">
        <f>SUM(Q3:Q7)</f>
        <v>27750</v>
      </c>
      <c r="Y4" s="15">
        <f>Z4/X4</f>
        <v>25.612614071005872</v>
      </c>
      <c r="Z4" s="35">
        <f>SUM(S3:S7)</f>
        <v>710750.04047041293</v>
      </c>
      <c r="AD4" s="140" t="s">
        <v>61</v>
      </c>
      <c r="AE4" s="39">
        <v>87250</v>
      </c>
      <c r="AF4" s="39" t="e">
        <f>+C33</f>
        <v>#REF!</v>
      </c>
      <c r="AG4" s="39" t="e">
        <f>+AE4-AF4</f>
        <v>#REF!</v>
      </c>
    </row>
    <row r="5" spans="13:33">
      <c r="M5" s="14">
        <v>17750</v>
      </c>
      <c r="N5" s="14" t="e">
        <f>#REF!-M5</f>
        <v>#REF!</v>
      </c>
      <c r="O5" s="14">
        <v>1621.65</v>
      </c>
      <c r="P5" s="14" t="e">
        <f>+#REF!-O5</f>
        <v>#REF!</v>
      </c>
      <c r="Q5" s="14">
        <v>16000</v>
      </c>
      <c r="R5" s="14">
        <v>24.5</v>
      </c>
      <c r="S5" s="14">
        <f t="shared" si="0"/>
        <v>392000</v>
      </c>
      <c r="T5" s="128">
        <v>43955</v>
      </c>
      <c r="W5" s="15" t="s">
        <v>281</v>
      </c>
      <c r="X5" s="35" t="e">
        <f>-#REF!</f>
        <v>#REF!</v>
      </c>
      <c r="Y5" s="15" t="e">
        <f>R18</f>
        <v>#REF!</v>
      </c>
      <c r="Z5" s="15" t="e">
        <f>X5*Y5</f>
        <v>#REF!</v>
      </c>
      <c r="AD5" s="140" t="s">
        <v>388</v>
      </c>
      <c r="AE5" s="39">
        <v>-25690</v>
      </c>
      <c r="AF5" s="39" t="e">
        <f>-I33-J33</f>
        <v>#REF!</v>
      </c>
      <c r="AG5" s="39" t="e">
        <f>+AE5-AF5</f>
        <v>#REF!</v>
      </c>
    </row>
    <row r="6" spans="13:33">
      <c r="M6" s="14">
        <v>14850</v>
      </c>
      <c r="N6" s="14" t="e">
        <f>#REF!-M6</f>
        <v>#REF!</v>
      </c>
      <c r="O6" s="14">
        <v>1350</v>
      </c>
      <c r="P6" s="14" t="e">
        <f>+#REF!-O6</f>
        <v>#REF!</v>
      </c>
      <c r="Q6" s="14">
        <v>2000</v>
      </c>
      <c r="R6" s="14">
        <v>27.5000185619974</v>
      </c>
      <c r="S6" s="14">
        <f t="shared" si="0"/>
        <v>55000.0371239948</v>
      </c>
      <c r="T6" s="10">
        <v>43962</v>
      </c>
      <c r="W6" s="15" t="s">
        <v>248</v>
      </c>
      <c r="X6" s="15" t="e">
        <f>SUM(X3:X5)</f>
        <v>#REF!</v>
      </c>
      <c r="Y6" s="15" t="e">
        <f>Z6/X6</f>
        <v>#REF!</v>
      </c>
      <c r="Z6" s="15" t="e">
        <f>SUM(Z3:Z5)</f>
        <v>#REF!</v>
      </c>
      <c r="AD6" s="140"/>
      <c r="AE6" s="39"/>
      <c r="AF6" s="39"/>
      <c r="AG6" s="39"/>
    </row>
    <row r="7" spans="13:33">
      <c r="M7" s="14">
        <v>10325</v>
      </c>
      <c r="N7" s="14" t="e">
        <f>#REF!-M7</f>
        <v>#REF!</v>
      </c>
      <c r="O7" s="14">
        <v>1529</v>
      </c>
      <c r="P7" s="14" t="e">
        <f>+#REF!-O7</f>
        <v>#REF!</v>
      </c>
      <c r="Q7" s="14">
        <v>1000</v>
      </c>
      <c r="R7" s="14">
        <v>27.500003346418101</v>
      </c>
      <c r="S7" s="14">
        <f t="shared" si="0"/>
        <v>27500.0033464181</v>
      </c>
      <c r="T7" s="10">
        <v>43965</v>
      </c>
      <c r="AD7" s="140"/>
      <c r="AE7" s="39">
        <f>SUM(AE2:AE6)</f>
        <v>26375.46500000004</v>
      </c>
      <c r="AF7" s="39" t="e">
        <f>SUM(AF2:AF6)</f>
        <v>#REF!</v>
      </c>
      <c r="AG7" s="39" t="e">
        <f>SUM(AG2:AG6)</f>
        <v>#REF!</v>
      </c>
    </row>
    <row r="8" spans="13:33">
      <c r="M8" s="14">
        <v>5500</v>
      </c>
      <c r="N8" s="14" t="e">
        <f>#REF!-M8</f>
        <v>#REF!</v>
      </c>
      <c r="O8" s="14">
        <v>1807</v>
      </c>
      <c r="P8" s="14" t="e">
        <f>+#REF!-O8</f>
        <v>#REF!</v>
      </c>
      <c r="Q8" s="14">
        <v>1000</v>
      </c>
      <c r="R8" s="14">
        <v>27.5</v>
      </c>
      <c r="S8" s="14">
        <f t="shared" si="0"/>
        <v>27500</v>
      </c>
      <c r="T8" s="10">
        <v>43965</v>
      </c>
    </row>
    <row r="9" spans="13:33">
      <c r="M9" s="14">
        <v>3550</v>
      </c>
      <c r="N9" s="14" t="e">
        <f>#REF!-M9</f>
        <v>#REF!</v>
      </c>
      <c r="O9" s="14">
        <v>1401.5</v>
      </c>
      <c r="P9" s="14" t="e">
        <f>+#REF!-O9</f>
        <v>#REF!</v>
      </c>
      <c r="Q9" s="14">
        <v>16000</v>
      </c>
      <c r="R9" s="14">
        <v>24.5</v>
      </c>
      <c r="S9" s="14">
        <f t="shared" si="0"/>
        <v>392000</v>
      </c>
      <c r="T9" s="10">
        <v>43966</v>
      </c>
    </row>
    <row r="10" spans="13:33">
      <c r="M10" s="14">
        <v>2300</v>
      </c>
      <c r="N10" s="14" t="e">
        <f>#REF!-M10</f>
        <v>#REF!</v>
      </c>
      <c r="O10" s="14">
        <v>1234.5999999999999</v>
      </c>
      <c r="P10" s="14" t="e">
        <f>+#REF!-O10</f>
        <v>#REF!</v>
      </c>
      <c r="Q10" s="14">
        <v>1500</v>
      </c>
      <c r="R10" s="14">
        <v>27.4</v>
      </c>
      <c r="S10" s="14">
        <f t="shared" si="0"/>
        <v>41100</v>
      </c>
      <c r="T10" s="10">
        <v>43968</v>
      </c>
    </row>
    <row r="11" spans="13:33">
      <c r="M11" s="14">
        <v>1500</v>
      </c>
      <c r="N11" s="14" t="e">
        <f>#REF!-M11</f>
        <v>#REF!</v>
      </c>
      <c r="O11" s="14">
        <v>892</v>
      </c>
      <c r="P11" s="14" t="e">
        <f>+#REF!-O11</f>
        <v>#REF!</v>
      </c>
      <c r="Q11" s="14">
        <v>16000</v>
      </c>
      <c r="R11" s="14">
        <v>24.5</v>
      </c>
      <c r="S11" s="14">
        <f t="shared" si="0"/>
        <v>392000</v>
      </c>
      <c r="T11" s="10">
        <v>43969</v>
      </c>
    </row>
    <row r="12" spans="13:33">
      <c r="M12" s="14">
        <v>1975</v>
      </c>
      <c r="N12" s="14" t="e">
        <f>#REF!-M12</f>
        <v>#REF!</v>
      </c>
      <c r="O12" s="14">
        <v>1086.5</v>
      </c>
      <c r="P12" s="14" t="e">
        <f>+#REF!-O12</f>
        <v>#REF!</v>
      </c>
      <c r="Q12" s="14">
        <v>25000</v>
      </c>
      <c r="R12" s="14">
        <v>24.7</v>
      </c>
      <c r="S12" s="14">
        <f t="shared" si="0"/>
        <v>617500</v>
      </c>
      <c r="T12" s="10">
        <v>43974</v>
      </c>
    </row>
    <row r="13" spans="13:33">
      <c r="M13" s="14">
        <v>625</v>
      </c>
      <c r="N13" s="14" t="e">
        <f>#REF!-M13</f>
        <v>#REF!</v>
      </c>
      <c r="O13" s="14">
        <v>1345</v>
      </c>
      <c r="P13" s="14" t="e">
        <f>+#REF!-O13</f>
        <v>#REF!</v>
      </c>
      <c r="Q13" s="14"/>
      <c r="R13" s="14"/>
      <c r="S13" s="14"/>
    </row>
    <row r="14" spans="13:33">
      <c r="M14" s="14">
        <v>625</v>
      </c>
      <c r="N14" s="14" t="e">
        <f>#REF!-M14</f>
        <v>#REF!</v>
      </c>
      <c r="O14" s="14">
        <v>1045</v>
      </c>
      <c r="P14" s="14" t="e">
        <f>+#REF!-O14</f>
        <v>#REF!</v>
      </c>
      <c r="Q14" s="14"/>
      <c r="R14" s="14"/>
      <c r="S14" s="14"/>
    </row>
    <row r="15" spans="13:33">
      <c r="M15" s="14">
        <v>500</v>
      </c>
      <c r="N15" s="14" t="e">
        <f>#REF!-M15</f>
        <v>#REF!</v>
      </c>
      <c r="O15" s="14">
        <v>1222</v>
      </c>
      <c r="P15" s="14" t="e">
        <f>+#REF!-O15</f>
        <v>#REF!</v>
      </c>
      <c r="Q15" s="14"/>
      <c r="R15" s="14"/>
      <c r="S15" s="14"/>
    </row>
    <row r="16" spans="13:33">
      <c r="M16" s="14">
        <v>14975</v>
      </c>
      <c r="N16" s="14" t="e">
        <f>#REF!-M16</f>
        <v>#REF!</v>
      </c>
      <c r="O16" s="14">
        <v>885</v>
      </c>
      <c r="P16" s="14" t="e">
        <f>+#REF!-O16</f>
        <v>#REF!</v>
      </c>
      <c r="Q16" s="14">
        <f>SUM(Q12:Q12)</f>
        <v>25000</v>
      </c>
      <c r="R16" s="14">
        <f>S16/Q16</f>
        <v>24.7</v>
      </c>
      <c r="S16" s="14">
        <f>SUM(S12:S12)</f>
        <v>617500</v>
      </c>
    </row>
    <row r="17" spans="13:19">
      <c r="M17" s="14">
        <v>8850</v>
      </c>
      <c r="N17" s="14" t="e">
        <f>#REF!-M17</f>
        <v>#REF!</v>
      </c>
      <c r="O17" s="14">
        <v>119</v>
      </c>
      <c r="P17" s="14" t="e">
        <f>+#REF!-O17</f>
        <v>#REF!</v>
      </c>
      <c r="Q17" s="14" t="e">
        <f>-X5-Q16</f>
        <v>#REF!</v>
      </c>
      <c r="R17" s="14">
        <f>+R11</f>
        <v>24.5</v>
      </c>
      <c r="S17" s="14" t="e">
        <f>Q17*R17</f>
        <v>#REF!</v>
      </c>
    </row>
    <row r="18" spans="13:19">
      <c r="M18" s="14">
        <v>8325</v>
      </c>
      <c r="N18" s="14" t="e">
        <f>#REF!-M18</f>
        <v>#REF!</v>
      </c>
      <c r="O18" s="14">
        <v>522</v>
      </c>
      <c r="P18" s="14" t="e">
        <f>+#REF!-O18</f>
        <v>#REF!</v>
      </c>
      <c r="Q18" s="14" t="e">
        <f>SUM(Q16:Q17)</f>
        <v>#REF!</v>
      </c>
      <c r="R18" s="14" t="e">
        <f>S18/Q18</f>
        <v>#REF!</v>
      </c>
      <c r="S18" s="14" t="e">
        <f>SUM(S16:S17)</f>
        <v>#REF!</v>
      </c>
    </row>
    <row r="19" spans="13:19">
      <c r="M19" s="14">
        <v>22900</v>
      </c>
      <c r="N19" s="14" t="e">
        <f>#REF!-M19</f>
        <v>#REF!</v>
      </c>
      <c r="O19" s="14">
        <v>1345</v>
      </c>
      <c r="P19" s="14" t="e">
        <f>+#REF!-O19</f>
        <v>#REF!</v>
      </c>
      <c r="Q19" s="14"/>
      <c r="R19" s="14"/>
      <c r="S19" s="14"/>
    </row>
    <row r="20" spans="13:19">
      <c r="M20" s="14">
        <v>21700</v>
      </c>
      <c r="N20" s="14" t="e">
        <f>#REF!-M20</f>
        <v>#REF!</v>
      </c>
      <c r="O20" s="14">
        <v>1210.5</v>
      </c>
      <c r="P20" s="14" t="e">
        <f>+#REF!-O20</f>
        <v>#REF!</v>
      </c>
      <c r="Q20" s="14"/>
      <c r="R20" s="14"/>
      <c r="S20" s="14"/>
    </row>
    <row r="21" spans="13:19">
      <c r="M21" s="14">
        <v>20450</v>
      </c>
      <c r="N21" s="14" t="e">
        <f>#REF!-M21</f>
        <v>#REF!</v>
      </c>
      <c r="O21" s="14">
        <v>1280</v>
      </c>
      <c r="P21" s="14" t="e">
        <f>+#REF!-O21</f>
        <v>#REF!</v>
      </c>
      <c r="Q21" s="14"/>
      <c r="R21" s="14"/>
      <c r="S21" s="14"/>
    </row>
    <row r="22" spans="13:19">
      <c r="M22" s="14">
        <v>17800</v>
      </c>
      <c r="N22" s="14" t="e">
        <f>#REF!-M22</f>
        <v>#REF!</v>
      </c>
      <c r="O22" s="14">
        <v>958.25</v>
      </c>
      <c r="P22" s="14" t="e">
        <f>+#REF!-O22</f>
        <v>#REF!</v>
      </c>
      <c r="Q22" s="14"/>
      <c r="R22" s="14"/>
      <c r="S22" s="14"/>
    </row>
    <row r="23" spans="13:19">
      <c r="M23" s="14">
        <v>16200</v>
      </c>
      <c r="N23" s="14" t="e">
        <f>#REF!-M23</f>
        <v>#REF!</v>
      </c>
      <c r="O23" s="14">
        <v>1757.5</v>
      </c>
      <c r="P23" s="14" t="e">
        <f>+#REF!-O23</f>
        <v>#REF!</v>
      </c>
      <c r="Q23" s="14"/>
      <c r="R23" s="14"/>
      <c r="S23" s="14"/>
    </row>
    <row r="24" spans="13:19">
      <c r="M24" s="14">
        <v>40175</v>
      </c>
      <c r="N24" s="14" t="e">
        <f>#REF!-M24</f>
        <v>#REF!</v>
      </c>
      <c r="O24" s="14">
        <v>1102.5</v>
      </c>
      <c r="P24" s="14" t="e">
        <f>+#REF!-O24</f>
        <v>#REF!</v>
      </c>
      <c r="Q24" s="14"/>
      <c r="R24" s="14"/>
      <c r="S24" s="14"/>
    </row>
    <row r="25" spans="13:19">
      <c r="M25" s="14">
        <v>39550</v>
      </c>
      <c r="N25" s="14" t="e">
        <f>#REF!-M25</f>
        <v>#REF!</v>
      </c>
      <c r="O25" s="14">
        <v>712</v>
      </c>
      <c r="P25" s="14" t="e">
        <f>+#REF!-O25</f>
        <v>#REF!</v>
      </c>
      <c r="Q25" s="14"/>
      <c r="R25" s="14"/>
      <c r="S25" s="14"/>
    </row>
    <row r="26" spans="13:19">
      <c r="M26" s="14">
        <v>36500</v>
      </c>
      <c r="N26" s="14" t="e">
        <f>#REF!-M26</f>
        <v>#REF!</v>
      </c>
      <c r="O26" s="14">
        <v>1185</v>
      </c>
      <c r="P26" s="14" t="e">
        <f>+#REF!-O26</f>
        <v>#REF!</v>
      </c>
      <c r="Q26" s="14"/>
      <c r="R26" s="14"/>
      <c r="S26" s="14"/>
    </row>
    <row r="27" spans="13:19">
      <c r="M27" s="14">
        <v>34450</v>
      </c>
      <c r="N27" s="14" t="e">
        <f>#REF!-M27</f>
        <v>#REF!</v>
      </c>
      <c r="O27" s="14">
        <v>1174.5</v>
      </c>
      <c r="P27" s="14" t="e">
        <f>+#REF!-O27</f>
        <v>#REF!</v>
      </c>
      <c r="Q27" s="14"/>
      <c r="R27" s="14"/>
      <c r="S27" s="14"/>
    </row>
    <row r="28" spans="13:19">
      <c r="M28" s="14">
        <v>33675</v>
      </c>
      <c r="N28" s="14" t="e">
        <f>#REF!-M28</f>
        <v>#REF!</v>
      </c>
      <c r="O28" s="14">
        <v>753</v>
      </c>
      <c r="P28" s="14" t="e">
        <f>+#REF!-O28</f>
        <v>#REF!</v>
      </c>
      <c r="Q28" s="14"/>
      <c r="R28" s="14"/>
      <c r="S28" s="14"/>
    </row>
    <row r="29" spans="13:19">
      <c r="M29" s="14">
        <v>31850</v>
      </c>
      <c r="N29" s="14" t="e">
        <f>#REF!-M29</f>
        <v>#REF!</v>
      </c>
      <c r="O29" s="14">
        <v>1088.5</v>
      </c>
      <c r="P29" s="14" t="e">
        <f>+#REF!-O29</f>
        <v>#REF!</v>
      </c>
      <c r="Q29" s="14"/>
      <c r="R29" s="14"/>
      <c r="S29" s="14"/>
    </row>
    <row r="30" spans="13:19">
      <c r="M30" s="14">
        <v>29875</v>
      </c>
      <c r="N30" s="14" t="e">
        <f>#REF!-M30</f>
        <v>#REF!</v>
      </c>
      <c r="O30" s="14">
        <v>1283.5</v>
      </c>
      <c r="P30" s="14" t="e">
        <f>+#REF!-O30</f>
        <v>#REF!</v>
      </c>
      <c r="Q30" s="14"/>
      <c r="R30" s="14"/>
      <c r="S30" s="14"/>
    </row>
    <row r="31" spans="13:19">
      <c r="M31" s="14">
        <v>27950</v>
      </c>
      <c r="N31" s="14" t="e">
        <f>#REF!-M31</f>
        <v>#REF!</v>
      </c>
      <c r="O31" s="14">
        <v>1147.25</v>
      </c>
      <c r="P31" s="14" t="e">
        <f>+#REF!-O31</f>
        <v>#REF!</v>
      </c>
      <c r="Q31" s="14"/>
      <c r="R31" s="14"/>
      <c r="S31" s="14"/>
    </row>
    <row r="32" spans="13:19">
      <c r="M32" s="14">
        <v>26500</v>
      </c>
      <c r="N32" s="14" t="e">
        <f>#REF!-M32</f>
        <v>#REF!</v>
      </c>
      <c r="O32" s="14">
        <v>1522</v>
      </c>
      <c r="P32" s="14" t="e">
        <f>+#REF!-O32</f>
        <v>#REF!</v>
      </c>
      <c r="Q32" s="14"/>
      <c r="R32" s="14"/>
      <c r="S32" s="14"/>
    </row>
    <row r="33" spans="1:19">
      <c r="A33" s="12"/>
      <c r="B33" s="13" t="e">
        <f>#REF!</f>
        <v>#REF!</v>
      </c>
      <c r="C33" s="13" t="e">
        <f>SUM(#REF!)</f>
        <v>#REF!</v>
      </c>
      <c r="D33" s="13" t="e">
        <f>SUM(#REF!)</f>
        <v>#REF!</v>
      </c>
      <c r="E33" s="13" t="e">
        <f>SUM(#REF!)</f>
        <v>#REF!</v>
      </c>
      <c r="F33" s="13" t="e">
        <f>SUM(#REF!)</f>
        <v>#REF!</v>
      </c>
      <c r="G33" s="13" t="e">
        <f>SUM(#REF!)</f>
        <v>#REF!</v>
      </c>
      <c r="H33" s="13" t="e">
        <f>SUM(#REF!)</f>
        <v>#REF!</v>
      </c>
      <c r="I33" s="13" t="e">
        <f>SUM(#REF!)</f>
        <v>#REF!</v>
      </c>
      <c r="J33" s="13" t="e">
        <f>SUM(#REF!)</f>
        <v>#REF!</v>
      </c>
      <c r="K33" s="13" t="e">
        <f>SUM(#REF!)</f>
        <v>#REF!</v>
      </c>
      <c r="L33" s="16" t="e">
        <f>+B33+F33-K33</f>
        <v>#REF!</v>
      </c>
      <c r="M33" s="14"/>
      <c r="N33" s="14"/>
      <c r="O33" s="124">
        <f>SUM(O3:O32)</f>
        <v>36034.050000000003</v>
      </c>
      <c r="P33" s="124" t="e">
        <f>SUM(P3:P32)</f>
        <v>#REF!</v>
      </c>
      <c r="Q33" s="14"/>
      <c r="R33" s="14"/>
      <c r="S33" s="14"/>
    </row>
    <row r="34" spans="1:19">
      <c r="B34" s="14"/>
      <c r="C34" s="14"/>
      <c r="D34" s="14"/>
      <c r="E34" s="14"/>
      <c r="F34" s="14"/>
      <c r="G34" s="14">
        <v>36034.06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>
      <c r="B35" s="14"/>
      <c r="C35" s="14"/>
      <c r="D35" s="14"/>
      <c r="E35" s="14"/>
      <c r="F35" s="14"/>
      <c r="G35" s="14" t="e">
        <f>+G33-G34</f>
        <v>#REF!</v>
      </c>
      <c r="H35" s="14" t="e">
        <f>+H33-H34</f>
        <v>#REF!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</sheetData>
  <pageMargins left="0.75" right="0.75" top="1" bottom="1" header="0.51180555555555596" footer="0.51180555555555596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0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10.28515625" style="10" customWidth="1"/>
    <col min="4" max="4" width="10.140625" style="10" customWidth="1"/>
    <col min="5" max="5" width="9" style="10" bestFit="1" customWidth="1"/>
    <col min="6" max="6" width="13.140625" style="10" customWidth="1"/>
    <col min="7" max="7" width="16.85546875" style="10" customWidth="1"/>
    <col min="8" max="8" width="16.42578125" style="10" customWidth="1"/>
    <col min="9" max="9" width="9" style="10" bestFit="1" customWidth="1"/>
    <col min="10" max="10" width="9.28515625" style="10" customWidth="1"/>
    <col min="11" max="11" width="10.85546875" style="10" customWidth="1"/>
    <col min="12" max="12" width="11.7109375" style="10" customWidth="1"/>
    <col min="13" max="14" width="10.28515625" style="10" customWidth="1"/>
    <col min="15" max="16" width="9" style="10"/>
    <col min="17" max="17" width="10.28515625" style="10" customWidth="1"/>
    <col min="18" max="18" width="7.85546875" style="10" customWidth="1"/>
    <col min="19" max="19" width="13" style="10" customWidth="1"/>
    <col min="20" max="20" width="11.85546875" style="10" customWidth="1"/>
    <col min="21" max="22" width="9" style="10"/>
    <col min="23" max="23" width="16.5703125" style="10" customWidth="1"/>
    <col min="24" max="24" width="10.5703125" style="10" customWidth="1"/>
    <col min="25" max="25" width="12.85546875" style="10" customWidth="1"/>
    <col min="26" max="26" width="14" style="10" customWidth="1"/>
    <col min="27" max="16384" width="9" style="10"/>
  </cols>
  <sheetData>
    <row r="1" spans="13:32" s="15" customFormat="1"/>
    <row r="2" spans="13:32">
      <c r="M2" s="14">
        <v>18475</v>
      </c>
      <c r="N2" s="14" t="e">
        <f>#REF!-M2</f>
        <v>#REF!</v>
      </c>
      <c r="O2" s="14">
        <v>0</v>
      </c>
      <c r="P2" s="14" t="e">
        <f>+#REF!-O2</f>
        <v>#REF!</v>
      </c>
      <c r="Q2" s="14">
        <v>17176.079999999994</v>
      </c>
      <c r="R2" s="14">
        <v>171.8670174098927</v>
      </c>
      <c r="S2" s="14">
        <f t="shared" ref="S2:S8" si="0">+Q2*R2</f>
        <v>2952001.6403937088</v>
      </c>
      <c r="AC2" s="140" t="s">
        <v>386</v>
      </c>
      <c r="AD2" s="39">
        <v>18999.405000000017</v>
      </c>
      <c r="AE2" s="39" t="e">
        <f>+#REF!</f>
        <v>#REF!</v>
      </c>
      <c r="AF2" s="39" t="e">
        <f>+AD2-AE2</f>
        <v>#REF!</v>
      </c>
    </row>
    <row r="3" spans="13:32">
      <c r="M3" s="14">
        <v>17550</v>
      </c>
      <c r="N3" s="14" t="e">
        <f>#REF!-M3</f>
        <v>#REF!</v>
      </c>
      <c r="O3" s="14">
        <v>410.8</v>
      </c>
      <c r="P3" s="14" t="e">
        <f>+#REF!-O3</f>
        <v>#REF!</v>
      </c>
      <c r="Q3" s="14">
        <v>5000</v>
      </c>
      <c r="R3" s="14">
        <v>238.34</v>
      </c>
      <c r="S3" s="14">
        <f t="shared" si="0"/>
        <v>1191700</v>
      </c>
      <c r="T3" s="34"/>
      <c r="W3" s="15" t="s">
        <v>63</v>
      </c>
      <c r="X3" s="15">
        <f>Q2</f>
        <v>17176.079999999994</v>
      </c>
      <c r="Y3" s="15">
        <f>R2</f>
        <v>171.8670174098927</v>
      </c>
      <c r="Z3" s="15">
        <f>X3*Y3</f>
        <v>2952001.6403937088</v>
      </c>
      <c r="AC3" s="140" t="s">
        <v>387</v>
      </c>
      <c r="AD3" s="39">
        <v>-9000.2049999999999</v>
      </c>
      <c r="AE3" s="39" t="e">
        <f>-#REF!</f>
        <v>#REF!</v>
      </c>
      <c r="AF3" s="39" t="e">
        <f>+AD3-AE3</f>
        <v>#REF!</v>
      </c>
    </row>
    <row r="4" spans="13:32">
      <c r="M4" s="14">
        <v>22100</v>
      </c>
      <c r="N4" s="14" t="e">
        <f>#REF!-M4</f>
        <v>#REF!</v>
      </c>
      <c r="O4" s="14">
        <v>356.48</v>
      </c>
      <c r="P4" s="14" t="e">
        <f>+#REF!-O4</f>
        <v>#REF!</v>
      </c>
      <c r="Q4" s="14">
        <v>4000</v>
      </c>
      <c r="R4" s="14">
        <v>169</v>
      </c>
      <c r="S4" s="14">
        <f t="shared" si="0"/>
        <v>676000</v>
      </c>
      <c r="T4" s="34"/>
      <c r="W4" s="15" t="s">
        <v>61</v>
      </c>
      <c r="X4" s="35">
        <f>SUM(Q3:Q8)</f>
        <v>23000</v>
      </c>
      <c r="Y4" s="15">
        <f>Z4/X4</f>
        <v>185.03043478260869</v>
      </c>
      <c r="Z4" s="35">
        <f>SUM(S3:S8)</f>
        <v>4255700</v>
      </c>
      <c r="AC4" s="140" t="s">
        <v>61</v>
      </c>
      <c r="AD4" s="39">
        <v>19000</v>
      </c>
      <c r="AE4" s="39" t="e">
        <f>+#REF!</f>
        <v>#REF!</v>
      </c>
      <c r="AF4" s="39" t="e">
        <f>+AD4-AE4</f>
        <v>#REF!</v>
      </c>
    </row>
    <row r="5" spans="13:32">
      <c r="M5" s="14">
        <v>21550</v>
      </c>
      <c r="N5" s="14" t="e">
        <f>#REF!-M5</f>
        <v>#REF!</v>
      </c>
      <c r="O5" s="14">
        <v>570</v>
      </c>
      <c r="P5" s="14" t="e">
        <f>+#REF!-O5</f>
        <v>#REF!</v>
      </c>
      <c r="Q5" s="14">
        <v>4000</v>
      </c>
      <c r="R5" s="10">
        <v>169</v>
      </c>
      <c r="S5" s="14">
        <f t="shared" si="0"/>
        <v>676000</v>
      </c>
      <c r="T5" s="34"/>
      <c r="W5" s="15" t="s">
        <v>281</v>
      </c>
      <c r="X5" s="35" t="e">
        <f>-#REF!</f>
        <v>#REF!</v>
      </c>
      <c r="Y5" s="15" t="e">
        <f>R14</f>
        <v>#REF!</v>
      </c>
      <c r="Z5" s="15" t="e">
        <f>X5*Y5</f>
        <v>#REF!</v>
      </c>
      <c r="AC5" s="140" t="s">
        <v>388</v>
      </c>
      <c r="AD5" s="39">
        <v>-5975</v>
      </c>
      <c r="AE5" s="39" t="e">
        <f>-#REF!-#REF!</f>
        <v>#REF!</v>
      </c>
      <c r="AF5" s="39" t="e">
        <f>+AD5-AE5</f>
        <v>#REF!</v>
      </c>
    </row>
    <row r="6" spans="13:32">
      <c r="M6" s="14">
        <v>21075</v>
      </c>
      <c r="N6" s="14" t="e">
        <f>#REF!-M6</f>
        <v>#REF!</v>
      </c>
      <c r="O6" s="14">
        <v>371.40000000000003</v>
      </c>
      <c r="P6" s="14" t="e">
        <f>+#REF!-O6</f>
        <v>#REF!</v>
      </c>
      <c r="Q6" s="14">
        <v>1000</v>
      </c>
      <c r="R6" s="14">
        <v>174.1</v>
      </c>
      <c r="S6" s="14">
        <f t="shared" si="0"/>
        <v>174100</v>
      </c>
      <c r="T6" s="34">
        <v>43970</v>
      </c>
      <c r="W6" s="15" t="s">
        <v>248</v>
      </c>
      <c r="X6" s="15" t="e">
        <f>SUM(X3:X5)</f>
        <v>#REF!</v>
      </c>
      <c r="Y6" s="15" t="e">
        <f>Z6/X6</f>
        <v>#REF!</v>
      </c>
      <c r="Z6" s="15" t="e">
        <f>SUM(Z3:Z5)</f>
        <v>#REF!</v>
      </c>
      <c r="AC6" s="140"/>
      <c r="AD6" s="39"/>
      <c r="AE6" s="39"/>
      <c r="AF6" s="39"/>
    </row>
    <row r="7" spans="13:32">
      <c r="M7" s="14">
        <v>20775</v>
      </c>
      <c r="N7" s="14" t="e">
        <f>#REF!-M7</f>
        <v>#REF!</v>
      </c>
      <c r="O7" s="14">
        <v>305.8</v>
      </c>
      <c r="P7" s="14" t="e">
        <f>+#REF!-O7</f>
        <v>#REF!</v>
      </c>
      <c r="Q7" s="14">
        <v>4000</v>
      </c>
      <c r="R7" s="14">
        <v>169</v>
      </c>
      <c r="S7" s="14">
        <f t="shared" si="0"/>
        <v>676000</v>
      </c>
      <c r="T7" s="34">
        <v>43974</v>
      </c>
      <c r="AC7" s="140"/>
      <c r="AD7" s="39">
        <f>SUM(AD2:AD6)</f>
        <v>23024.200000000019</v>
      </c>
      <c r="AE7" s="39" t="e">
        <f>SUM(AE2:AE6)</f>
        <v>#REF!</v>
      </c>
      <c r="AF7" s="39" t="e">
        <f>SUM(AF2:AF6)</f>
        <v>#REF!</v>
      </c>
    </row>
    <row r="8" spans="13:32">
      <c r="M8" s="14">
        <v>20475</v>
      </c>
      <c r="N8" s="14" t="e">
        <f>#REF!-M8</f>
        <v>#REF!</v>
      </c>
      <c r="O8" s="14">
        <v>352.2</v>
      </c>
      <c r="P8" s="14" t="e">
        <f>+#REF!-O8</f>
        <v>#REF!</v>
      </c>
      <c r="Q8" s="14">
        <v>5000</v>
      </c>
      <c r="R8" s="14">
        <v>172.38</v>
      </c>
      <c r="S8" s="14">
        <f t="shared" si="0"/>
        <v>861900</v>
      </c>
      <c r="T8" s="34">
        <v>43979</v>
      </c>
    </row>
    <row r="9" spans="13:32">
      <c r="M9" s="14">
        <v>19875</v>
      </c>
      <c r="N9" s="14" t="e">
        <f>#REF!-M9</f>
        <v>#REF!</v>
      </c>
      <c r="O9" s="14">
        <v>290.5</v>
      </c>
      <c r="P9" s="14" t="e">
        <f>+#REF!-O9</f>
        <v>#REF!</v>
      </c>
      <c r="X9" s="14">
        <f>+X4+MB!X4</f>
        <v>26225</v>
      </c>
      <c r="Y9" s="14">
        <f>+Z9/X9</f>
        <v>177.9996445363623</v>
      </c>
      <c r="Z9" s="14">
        <f>+Z4+MB!Z4</f>
        <v>4668040.6779661011</v>
      </c>
    </row>
    <row r="10" spans="13:32">
      <c r="M10" s="14">
        <v>19475</v>
      </c>
      <c r="N10" s="14" t="e">
        <f>#REF!-M10</f>
        <v>#REF!</v>
      </c>
      <c r="O10" s="14">
        <v>271.40000000000003</v>
      </c>
      <c r="P10" s="14" t="e">
        <f>+#REF!-O10</f>
        <v>#REF!</v>
      </c>
    </row>
    <row r="11" spans="13:32">
      <c r="M11" s="14">
        <v>23075</v>
      </c>
      <c r="N11" s="14" t="e">
        <f>#REF!-M11</f>
        <v>#REF!</v>
      </c>
      <c r="O11" s="14">
        <v>337</v>
      </c>
      <c r="P11" s="14" t="e">
        <f>+#REF!-O11</f>
        <v>#REF!</v>
      </c>
    </row>
    <row r="12" spans="13:32">
      <c r="M12" s="14">
        <v>22050</v>
      </c>
      <c r="N12" s="14" t="e">
        <f>#REF!-M12</f>
        <v>#REF!</v>
      </c>
      <c r="O12" s="14">
        <v>286.40000000000003</v>
      </c>
      <c r="P12" s="14" t="e">
        <f>+#REF!-O12</f>
        <v>#REF!</v>
      </c>
      <c r="Q12" s="14">
        <f>SUM(Q4:Q10)</f>
        <v>18000</v>
      </c>
      <c r="R12" s="14">
        <f>+S12/Q12</f>
        <v>170.22222222222223</v>
      </c>
      <c r="S12" s="14">
        <f>SUM(S4:S10)</f>
        <v>3064000</v>
      </c>
    </row>
    <row r="13" spans="13:32">
      <c r="M13" s="14">
        <v>21700</v>
      </c>
      <c r="N13" s="14" t="e">
        <f>#REF!-M13</f>
        <v>#REF!</v>
      </c>
      <c r="O13" s="14">
        <v>354.47500000000002</v>
      </c>
      <c r="P13" s="14" t="e">
        <f>+#REF!-O13</f>
        <v>#REF!</v>
      </c>
      <c r="Q13" s="14" t="e">
        <f>-X5-Q12</f>
        <v>#REF!</v>
      </c>
      <c r="R13" s="14">
        <f>R3</f>
        <v>238.34</v>
      </c>
      <c r="S13" s="14" t="e">
        <f>Q13*R13</f>
        <v>#REF!</v>
      </c>
    </row>
    <row r="14" spans="13:32">
      <c r="M14" s="14">
        <v>21200</v>
      </c>
      <c r="N14" s="14" t="e">
        <f>#REF!-M14</f>
        <v>#REF!</v>
      </c>
      <c r="O14" s="14">
        <v>230.4</v>
      </c>
      <c r="P14" s="14" t="e">
        <f>+#REF!-O14</f>
        <v>#REF!</v>
      </c>
      <c r="Q14" s="14" t="e">
        <f>SUM(Q12:Q13)</f>
        <v>#REF!</v>
      </c>
      <c r="R14" s="14" t="e">
        <f>S14/Q14</f>
        <v>#REF!</v>
      </c>
      <c r="S14" s="14" t="e">
        <f>SUM(S12:S13)</f>
        <v>#REF!</v>
      </c>
    </row>
    <row r="15" spans="13:32">
      <c r="M15" s="14">
        <v>20850</v>
      </c>
      <c r="N15" s="14" t="e">
        <f>#REF!-M15</f>
        <v>#REF!</v>
      </c>
      <c r="O15" s="14">
        <v>276.8</v>
      </c>
      <c r="P15" s="14" t="e">
        <f>+#REF!-O15</f>
        <v>#REF!</v>
      </c>
      <c r="Q15" s="14"/>
      <c r="R15" s="14"/>
      <c r="S15" s="14"/>
    </row>
    <row r="16" spans="13:32">
      <c r="M16" s="14">
        <v>19875</v>
      </c>
      <c r="N16" s="14" t="e">
        <f>#REF!-M16</f>
        <v>#REF!</v>
      </c>
      <c r="O16" s="14">
        <v>241.52500000000001</v>
      </c>
      <c r="P16" s="14" t="e">
        <f>+#REF!-O16</f>
        <v>#REF!</v>
      </c>
      <c r="Q16" s="14"/>
      <c r="R16" s="14"/>
      <c r="S16" s="14"/>
    </row>
    <row r="17" spans="13:19">
      <c r="M17" s="14">
        <v>19475</v>
      </c>
      <c r="N17" s="14" t="e">
        <f>#REF!-M17</f>
        <v>#REF!</v>
      </c>
      <c r="O17" s="14">
        <v>0</v>
      </c>
      <c r="P17" s="14" t="e">
        <f>+#REF!-O17</f>
        <v>#REF!</v>
      </c>
      <c r="Q17" s="14"/>
      <c r="R17" s="14"/>
      <c r="S17" s="14"/>
    </row>
    <row r="18" spans="13:19">
      <c r="M18" s="14">
        <v>19275</v>
      </c>
      <c r="N18" s="14" t="e">
        <f>#REF!-M18</f>
        <v>#REF!</v>
      </c>
      <c r="O18" s="14">
        <v>191</v>
      </c>
      <c r="P18" s="14" t="e">
        <f>+#REF!-O18</f>
        <v>#REF!</v>
      </c>
      <c r="Q18" s="14"/>
      <c r="R18" s="14"/>
      <c r="S18" s="14"/>
    </row>
    <row r="19" spans="13:19">
      <c r="M19" s="14">
        <v>18875</v>
      </c>
      <c r="N19" s="14" t="e">
        <f>#REF!-M19</f>
        <v>#REF!</v>
      </c>
      <c r="O19" s="14">
        <v>333.6</v>
      </c>
      <c r="P19" s="14" t="e">
        <f>+#REF!-O19</f>
        <v>#REF!</v>
      </c>
      <c r="Q19" s="14"/>
      <c r="R19" s="14"/>
      <c r="S19" s="14"/>
    </row>
    <row r="20" spans="13:19">
      <c r="M20" s="14">
        <v>19625</v>
      </c>
      <c r="N20" s="14" t="e">
        <f>#REF!-M20</f>
        <v>#REF!</v>
      </c>
      <c r="O20" s="14">
        <v>243.2</v>
      </c>
      <c r="P20" s="14" t="e">
        <f>+#REF!-O20</f>
        <v>#REF!</v>
      </c>
      <c r="Q20" s="14"/>
      <c r="R20" s="14"/>
      <c r="S20" s="14"/>
    </row>
    <row r="21" spans="13:19">
      <c r="M21" s="14">
        <v>19950</v>
      </c>
      <c r="N21" s="14" t="e">
        <f>#REF!-M21</f>
        <v>#REF!</v>
      </c>
      <c r="O21" s="14">
        <v>270.5</v>
      </c>
      <c r="P21" s="14" t="e">
        <f>+#REF!-O21</f>
        <v>#REF!</v>
      </c>
      <c r="Q21" s="14"/>
      <c r="R21" s="14"/>
      <c r="S21" s="14"/>
    </row>
    <row r="22" spans="13:19">
      <c r="M22" s="14">
        <v>18925</v>
      </c>
      <c r="N22" s="14" t="e">
        <f>#REF!-M22</f>
        <v>#REF!</v>
      </c>
      <c r="O22" s="14">
        <v>321.39999999999998</v>
      </c>
      <c r="P22" s="14" t="e">
        <f>+#REF!-O22</f>
        <v>#REF!</v>
      </c>
      <c r="Q22" s="14"/>
      <c r="R22" s="14"/>
      <c r="S22" s="14"/>
    </row>
    <row r="23" spans="13:19">
      <c r="M23" s="14">
        <v>22625</v>
      </c>
      <c r="N23" s="14" t="e">
        <f>#REF!-M23</f>
        <v>#REF!</v>
      </c>
      <c r="O23" s="14">
        <v>333.6</v>
      </c>
      <c r="P23" s="14" t="e">
        <f>+#REF!-O23</f>
        <v>#REF!</v>
      </c>
      <c r="Q23" s="14"/>
      <c r="R23" s="14"/>
      <c r="S23" s="14"/>
    </row>
    <row r="24" spans="13:19">
      <c r="M24" s="14">
        <v>22525</v>
      </c>
      <c r="N24" s="14" t="e">
        <f>#REF!-M24</f>
        <v>#REF!</v>
      </c>
      <c r="O24" s="14">
        <v>202.8</v>
      </c>
      <c r="P24" s="14" t="e">
        <f>+#REF!-O24</f>
        <v>#REF!</v>
      </c>
      <c r="Q24" s="14"/>
      <c r="R24" s="14"/>
      <c r="S24" s="14"/>
    </row>
    <row r="25" spans="13:19">
      <c r="M25" s="14">
        <v>22275</v>
      </c>
      <c r="N25" s="14" t="e">
        <f>#REF!-M25</f>
        <v>#REF!</v>
      </c>
      <c r="O25" s="14">
        <v>226</v>
      </c>
      <c r="P25" s="14" t="e">
        <f>+#REF!-O25</f>
        <v>#REF!</v>
      </c>
      <c r="Q25" s="14"/>
      <c r="R25" s="14"/>
      <c r="S25" s="14"/>
    </row>
    <row r="26" spans="13:19">
      <c r="M26" s="14">
        <v>21075</v>
      </c>
      <c r="N26" s="14" t="e">
        <f>#REF!-M26</f>
        <v>#REF!</v>
      </c>
      <c r="O26" s="14">
        <v>336.35</v>
      </c>
      <c r="P26" s="14" t="e">
        <f>+#REF!-O26</f>
        <v>#REF!</v>
      </c>
      <c r="Q26" s="14"/>
      <c r="R26" s="14"/>
      <c r="S26" s="14"/>
    </row>
    <row r="27" spans="13:19">
      <c r="M27" s="14">
        <v>20525</v>
      </c>
      <c r="N27" s="14" t="e">
        <f>#REF!-M27</f>
        <v>#REF!</v>
      </c>
      <c r="O27" s="14">
        <v>291.3</v>
      </c>
      <c r="P27" s="14" t="e">
        <f>+#REF!-O27</f>
        <v>#REF!</v>
      </c>
      <c r="Q27" s="14"/>
      <c r="R27" s="14"/>
      <c r="S27" s="14"/>
    </row>
    <row r="28" spans="13:19">
      <c r="M28" s="14">
        <v>25175</v>
      </c>
      <c r="N28" s="14" t="e">
        <f>#REF!-M28</f>
        <v>#REF!</v>
      </c>
      <c r="O28" s="14">
        <v>208.89999999999998</v>
      </c>
      <c r="P28" s="14" t="e">
        <f>+#REF!-O28</f>
        <v>#REF!</v>
      </c>
      <c r="Q28" s="14"/>
      <c r="R28" s="14"/>
      <c r="S28" s="14"/>
    </row>
    <row r="29" spans="13:19">
      <c r="M29" s="14">
        <v>24525</v>
      </c>
      <c r="N29" s="14" t="e">
        <f>#REF!-M29</f>
        <v>#REF!</v>
      </c>
      <c r="O29" s="14">
        <v>388.625</v>
      </c>
      <c r="P29" s="14" t="e">
        <f>+#REF!-O29</f>
        <v>#REF!</v>
      </c>
      <c r="Q29" s="14"/>
      <c r="R29" s="14"/>
      <c r="S29" s="14"/>
    </row>
    <row r="30" spans="13:19">
      <c r="M30" s="14">
        <v>23725</v>
      </c>
      <c r="N30" s="14" t="e">
        <f>#REF!-M30</f>
        <v>#REF!</v>
      </c>
      <c r="O30" s="14">
        <v>277.2</v>
      </c>
      <c r="P30" s="14" t="e">
        <f>+#REF!-O30</f>
        <v>#REF!</v>
      </c>
      <c r="Q30" s="14"/>
      <c r="R30" s="14"/>
      <c r="S30" s="14"/>
    </row>
    <row r="31" spans="13:19">
      <c r="M31" s="14">
        <v>23125</v>
      </c>
      <c r="N31" s="14" t="e">
        <f>#REF!-M31</f>
        <v>#REF!</v>
      </c>
      <c r="O31" s="14">
        <v>351.27499999999998</v>
      </c>
      <c r="P31" s="14" t="e">
        <f>+#REF!-O31</f>
        <v>#REF!</v>
      </c>
      <c r="Q31" s="14"/>
      <c r="R31" s="14"/>
      <c r="S31" s="14"/>
    </row>
    <row r="32" spans="13:19">
      <c r="M32" s="14">
        <v>22650</v>
      </c>
      <c r="N32" s="14" t="e">
        <f>#REF!-M32</f>
        <v>#REF!</v>
      </c>
      <c r="O32" s="14">
        <v>369.27499999999998</v>
      </c>
      <c r="P32" s="14" t="e">
        <f>+#REF!-O32</f>
        <v>#REF!</v>
      </c>
      <c r="Q32" s="14"/>
      <c r="R32" s="14"/>
      <c r="S32" s="14"/>
    </row>
    <row r="33" spans="2:19">
      <c r="M33" s="14"/>
      <c r="N33" s="14"/>
      <c r="O33" s="124">
        <f>SUM(O3:O32)</f>
        <v>9000.2049999999999</v>
      </c>
      <c r="P33" s="124" t="e">
        <f>SUM(P3:P32)</f>
        <v>#REF!</v>
      </c>
      <c r="Q33" s="14"/>
      <c r="R33" s="14"/>
      <c r="S33" s="14"/>
    </row>
    <row r="34" spans="2:19">
      <c r="B34" s="14"/>
      <c r="C34" s="14"/>
      <c r="D34" s="14"/>
      <c r="E34" s="14"/>
      <c r="F34" s="14"/>
      <c r="G34" s="14">
        <v>8875.2000000000007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2:19">
      <c r="B35" s="14"/>
      <c r="C35" s="14"/>
      <c r="D35" s="14"/>
      <c r="E35" s="14"/>
      <c r="F35" s="14"/>
      <c r="G35" s="14" t="e">
        <f>+#REF!-G34</f>
        <v>#REF!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2:19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2:19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40" spans="2:19">
      <c r="C40" s="14"/>
      <c r="G40" s="14"/>
      <c r="J40" s="14"/>
    </row>
  </sheetData>
  <pageMargins left="0.75" right="0.75" top="1" bottom="1" header="0.51180555555555596" footer="0.51180555555555596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0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9.28515625" style="10" customWidth="1"/>
    <col min="4" max="4" width="10.140625" style="10" customWidth="1"/>
    <col min="5" max="5" width="8.28515625" style="10" customWidth="1"/>
    <col min="6" max="6" width="13.140625" style="10" customWidth="1"/>
    <col min="7" max="7" width="16.85546875" style="10" customWidth="1"/>
    <col min="8" max="8" width="16.140625" style="10" customWidth="1"/>
    <col min="9" max="9" width="9.28515625" style="10" customWidth="1"/>
    <col min="10" max="10" width="9" style="10" bestFit="1" customWidth="1"/>
    <col min="11" max="11" width="10.85546875" style="10" customWidth="1"/>
    <col min="12" max="12" width="11.7109375" style="10" customWidth="1"/>
    <col min="13" max="14" width="10.28515625" style="10" customWidth="1"/>
    <col min="15" max="16" width="9" style="10"/>
    <col min="17" max="17" width="10.28515625" style="10" customWidth="1"/>
    <col min="18" max="18" width="7.85546875" style="10" customWidth="1"/>
    <col min="19" max="19" width="13" style="10" customWidth="1"/>
    <col min="20" max="20" width="11.5703125" style="10" customWidth="1"/>
    <col min="21" max="22" width="9" style="10"/>
    <col min="23" max="23" width="16.5703125" style="10" customWidth="1"/>
    <col min="24" max="24" width="10.5703125" style="10" customWidth="1"/>
    <col min="25" max="25" width="12.85546875" style="10" customWidth="1"/>
    <col min="26" max="26" width="14" style="10" customWidth="1"/>
    <col min="27" max="30" width="9" style="10"/>
    <col min="31" max="31" width="7.5703125" style="10" bestFit="1" customWidth="1"/>
    <col min="32" max="32" width="7.140625" style="10" bestFit="1" customWidth="1"/>
    <col min="33" max="16384" width="9" style="10"/>
  </cols>
  <sheetData>
    <row r="1" spans="13:32" s="15" customFormat="1"/>
    <row r="2" spans="13:32">
      <c r="M2" s="14">
        <v>12475</v>
      </c>
      <c r="N2" s="14" t="e">
        <f>#REF!-M2</f>
        <v>#REF!</v>
      </c>
      <c r="O2" s="14">
        <v>0</v>
      </c>
      <c r="P2" s="14" t="e">
        <f>+#REF!+#REF!-O2</f>
        <v>#REF!</v>
      </c>
      <c r="Q2" s="14">
        <v>15623.29</v>
      </c>
      <c r="R2" s="14">
        <v>159.207284423608</v>
      </c>
      <c r="S2" s="14">
        <f t="shared" ref="S2:S10" si="0">+Q2*R2</f>
        <v>2487341.5746625108</v>
      </c>
      <c r="AC2" s="140" t="s">
        <v>386</v>
      </c>
      <c r="AD2" s="39">
        <v>12779.030999999997</v>
      </c>
      <c r="AE2" s="39" t="e">
        <f>+#REF!</f>
        <v>#REF!</v>
      </c>
      <c r="AF2" s="39" t="e">
        <f>+AD2-AE2</f>
        <v>#REF!</v>
      </c>
    </row>
    <row r="3" spans="13:32">
      <c r="M3" s="14">
        <v>12475</v>
      </c>
      <c r="N3" s="14" t="e">
        <f>#REF!-M3</f>
        <v>#REF!</v>
      </c>
      <c r="O3" s="14">
        <v>0</v>
      </c>
      <c r="P3" s="14" t="e">
        <f>+#REF!+#REF!-O3</f>
        <v>#REF!</v>
      </c>
      <c r="Q3" s="20">
        <v>125</v>
      </c>
      <c r="R3" s="14">
        <v>142</v>
      </c>
      <c r="S3" s="14">
        <f t="shared" si="0"/>
        <v>17750</v>
      </c>
      <c r="T3" s="34">
        <v>43963</v>
      </c>
      <c r="W3" s="15" t="s">
        <v>63</v>
      </c>
      <c r="X3" s="15">
        <f>Q2</f>
        <v>15623.29</v>
      </c>
      <c r="Y3" s="15">
        <f>R2</f>
        <v>159.207284423608</v>
      </c>
      <c r="Z3" s="15">
        <f>X3*Y3</f>
        <v>2487341.5746625108</v>
      </c>
      <c r="AC3" s="140" t="s">
        <v>387</v>
      </c>
      <c r="AD3" s="39">
        <v>-2269.9650000000001</v>
      </c>
      <c r="AE3" s="39" t="e">
        <f>-#REF!-#REF!</f>
        <v>#REF!</v>
      </c>
      <c r="AF3" s="39" t="e">
        <f>+AD3-AE3</f>
        <v>#REF!</v>
      </c>
    </row>
    <row r="4" spans="13:32">
      <c r="M4" s="14">
        <v>12350</v>
      </c>
      <c r="N4" s="14" t="e">
        <f>#REF!-M4</f>
        <v>#REF!</v>
      </c>
      <c r="O4" s="14">
        <v>123.88999999999999</v>
      </c>
      <c r="P4" s="14" t="e">
        <f>+#REF!+#REF!-O4</f>
        <v>#REF!</v>
      </c>
      <c r="Q4" s="17">
        <v>475</v>
      </c>
      <c r="R4" s="17">
        <v>142</v>
      </c>
      <c r="S4" s="14">
        <f t="shared" si="0"/>
        <v>67450</v>
      </c>
      <c r="T4" s="34">
        <v>43968</v>
      </c>
      <c r="W4" s="15" t="s">
        <v>61</v>
      </c>
      <c r="X4" s="35">
        <f>SUM(Q3:Q27)</f>
        <v>3225</v>
      </c>
      <c r="Y4" s="15">
        <f>Z4/X4</f>
        <v>127.85757456313226</v>
      </c>
      <c r="Z4" s="35">
        <f>SUM(S3:S27)</f>
        <v>412340.67796610156</v>
      </c>
      <c r="AC4" s="140" t="s">
        <v>61</v>
      </c>
      <c r="AD4" s="39">
        <v>3225</v>
      </c>
      <c r="AE4" s="39" t="e">
        <f>+#REF!</f>
        <v>#REF!</v>
      </c>
      <c r="AF4" s="39" t="e">
        <f>+AD4-AE4</f>
        <v>#REF!</v>
      </c>
    </row>
    <row r="5" spans="13:32">
      <c r="M5" s="14">
        <v>12900</v>
      </c>
      <c r="N5" s="14" t="e">
        <f>#REF!-M5</f>
        <v>#REF!</v>
      </c>
      <c r="O5" s="14">
        <v>74.400000000000006</v>
      </c>
      <c r="P5" s="14" t="e">
        <f>+#REF!+#REF!-O5</f>
        <v>#REF!</v>
      </c>
      <c r="Q5" s="17">
        <v>500</v>
      </c>
      <c r="R5" s="14">
        <v>164.43050847457599</v>
      </c>
      <c r="S5" s="14">
        <f t="shared" si="0"/>
        <v>82215.254237287998</v>
      </c>
      <c r="T5" s="34">
        <v>43968</v>
      </c>
      <c r="W5" s="15" t="s">
        <v>281</v>
      </c>
      <c r="X5" s="35" t="e">
        <f>-#REF!</f>
        <v>#REF!</v>
      </c>
      <c r="Y5" s="15" t="e">
        <f>R31</f>
        <v>#REF!</v>
      </c>
      <c r="Z5" s="15" t="e">
        <f>X5*Y5</f>
        <v>#REF!</v>
      </c>
      <c r="AC5" s="140" t="s">
        <v>388</v>
      </c>
      <c r="AD5" s="39">
        <v>-2550</v>
      </c>
      <c r="AE5" s="39" t="e">
        <f>-#REF!-#REF!</f>
        <v>#REF!</v>
      </c>
      <c r="AF5" s="39" t="e">
        <f>+AD5-AE5</f>
        <v>#REF!</v>
      </c>
    </row>
    <row r="6" spans="13:32">
      <c r="M6" s="14">
        <v>12775</v>
      </c>
      <c r="N6" s="14" t="e">
        <f>#REF!-M6</f>
        <v>#REF!</v>
      </c>
      <c r="O6" s="14">
        <v>131</v>
      </c>
      <c r="P6" s="14" t="e">
        <f>+#REF!+#REF!-O6</f>
        <v>#REF!</v>
      </c>
      <c r="Q6" s="14">
        <v>1000</v>
      </c>
      <c r="R6" s="14">
        <v>96</v>
      </c>
      <c r="S6" s="14">
        <f t="shared" si="0"/>
        <v>96000</v>
      </c>
      <c r="T6" s="34">
        <v>43975</v>
      </c>
      <c r="W6" s="15" t="s">
        <v>248</v>
      </c>
      <c r="X6" s="15" t="e">
        <f>SUM(X3:X5)</f>
        <v>#REF!</v>
      </c>
      <c r="Y6" s="15" t="e">
        <f>Z6/X6</f>
        <v>#REF!</v>
      </c>
      <c r="Z6" s="15" t="e">
        <f>SUM(Z3:Z5)</f>
        <v>#REF!</v>
      </c>
      <c r="AC6" s="140"/>
      <c r="AD6" s="39"/>
      <c r="AE6" s="39"/>
      <c r="AF6" s="39"/>
    </row>
    <row r="7" spans="13:32">
      <c r="M7" s="14">
        <v>12075</v>
      </c>
      <c r="N7" s="14" t="e">
        <f>#REF!-M7</f>
        <v>#REF!</v>
      </c>
      <c r="O7" s="14">
        <v>80.5</v>
      </c>
      <c r="P7" s="14" t="e">
        <f>+#REF!+#REF!-O7</f>
        <v>#REF!</v>
      </c>
      <c r="Q7" s="10">
        <v>100</v>
      </c>
      <c r="R7" s="10">
        <v>196</v>
      </c>
      <c r="S7" s="14">
        <f t="shared" si="0"/>
        <v>19600</v>
      </c>
      <c r="T7" s="34">
        <v>43975</v>
      </c>
      <c r="AC7" s="140"/>
      <c r="AD7" s="39">
        <f>SUM(AD2:AD6)</f>
        <v>11184.065999999997</v>
      </c>
      <c r="AE7" s="39" t="e">
        <f>SUM(AE2:AE6)</f>
        <v>#REF!</v>
      </c>
      <c r="AF7" s="39" t="e">
        <f>SUM(AF2:AF6)</f>
        <v>#REF!</v>
      </c>
    </row>
    <row r="8" spans="13:32">
      <c r="M8" s="14">
        <v>12075</v>
      </c>
      <c r="N8" s="14" t="e">
        <f>#REF!-M8</f>
        <v>#REF!</v>
      </c>
      <c r="O8" s="14">
        <v>0</v>
      </c>
      <c r="P8" s="14" t="e">
        <f>+#REF!+#REF!-O8</f>
        <v>#REF!</v>
      </c>
      <c r="Q8" s="14">
        <v>500</v>
      </c>
      <c r="R8" s="14">
        <v>98</v>
      </c>
      <c r="S8" s="14">
        <f t="shared" si="0"/>
        <v>49000</v>
      </c>
      <c r="T8" s="34">
        <v>43979</v>
      </c>
    </row>
    <row r="9" spans="13:32">
      <c r="M9" s="14">
        <v>11950</v>
      </c>
      <c r="N9" s="14" t="e">
        <f>#REF!-M9</f>
        <v>#REF!</v>
      </c>
      <c r="O9" s="14">
        <v>121.25</v>
      </c>
      <c r="P9" s="14" t="e">
        <f>+#REF!+#REF!-O9</f>
        <v>#REF!</v>
      </c>
      <c r="Q9" s="14">
        <v>25</v>
      </c>
      <c r="R9" s="14">
        <v>173.016949152542</v>
      </c>
      <c r="S9" s="14">
        <f t="shared" si="0"/>
        <v>4325.42372881355</v>
      </c>
      <c r="T9" s="34">
        <v>43979</v>
      </c>
    </row>
    <row r="10" spans="13:32">
      <c r="M10" s="14">
        <v>11875</v>
      </c>
      <c r="N10" s="14" t="e">
        <f>#REF!-M10</f>
        <v>#REF!</v>
      </c>
      <c r="O10" s="14">
        <v>70.599999999999994</v>
      </c>
      <c r="P10" s="14" t="e">
        <f>+#REF!+#REF!-O10</f>
        <v>#REF!</v>
      </c>
      <c r="Q10" s="10">
        <v>500</v>
      </c>
      <c r="R10" s="10">
        <v>152</v>
      </c>
      <c r="S10" s="14">
        <f t="shared" si="0"/>
        <v>76000</v>
      </c>
      <c r="T10" s="34">
        <v>43982</v>
      </c>
    </row>
    <row r="11" spans="13:32">
      <c r="M11" s="14">
        <v>11575</v>
      </c>
      <c r="N11" s="14" t="e">
        <f>#REF!-M11</f>
        <v>#REF!</v>
      </c>
      <c r="O11" s="14">
        <v>200</v>
      </c>
      <c r="P11" s="14" t="e">
        <f>+#REF!+#REF!-O11</f>
        <v>#REF!</v>
      </c>
      <c r="Q11" s="14"/>
      <c r="R11" s="14"/>
      <c r="S11" s="14"/>
      <c r="T11" s="34"/>
    </row>
    <row r="12" spans="13:32">
      <c r="M12" s="14">
        <v>11025</v>
      </c>
      <c r="N12" s="14" t="e">
        <f>#REF!-M12</f>
        <v>#REF!</v>
      </c>
      <c r="O12" s="14">
        <v>0</v>
      </c>
      <c r="P12" s="14" t="e">
        <f>+#REF!+#REF!-O12</f>
        <v>#REF!</v>
      </c>
      <c r="Q12" s="14"/>
      <c r="R12" s="14"/>
      <c r="S12" s="14"/>
      <c r="T12" s="22"/>
    </row>
    <row r="13" spans="13:32">
      <c r="M13" s="14">
        <v>11150</v>
      </c>
      <c r="N13" s="14" t="e">
        <f>#REF!-M13</f>
        <v>#REF!</v>
      </c>
      <c r="O13" s="14">
        <v>8.625</v>
      </c>
      <c r="P13" s="14" t="e">
        <f>+#REF!+#REF!-O13</f>
        <v>#REF!</v>
      </c>
      <c r="Q13" s="14"/>
      <c r="R13" s="14"/>
      <c r="S13" s="14"/>
      <c r="T13" s="22"/>
    </row>
    <row r="14" spans="13:32">
      <c r="M14" s="14">
        <v>11125</v>
      </c>
      <c r="N14" s="14" t="e">
        <f>#REF!-M14</f>
        <v>#REF!</v>
      </c>
      <c r="O14" s="14">
        <v>25</v>
      </c>
      <c r="P14" s="14" t="e">
        <f>+#REF!+#REF!-O14</f>
        <v>#REF!</v>
      </c>
      <c r="Q14" s="14"/>
      <c r="R14" s="14"/>
      <c r="S14" s="14"/>
      <c r="T14" s="22"/>
    </row>
    <row r="15" spans="13:32">
      <c r="M15" s="14">
        <v>11575</v>
      </c>
      <c r="N15" s="14" t="e">
        <f>#REF!-M15</f>
        <v>#REF!</v>
      </c>
      <c r="O15" s="14">
        <v>25</v>
      </c>
      <c r="P15" s="14" t="e">
        <f>+#REF!+#REF!-O15</f>
        <v>#REF!</v>
      </c>
      <c r="Q15" s="14"/>
      <c r="R15" s="14"/>
      <c r="S15" s="14"/>
      <c r="T15" s="22"/>
    </row>
    <row r="16" spans="13:32">
      <c r="M16" s="14">
        <v>11550</v>
      </c>
      <c r="N16" s="14" t="e">
        <f>#REF!-M16</f>
        <v>#REF!</v>
      </c>
      <c r="O16" s="14">
        <v>34.375</v>
      </c>
      <c r="P16" s="14" t="e">
        <f>+#REF!+#REF!-O16</f>
        <v>#REF!</v>
      </c>
      <c r="Q16" s="14"/>
      <c r="R16" s="14"/>
      <c r="S16" s="14"/>
      <c r="T16" s="22"/>
    </row>
    <row r="17" spans="13:20">
      <c r="M17" s="14">
        <v>11425</v>
      </c>
      <c r="N17" s="14" t="e">
        <f>#REF!-M17</f>
        <v>#REF!</v>
      </c>
      <c r="O17" s="14">
        <v>22</v>
      </c>
      <c r="P17" s="14" t="e">
        <f>+#REF!+#REF!-O17</f>
        <v>#REF!</v>
      </c>
      <c r="Q17" s="14"/>
      <c r="R17" s="14"/>
      <c r="S17" s="14"/>
      <c r="T17" s="22"/>
    </row>
    <row r="18" spans="13:20">
      <c r="M18" s="14">
        <v>11325</v>
      </c>
      <c r="N18" s="14" t="e">
        <f>#REF!-M18</f>
        <v>#REF!</v>
      </c>
      <c r="O18" s="14">
        <v>75.05</v>
      </c>
      <c r="P18" s="14" t="e">
        <f>+#REF!+#REF!-O18</f>
        <v>#REF!</v>
      </c>
      <c r="Q18" s="14"/>
      <c r="R18" s="14"/>
      <c r="S18" s="14"/>
      <c r="T18" s="22"/>
    </row>
    <row r="19" spans="13:20">
      <c r="M19" s="14">
        <v>11325</v>
      </c>
      <c r="N19" s="14" t="e">
        <f>#REF!-M19</f>
        <v>#REF!</v>
      </c>
      <c r="O19" s="14">
        <v>25</v>
      </c>
      <c r="P19" s="14" t="e">
        <f>+#REF!+#REF!-O19</f>
        <v>#REF!</v>
      </c>
      <c r="Q19" s="14"/>
      <c r="R19" s="14"/>
      <c r="S19" s="14"/>
      <c r="T19" s="22"/>
    </row>
    <row r="20" spans="13:20">
      <c r="M20" s="14">
        <v>11250</v>
      </c>
      <c r="N20" s="14" t="e">
        <f>#REF!-M20</f>
        <v>#REF!</v>
      </c>
      <c r="O20" s="14">
        <v>50</v>
      </c>
      <c r="P20" s="14" t="e">
        <f>+#REF!+#REF!-O20</f>
        <v>#REF!</v>
      </c>
      <c r="Q20" s="14"/>
      <c r="R20" s="14"/>
      <c r="S20" s="14"/>
      <c r="T20" s="22"/>
    </row>
    <row r="21" spans="13:20">
      <c r="M21" s="14">
        <v>11150</v>
      </c>
      <c r="N21" s="14" t="e">
        <f>#REF!-M21</f>
        <v>#REF!</v>
      </c>
      <c r="O21" s="14">
        <v>140</v>
      </c>
      <c r="P21" s="14" t="e">
        <f>+#REF!+#REF!-O21</f>
        <v>#REF!</v>
      </c>
      <c r="Q21" s="14"/>
      <c r="R21" s="14"/>
      <c r="S21" s="14"/>
      <c r="T21" s="22"/>
    </row>
    <row r="22" spans="13:20">
      <c r="M22" s="14">
        <v>10725</v>
      </c>
      <c r="N22" s="14" t="e">
        <f>#REF!-M22</f>
        <v>#REF!</v>
      </c>
      <c r="O22" s="14">
        <v>181.8</v>
      </c>
      <c r="P22" s="14" t="e">
        <f>+#REF!+#REF!-O22</f>
        <v>#REF!</v>
      </c>
      <c r="Q22" s="14"/>
      <c r="R22" s="14"/>
      <c r="S22" s="14"/>
      <c r="T22" s="22"/>
    </row>
    <row r="23" spans="13:20">
      <c r="M23" s="14">
        <v>10750</v>
      </c>
      <c r="N23" s="14" t="e">
        <f>#REF!-M23</f>
        <v>#REF!</v>
      </c>
      <c r="O23" s="14">
        <v>0</v>
      </c>
      <c r="P23" s="14" t="e">
        <f>+#REF!+#REF!-O23</f>
        <v>#REF!</v>
      </c>
      <c r="Q23" s="14"/>
      <c r="R23" s="14"/>
      <c r="S23" s="14"/>
      <c r="T23" s="22"/>
    </row>
    <row r="24" spans="13:20">
      <c r="M24" s="14">
        <v>10600</v>
      </c>
      <c r="N24" s="14" t="e">
        <f>#REF!-M24</f>
        <v>#REF!</v>
      </c>
      <c r="O24" s="14">
        <v>142.5</v>
      </c>
      <c r="P24" s="14" t="e">
        <f>+#REF!+#REF!-O24</f>
        <v>#REF!</v>
      </c>
      <c r="Q24" s="14"/>
      <c r="R24" s="14"/>
      <c r="S24" s="14"/>
      <c r="T24" s="22"/>
    </row>
    <row r="25" spans="13:20">
      <c r="M25" s="14">
        <v>11475</v>
      </c>
      <c r="N25" s="14" t="e">
        <f>#REF!-M25</f>
        <v>#REF!</v>
      </c>
      <c r="O25" s="14">
        <v>221</v>
      </c>
      <c r="P25" s="14" t="e">
        <f>+#REF!+#REF!-O25</f>
        <v>#REF!</v>
      </c>
      <c r="S25" s="14"/>
      <c r="T25" s="22"/>
    </row>
    <row r="26" spans="13:20">
      <c r="M26" s="14">
        <v>11250</v>
      </c>
      <c r="N26" s="14" t="e">
        <f>#REF!-M26</f>
        <v>#REF!</v>
      </c>
      <c r="O26" s="14">
        <v>59.75</v>
      </c>
      <c r="P26" s="14" t="e">
        <f>+#REF!+#REF!-O26</f>
        <v>#REF!</v>
      </c>
      <c r="S26" s="14"/>
      <c r="T26" s="22"/>
    </row>
    <row r="27" spans="13:20">
      <c r="M27" s="14">
        <v>11200</v>
      </c>
      <c r="N27" s="14" t="e">
        <f>#REF!-M27</f>
        <v>#REF!</v>
      </c>
      <c r="O27" s="14">
        <v>61.25</v>
      </c>
      <c r="P27" s="14" t="e">
        <f>+#REF!+#REF!-O27</f>
        <v>#REF!</v>
      </c>
    </row>
    <row r="28" spans="13:20">
      <c r="M28" s="14">
        <v>10650</v>
      </c>
      <c r="N28" s="14" t="e">
        <f>#REF!-M28</f>
        <v>#REF!</v>
      </c>
      <c r="O28" s="14">
        <v>229.5</v>
      </c>
      <c r="P28" s="14" t="e">
        <f>+#REF!+#REF!-O28</f>
        <v>#REF!</v>
      </c>
    </row>
    <row r="29" spans="13:20">
      <c r="M29" s="14">
        <v>10825</v>
      </c>
      <c r="N29" s="14" t="e">
        <f>#REF!-M29</f>
        <v>#REF!</v>
      </c>
      <c r="O29" s="14">
        <v>118.22500000000001</v>
      </c>
      <c r="P29" s="14" t="e">
        <f>+#REF!+#REF!-O29</f>
        <v>#REF!</v>
      </c>
      <c r="Q29" s="14">
        <f>SUM(Q3:Q26)</f>
        <v>3225</v>
      </c>
      <c r="R29" s="14"/>
      <c r="S29" s="14">
        <f>SUM(S3:S26)</f>
        <v>412340.67796610156</v>
      </c>
    </row>
    <row r="30" spans="13:20">
      <c r="M30" s="14">
        <v>11300</v>
      </c>
      <c r="N30" s="14" t="e">
        <f>#REF!-M30</f>
        <v>#REF!</v>
      </c>
      <c r="O30" s="14">
        <v>30</v>
      </c>
      <c r="P30" s="14" t="e">
        <f>+#REF!+#REF!-O30</f>
        <v>#REF!</v>
      </c>
      <c r="Q30" s="14" t="e">
        <f>-X5-Q29</f>
        <v>#REF!</v>
      </c>
      <c r="R30" s="14">
        <f>R2</f>
        <v>159.207284423608</v>
      </c>
      <c r="S30" s="14" t="e">
        <f>Q30*R30</f>
        <v>#REF!</v>
      </c>
    </row>
    <row r="31" spans="13:20">
      <c r="M31" s="14">
        <v>11200</v>
      </c>
      <c r="N31" s="14" t="e">
        <f>#REF!-M31</f>
        <v>#REF!</v>
      </c>
      <c r="O31" s="14">
        <v>13.375</v>
      </c>
      <c r="P31" s="14" t="e">
        <f>+#REF!+#REF!-O31</f>
        <v>#REF!</v>
      </c>
      <c r="Q31" s="14" t="e">
        <f>SUM(Q29:Q30)</f>
        <v>#REF!</v>
      </c>
      <c r="R31" s="14" t="e">
        <f>+S31/Q31</f>
        <v>#REF!</v>
      </c>
      <c r="S31" s="14" t="e">
        <f>SUM(S29:S30)</f>
        <v>#REF!</v>
      </c>
    </row>
    <row r="32" spans="13:20">
      <c r="M32" s="14">
        <v>11200</v>
      </c>
      <c r="N32" s="14" t="e">
        <f>#REF!-M32</f>
        <v>#REF!</v>
      </c>
      <c r="O32" s="14">
        <v>5.875</v>
      </c>
      <c r="P32" s="14" t="e">
        <f>+#REF!+#REF!-O32</f>
        <v>#REF!</v>
      </c>
      <c r="Q32" s="14"/>
      <c r="R32" s="14"/>
      <c r="S32" s="14"/>
    </row>
    <row r="33" spans="2:19">
      <c r="M33" s="14"/>
      <c r="N33" s="14"/>
      <c r="O33" s="124">
        <f>SUM(O3:O32)</f>
        <v>2269.9649999999997</v>
      </c>
      <c r="P33" s="124" t="e">
        <f>SUM(P3:P32)</f>
        <v>#REF!</v>
      </c>
      <c r="Q33" s="14"/>
      <c r="R33" s="14"/>
      <c r="S33" s="14"/>
    </row>
    <row r="34" spans="2:19">
      <c r="B34" s="14"/>
      <c r="C34" s="14"/>
      <c r="D34" s="14"/>
      <c r="E34" s="14"/>
      <c r="F34" s="14"/>
      <c r="G34" s="14">
        <v>1619.92</v>
      </c>
      <c r="H34" s="14">
        <v>400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2:19">
      <c r="B35" s="14"/>
      <c r="C35" s="14"/>
      <c r="D35" s="14"/>
      <c r="E35" s="14"/>
      <c r="F35" s="14"/>
      <c r="G35" s="14" t="e">
        <f>#REF!-G34</f>
        <v>#REF!</v>
      </c>
      <c r="H35" s="14" t="e">
        <f>#REF!-H34</f>
        <v>#REF!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2:19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2:19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2:19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40" spans="2:19">
      <c r="C40" s="14"/>
      <c r="D40" s="14"/>
      <c r="E40" s="14"/>
      <c r="F40" s="14"/>
      <c r="G40" s="14"/>
      <c r="H40" s="14"/>
      <c r="I40" s="14"/>
      <c r="J40" s="14"/>
      <c r="K40" s="14"/>
      <c r="L40" s="14"/>
    </row>
  </sheetData>
  <pageMargins left="0.75" right="0.75" top="1" bottom="1" header="0.51180555555555596" footer="0.51180555555555596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39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10.28515625" style="10" customWidth="1"/>
    <col min="4" max="4" width="11.42578125" style="10" customWidth="1"/>
    <col min="5" max="5" width="10" style="10" bestFit="1" customWidth="1"/>
    <col min="6" max="6" width="13.140625" style="10" customWidth="1"/>
    <col min="7" max="7" width="16.85546875" style="10" customWidth="1"/>
    <col min="8" max="9" width="16.42578125" style="10" customWidth="1"/>
    <col min="10" max="10" width="10.28515625" style="10" customWidth="1"/>
    <col min="11" max="11" width="10" style="10" bestFit="1" customWidth="1"/>
    <col min="12" max="12" width="11.42578125" style="10" customWidth="1"/>
    <col min="13" max="13" width="11.7109375" style="10" customWidth="1"/>
    <col min="14" max="14" width="10.28515625" style="10" customWidth="1"/>
    <col min="15" max="15" width="11.140625" style="10" customWidth="1"/>
    <col min="16" max="17" width="9" style="10"/>
    <col min="18" max="18" width="10.28515625" style="10" customWidth="1"/>
    <col min="19" max="19" width="6.85546875" style="10" customWidth="1"/>
    <col min="20" max="20" width="13" style="10" customWidth="1"/>
    <col min="21" max="21" width="11.85546875" style="10" customWidth="1"/>
    <col min="22" max="24" width="9" style="10"/>
    <col min="25" max="25" width="16.5703125" style="10" customWidth="1"/>
    <col min="26" max="26" width="10.5703125" style="10" bestFit="1" customWidth="1"/>
    <col min="27" max="27" width="12.85546875" style="10" customWidth="1"/>
    <col min="28" max="28" width="8.5703125" style="10" customWidth="1"/>
    <col min="29" max="16384" width="9" style="10"/>
  </cols>
  <sheetData>
    <row r="1" spans="14:33" s="15" customFormat="1"/>
    <row r="2" spans="14:33">
      <c r="N2" s="14">
        <v>53897.5</v>
      </c>
      <c r="O2" s="14" t="e">
        <f>#REF!-N2</f>
        <v>#REF!</v>
      </c>
      <c r="P2" s="14">
        <v>0</v>
      </c>
      <c r="Q2" s="14" t="e">
        <f>+#REF!-P2</f>
        <v>#REF!</v>
      </c>
      <c r="R2" s="14">
        <v>50087.5</v>
      </c>
      <c r="S2" s="14">
        <v>45</v>
      </c>
      <c r="T2" s="14">
        <f>+R2*S2</f>
        <v>2253937.5</v>
      </c>
      <c r="AD2" s="140" t="s">
        <v>386</v>
      </c>
      <c r="AE2" s="39">
        <v>50087.5</v>
      </c>
      <c r="AF2" s="39" t="e">
        <f>+#REF!</f>
        <v>#REF!</v>
      </c>
      <c r="AG2" s="39" t="e">
        <f>+AE2-AF2</f>
        <v>#REF!</v>
      </c>
    </row>
    <row r="3" spans="14:33">
      <c r="N3" s="14">
        <v>56087.5</v>
      </c>
      <c r="O3" s="14" t="e">
        <f>#REF!-N3</f>
        <v>#REF!</v>
      </c>
      <c r="P3" s="14">
        <v>2670</v>
      </c>
      <c r="Q3" s="14" t="e">
        <f>+#REF!-P3</f>
        <v>#REF!</v>
      </c>
      <c r="R3" s="14">
        <v>9840</v>
      </c>
      <c r="S3" s="17">
        <v>46</v>
      </c>
      <c r="T3" s="14">
        <f>+R3*S3</f>
        <v>452640</v>
      </c>
      <c r="U3" s="34">
        <v>43979</v>
      </c>
      <c r="Y3" s="15" t="s">
        <v>63</v>
      </c>
      <c r="Z3" s="15">
        <f>R2</f>
        <v>50087.5</v>
      </c>
      <c r="AA3" s="15">
        <f>S2</f>
        <v>45</v>
      </c>
      <c r="AB3" s="15">
        <f>Z3*AA3</f>
        <v>2253937.5</v>
      </c>
      <c r="AD3" s="140" t="s">
        <v>387</v>
      </c>
      <c r="AE3" s="39">
        <v>-86940</v>
      </c>
      <c r="AF3" s="39" t="e">
        <f>-#REF!-#REF!</f>
        <v>#REF!</v>
      </c>
      <c r="AG3" s="39" t="e">
        <f>+AE3-AF3</f>
        <v>#REF!</v>
      </c>
    </row>
    <row r="4" spans="14:33">
      <c r="N4" s="14">
        <v>53567.5</v>
      </c>
      <c r="O4" s="14" t="e">
        <f>#REF!-N4</f>
        <v>#REF!</v>
      </c>
      <c r="P4" s="14">
        <v>5430</v>
      </c>
      <c r="Q4" s="14" t="e">
        <f>+#REF!-P4</f>
        <v>#REF!</v>
      </c>
      <c r="R4" s="19"/>
      <c r="S4" s="19"/>
      <c r="T4" s="14"/>
      <c r="U4" s="34"/>
      <c r="Y4" s="15" t="s">
        <v>76</v>
      </c>
      <c r="Z4" s="15" t="e">
        <f>#REF!</f>
        <v>#REF!</v>
      </c>
      <c r="AA4" s="15">
        <v>45</v>
      </c>
      <c r="AB4" s="15" t="e">
        <f>Z4*AA4</f>
        <v>#REF!</v>
      </c>
      <c r="AD4" s="140" t="s">
        <v>389</v>
      </c>
      <c r="AE4" s="39">
        <v>119670</v>
      </c>
      <c r="AF4" s="39" t="e">
        <f>+#REF!+#REF!+#REF!</f>
        <v>#REF!</v>
      </c>
      <c r="AG4" s="39" t="e">
        <f>+AE4-AF4</f>
        <v>#REF!</v>
      </c>
    </row>
    <row r="5" spans="14:33">
      <c r="N5" s="14">
        <v>50267.5</v>
      </c>
      <c r="O5" s="14" t="e">
        <f>#REF!-N5</f>
        <v>#REF!</v>
      </c>
      <c r="P5" s="14">
        <v>3300</v>
      </c>
      <c r="Q5" s="14" t="e">
        <f>+#REF!-P5</f>
        <v>#REF!</v>
      </c>
      <c r="R5" s="19"/>
      <c r="S5" s="19"/>
      <c r="T5" s="14"/>
      <c r="U5" s="34"/>
      <c r="Y5" s="15" t="s">
        <v>61</v>
      </c>
      <c r="Z5" s="15">
        <f>SUM(R3:R7)</f>
        <v>9840</v>
      </c>
      <c r="AA5" s="15">
        <f>AB5/Z5</f>
        <v>46</v>
      </c>
      <c r="AB5" s="15">
        <f>SUM(T3:T7)</f>
        <v>452640</v>
      </c>
      <c r="AD5" s="140" t="s">
        <v>388</v>
      </c>
      <c r="AE5" s="39">
        <v>-20040</v>
      </c>
      <c r="AF5" s="39" t="e">
        <f>-#REF!-#REF!</f>
        <v>#REF!</v>
      </c>
      <c r="AG5" s="39" t="e">
        <f>+AE5-AF5</f>
        <v>#REF!</v>
      </c>
    </row>
    <row r="6" spans="14:33">
      <c r="N6" s="14">
        <v>51947.5</v>
      </c>
      <c r="O6" s="14" t="e">
        <f>#REF!-N6</f>
        <v>#REF!</v>
      </c>
      <c r="P6" s="14">
        <v>4530</v>
      </c>
      <c r="Q6" s="14" t="e">
        <f>+#REF!-P6</f>
        <v>#REF!</v>
      </c>
      <c r="R6" s="14"/>
      <c r="S6" s="14"/>
      <c r="T6" s="14"/>
      <c r="U6" s="34"/>
      <c r="Y6" s="15" t="s">
        <v>281</v>
      </c>
      <c r="Z6" s="35" t="e">
        <f>-#REF!</f>
        <v>#REF!</v>
      </c>
      <c r="AA6" s="15">
        <v>45</v>
      </c>
      <c r="AB6" s="15" t="e">
        <f>Z6*AA6</f>
        <v>#REF!</v>
      </c>
      <c r="AD6" s="140"/>
      <c r="AE6" s="39"/>
      <c r="AF6" s="39"/>
      <c r="AG6" s="39"/>
    </row>
    <row r="7" spans="14:33">
      <c r="N7" s="14">
        <v>55007.5</v>
      </c>
      <c r="O7" s="14" t="e">
        <f>#REF!-N7</f>
        <v>#REF!</v>
      </c>
      <c r="P7" s="14">
        <v>2220</v>
      </c>
      <c r="Q7" s="14" t="e">
        <f>+#REF!-P7</f>
        <v>#REF!</v>
      </c>
      <c r="R7" s="14"/>
      <c r="S7" s="14"/>
      <c r="T7" s="14"/>
      <c r="U7" s="34"/>
      <c r="Y7" s="15" t="s">
        <v>248</v>
      </c>
      <c r="Z7" s="15" t="e">
        <f>SUM(Z3:Z6)</f>
        <v>#REF!</v>
      </c>
      <c r="AA7" s="15" t="e">
        <f>AB7/Z7</f>
        <v>#REF!</v>
      </c>
      <c r="AB7" s="15" t="e">
        <f>SUM(AB3:AB6)</f>
        <v>#REF!</v>
      </c>
      <c r="AD7" s="140"/>
      <c r="AE7" s="39">
        <f>SUM(AE2:AE6)</f>
        <v>62777.5</v>
      </c>
      <c r="AF7" s="39" t="e">
        <f>SUM(AF2:AF6)</f>
        <v>#REF!</v>
      </c>
      <c r="AG7" s="39" t="e">
        <f>SUM(AG2:AG6)</f>
        <v>#REF!</v>
      </c>
    </row>
    <row r="8" spans="14:33">
      <c r="N8" s="14">
        <v>55277.5</v>
      </c>
      <c r="O8" s="14" t="e">
        <f>#REF!-N8</f>
        <v>#REF!</v>
      </c>
      <c r="P8" s="14">
        <v>3870</v>
      </c>
      <c r="Q8" s="14" t="e">
        <f>+#REF!-P8</f>
        <v>#REF!</v>
      </c>
      <c r="R8" s="14"/>
      <c r="S8" s="14"/>
      <c r="T8" s="14"/>
      <c r="U8" s="34"/>
    </row>
    <row r="9" spans="14:33">
      <c r="N9" s="14">
        <v>57227.5</v>
      </c>
      <c r="O9" s="14" t="e">
        <f>#REF!-N9</f>
        <v>#REF!</v>
      </c>
      <c r="P9" s="14">
        <v>3570</v>
      </c>
      <c r="Q9" s="14" t="e">
        <f>+#REF!-P9</f>
        <v>#REF!</v>
      </c>
      <c r="R9" s="14"/>
      <c r="S9" s="14"/>
      <c r="T9" s="14"/>
      <c r="U9" s="34"/>
    </row>
    <row r="10" spans="14:33">
      <c r="N10" s="14">
        <v>52637.5</v>
      </c>
      <c r="O10" s="14" t="e">
        <f>#REF!-N10</f>
        <v>#REF!</v>
      </c>
      <c r="P10" s="14">
        <v>4590</v>
      </c>
      <c r="Q10" s="14" t="e">
        <f>+#REF!-P10</f>
        <v>#REF!</v>
      </c>
      <c r="R10" s="14"/>
      <c r="S10" s="14"/>
      <c r="T10" s="14"/>
      <c r="U10" s="34"/>
    </row>
    <row r="11" spans="14:33">
      <c r="N11" s="14">
        <v>54017.5</v>
      </c>
      <c r="O11" s="14" t="e">
        <f>#REF!-N11</f>
        <v>#REF!</v>
      </c>
      <c r="P11" s="14">
        <v>4830</v>
      </c>
      <c r="Q11" s="14" t="e">
        <f>+#REF!-P11</f>
        <v>#REF!</v>
      </c>
      <c r="R11" s="14"/>
      <c r="S11" s="14"/>
      <c r="T11" s="14"/>
      <c r="U11" s="34"/>
    </row>
    <row r="12" spans="14:33">
      <c r="N12" s="14">
        <v>59477.5</v>
      </c>
      <c r="O12" s="14" t="e">
        <f>#REF!-N12</f>
        <v>#REF!</v>
      </c>
      <c r="P12" s="14">
        <v>3030</v>
      </c>
      <c r="Q12" s="14" t="e">
        <f>+#REF!-P12</f>
        <v>#REF!</v>
      </c>
      <c r="R12" s="14"/>
      <c r="S12" s="14"/>
      <c r="T12" s="14"/>
      <c r="U12" s="34"/>
    </row>
    <row r="13" spans="14:33">
      <c r="N13" s="14">
        <v>60827.5</v>
      </c>
      <c r="O13" s="14" t="e">
        <f>#REF!-N13</f>
        <v>#REF!</v>
      </c>
      <c r="P13" s="14">
        <v>3510</v>
      </c>
      <c r="Q13" s="14" t="e">
        <f>+#REF!-P13</f>
        <v>#REF!</v>
      </c>
      <c r="R13" s="14"/>
      <c r="S13" s="14"/>
      <c r="T13" s="14"/>
      <c r="U13" s="34"/>
    </row>
    <row r="14" spans="14:33">
      <c r="N14" s="14">
        <v>64547.5</v>
      </c>
      <c r="O14" s="14" t="e">
        <f>#REF!-N14</f>
        <v>#REF!</v>
      </c>
      <c r="P14" s="14">
        <v>2250</v>
      </c>
      <c r="Q14" s="14" t="e">
        <f>+#REF!-P14</f>
        <v>#REF!</v>
      </c>
      <c r="R14" s="14"/>
      <c r="S14" s="14"/>
      <c r="T14" s="14"/>
    </row>
    <row r="15" spans="14:33">
      <c r="N15" s="14">
        <v>66287.5</v>
      </c>
      <c r="O15" s="14" t="e">
        <f>#REF!-N15</f>
        <v>#REF!</v>
      </c>
      <c r="P15" s="14">
        <v>2760</v>
      </c>
      <c r="Q15" s="14" t="e">
        <f>+#REF!-P15</f>
        <v>#REF!</v>
      </c>
      <c r="R15" s="14"/>
      <c r="S15" s="14"/>
      <c r="T15" s="14"/>
    </row>
    <row r="16" spans="14:33">
      <c r="N16" s="14">
        <v>69587.5</v>
      </c>
      <c r="O16" s="14" t="e">
        <f>#REF!-N16</f>
        <v>#REF!</v>
      </c>
      <c r="P16" s="14">
        <v>2610</v>
      </c>
      <c r="Q16" s="14" t="e">
        <f>+#REF!-P16</f>
        <v>#REF!</v>
      </c>
      <c r="R16" s="14"/>
      <c r="S16" s="14"/>
      <c r="T16" s="14"/>
    </row>
    <row r="17" spans="14:20">
      <c r="N17" s="14">
        <v>71387.5</v>
      </c>
      <c r="O17" s="14" t="e">
        <f>#REF!-N17</f>
        <v>#REF!</v>
      </c>
      <c r="P17" s="14">
        <v>60</v>
      </c>
      <c r="Q17" s="14" t="e">
        <f>+#REF!-P17</f>
        <v>#REF!</v>
      </c>
      <c r="R17" s="14"/>
      <c r="S17" s="14"/>
      <c r="T17" s="14"/>
    </row>
    <row r="18" spans="14:20">
      <c r="N18" s="14">
        <v>69827.5</v>
      </c>
      <c r="O18" s="14" t="e">
        <f>#REF!-N18</f>
        <v>#REF!</v>
      </c>
      <c r="P18" s="14">
        <v>1560</v>
      </c>
      <c r="Q18" s="14" t="e">
        <f>+#REF!-P18</f>
        <v>#REF!</v>
      </c>
      <c r="R18" s="14"/>
      <c r="S18" s="14"/>
      <c r="T18" s="14"/>
    </row>
    <row r="19" spans="14:20">
      <c r="N19" s="14">
        <v>66767.5</v>
      </c>
      <c r="O19" s="14" t="e">
        <f>#REF!-N19</f>
        <v>#REF!</v>
      </c>
      <c r="P19" s="14">
        <v>3060</v>
      </c>
      <c r="Q19" s="14" t="e">
        <f>+#REF!-P19</f>
        <v>#REF!</v>
      </c>
      <c r="R19" s="14"/>
      <c r="S19" s="14"/>
      <c r="T19" s="14"/>
    </row>
    <row r="20" spans="14:20">
      <c r="N20" s="14">
        <v>66557.5</v>
      </c>
      <c r="O20" s="14" t="e">
        <f>#REF!-N20</f>
        <v>#REF!</v>
      </c>
      <c r="P20" s="14">
        <v>2670</v>
      </c>
      <c r="Q20" s="14" t="e">
        <f>+#REF!-P20</f>
        <v>#REF!</v>
      </c>
      <c r="R20" s="14"/>
      <c r="S20" s="14"/>
      <c r="T20" s="14"/>
    </row>
    <row r="21" spans="14:20">
      <c r="N21" s="14">
        <v>68777.5</v>
      </c>
      <c r="O21" s="14" t="e">
        <f>#REF!-N21</f>
        <v>#REF!</v>
      </c>
      <c r="P21" s="14">
        <v>1020</v>
      </c>
      <c r="Q21" s="14" t="e">
        <f>+#REF!-P21</f>
        <v>#REF!</v>
      </c>
      <c r="R21" s="14"/>
      <c r="S21" s="14"/>
      <c r="T21" s="14"/>
    </row>
    <row r="22" spans="14:20">
      <c r="N22" s="14">
        <v>60107.5</v>
      </c>
      <c r="O22" s="14" t="e">
        <f>#REF!-N22</f>
        <v>#REF!</v>
      </c>
      <c r="P22" s="14">
        <v>3900</v>
      </c>
      <c r="Q22" s="14" t="e">
        <f>+#REF!-P22</f>
        <v>#REF!</v>
      </c>
      <c r="R22" s="14"/>
      <c r="S22" s="14"/>
      <c r="T22" s="14"/>
    </row>
    <row r="23" spans="14:20">
      <c r="N23" s="14">
        <v>60767.5</v>
      </c>
      <c r="O23" s="14" t="e">
        <f>#REF!-N23</f>
        <v>#REF!</v>
      </c>
      <c r="P23" s="14">
        <v>3390</v>
      </c>
      <c r="Q23" s="14" t="e">
        <f>+#REF!-P23</f>
        <v>#REF!</v>
      </c>
      <c r="R23" s="14"/>
      <c r="S23" s="14"/>
      <c r="T23" s="14"/>
    </row>
    <row r="24" spans="14:20">
      <c r="N24" s="14"/>
      <c r="O24" s="14" t="e">
        <f>#REF!-N24</f>
        <v>#REF!</v>
      </c>
      <c r="P24" s="14">
        <v>870</v>
      </c>
      <c r="Q24" s="14" t="e">
        <f>+#REF!-P24</f>
        <v>#REF!</v>
      </c>
      <c r="R24" s="14"/>
      <c r="S24" s="14"/>
      <c r="T24" s="14"/>
    </row>
    <row r="25" spans="14:20">
      <c r="N25" s="14"/>
      <c r="O25" s="14" t="e">
        <f>#REF!-N25</f>
        <v>#REF!</v>
      </c>
      <c r="P25" s="14">
        <v>1200</v>
      </c>
      <c r="Q25" s="14" t="e">
        <f>+#REF!-P25</f>
        <v>#REF!</v>
      </c>
      <c r="R25" s="14"/>
      <c r="S25" s="14"/>
      <c r="T25" s="14"/>
    </row>
    <row r="26" spans="14:20">
      <c r="N26" s="14"/>
      <c r="O26" s="14" t="e">
        <f>#REF!-N26</f>
        <v>#REF!</v>
      </c>
      <c r="P26" s="14">
        <v>4470</v>
      </c>
      <c r="Q26" s="14" t="e">
        <f>+#REF!-P26</f>
        <v>#REF!</v>
      </c>
      <c r="R26" s="14"/>
      <c r="S26" s="14"/>
      <c r="T26" s="14"/>
    </row>
    <row r="27" spans="14:20">
      <c r="N27" s="14"/>
      <c r="O27" s="14" t="e">
        <f>#REF!-N27</f>
        <v>#REF!</v>
      </c>
      <c r="P27" s="14">
        <v>2760</v>
      </c>
      <c r="Q27" s="14" t="e">
        <f>+#REF!-P27</f>
        <v>#REF!</v>
      </c>
      <c r="R27" s="14"/>
      <c r="S27" s="14"/>
      <c r="T27" s="14"/>
    </row>
    <row r="28" spans="14:20">
      <c r="N28" s="14"/>
      <c r="O28" s="14" t="e">
        <f>#REF!-N28</f>
        <v>#REF!</v>
      </c>
      <c r="P28" s="14">
        <v>2430</v>
      </c>
      <c r="Q28" s="14" t="e">
        <f>+#REF!-P28</f>
        <v>#REF!</v>
      </c>
      <c r="R28" s="14"/>
      <c r="S28" s="14"/>
      <c r="T28" s="14"/>
    </row>
    <row r="29" spans="14:20">
      <c r="N29" s="14"/>
      <c r="O29" s="14" t="e">
        <f>#REF!-N29</f>
        <v>#REF!</v>
      </c>
      <c r="P29" s="14">
        <v>3390</v>
      </c>
      <c r="Q29" s="14" t="e">
        <f>+#REF!-P29</f>
        <v>#REF!</v>
      </c>
      <c r="R29" s="14"/>
      <c r="S29" s="14"/>
      <c r="T29" s="14"/>
    </row>
    <row r="30" spans="14:20">
      <c r="N30" s="14"/>
      <c r="O30" s="14" t="e">
        <f>#REF!-N30</f>
        <v>#REF!</v>
      </c>
      <c r="P30" s="14">
        <v>1380</v>
      </c>
      <c r="Q30" s="14" t="e">
        <f>+#REF!-P30</f>
        <v>#REF!</v>
      </c>
      <c r="R30" s="14"/>
      <c r="S30" s="14"/>
      <c r="T30" s="14"/>
    </row>
    <row r="31" spans="14:20">
      <c r="N31" s="14"/>
      <c r="O31" s="14" t="e">
        <f>#REF!-N31</f>
        <v>#REF!</v>
      </c>
      <c r="P31" s="14">
        <v>3000</v>
      </c>
      <c r="Q31" s="14" t="e">
        <f>+#REF!-P31</f>
        <v>#REF!</v>
      </c>
      <c r="R31" s="14"/>
      <c r="S31" s="14"/>
      <c r="T31" s="14"/>
    </row>
    <row r="32" spans="14:20">
      <c r="N32" s="14"/>
      <c r="O32" s="14" t="e">
        <f>#REF!-N32</f>
        <v>#REF!</v>
      </c>
      <c r="P32" s="14">
        <v>2610</v>
      </c>
      <c r="Q32" s="14" t="e">
        <f>+#REF!-P32</f>
        <v>#REF!</v>
      </c>
      <c r="R32" s="14"/>
      <c r="S32" s="14"/>
      <c r="T32" s="14"/>
    </row>
    <row r="33" spans="2:20">
      <c r="N33" s="14"/>
      <c r="O33" s="14"/>
      <c r="P33" s="124">
        <f>SUM(P3:P32)</f>
        <v>86940</v>
      </c>
      <c r="Q33" s="124" t="e">
        <f>SUM(Q3:Q32)</f>
        <v>#REF!</v>
      </c>
      <c r="R33" s="14"/>
      <c r="S33" s="14"/>
      <c r="T33" s="14"/>
    </row>
    <row r="34" spans="2:20">
      <c r="B34" s="14"/>
      <c r="C34" s="14"/>
      <c r="D34" s="14">
        <v>104100</v>
      </c>
      <c r="E34" s="14"/>
      <c r="F34" s="14"/>
      <c r="G34" s="14">
        <v>86940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2:20">
      <c r="B35" s="14"/>
      <c r="C35" s="14"/>
      <c r="D35" s="14" t="e">
        <f>#REF!-D34</f>
        <v>#REF!</v>
      </c>
      <c r="E35" s="14"/>
      <c r="F35" s="14"/>
      <c r="G35" s="14" t="e">
        <f>#REF!-G34</f>
        <v>#REF!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>
        <f>SUM(R3:R34)</f>
        <v>9840</v>
      </c>
      <c r="S35" s="14"/>
      <c r="T35" s="14">
        <f>SUM(T3:T34)</f>
        <v>452640</v>
      </c>
    </row>
    <row r="36" spans="2:20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9" spans="2:20">
      <c r="G39" s="14"/>
    </row>
  </sheetData>
  <pageMargins left="0.75" right="0.75" top="1" bottom="1" header="0.51180555555555596" footer="0.51180555555555596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82"/>
  <sheetViews>
    <sheetView workbookViewId="0"/>
  </sheetViews>
  <sheetFormatPr defaultColWidth="9" defaultRowHeight="12.75"/>
  <cols>
    <col min="1" max="1" width="11.85546875" style="140" customWidth="1"/>
    <col min="2" max="2" width="13" style="140" customWidth="1"/>
    <col min="3" max="3" width="12.42578125" style="140" bestFit="1" customWidth="1"/>
    <col min="4" max="4" width="10.140625" style="140" customWidth="1"/>
    <col min="5" max="5" width="12.28515625" style="140" customWidth="1"/>
    <col min="6" max="6" width="13.140625" style="140" customWidth="1"/>
    <col min="7" max="7" width="16.85546875" style="140" customWidth="1"/>
    <col min="8" max="8" width="15" style="140" customWidth="1"/>
    <col min="9" max="9" width="11" style="140" bestFit="1" customWidth="1"/>
    <col min="10" max="11" width="11.42578125" style="140" customWidth="1"/>
    <col min="12" max="12" width="11.7109375" style="140" customWidth="1"/>
    <col min="13" max="15" width="11.42578125" style="140" customWidth="1"/>
    <col min="16" max="16" width="11" style="140" bestFit="1" customWidth="1"/>
    <col min="17" max="17" width="12.42578125" style="140" bestFit="1" customWidth="1"/>
    <col min="18" max="18" width="6.85546875" style="140" customWidth="1"/>
    <col min="19" max="19" width="14.140625" style="140" customWidth="1"/>
    <col min="20" max="20" width="11.140625" style="140" customWidth="1"/>
    <col min="21" max="22" width="12.42578125" style="140" bestFit="1" customWidth="1"/>
    <col min="23" max="23" width="16.5703125" style="140" customWidth="1"/>
    <col min="24" max="24" width="12.42578125" style="140" bestFit="1" customWidth="1"/>
    <col min="25" max="26" width="14" style="140" customWidth="1"/>
    <col min="27" max="30" width="9" style="140"/>
    <col min="31" max="31" width="11.5703125" style="140" bestFit="1" customWidth="1"/>
    <col min="32" max="32" width="10" style="140" bestFit="1" customWidth="1"/>
    <col min="33" max="16384" width="9" style="140"/>
  </cols>
  <sheetData>
    <row r="1" spans="13:32" s="273" customFormat="1"/>
    <row r="2" spans="13:32">
      <c r="M2" s="124">
        <v>172600</v>
      </c>
      <c r="N2" s="124" t="e">
        <f>(+#REF!-M2)+0</f>
        <v>#REF!</v>
      </c>
      <c r="O2" s="124"/>
      <c r="P2" s="124"/>
      <c r="Q2" s="124">
        <v>298058.04000000004</v>
      </c>
      <c r="R2" s="124">
        <v>71.410138364622853</v>
      </c>
      <c r="S2" s="124">
        <f>+Q2*R2</f>
        <v>21284365.877088297</v>
      </c>
      <c r="W2" s="273"/>
      <c r="X2" s="273"/>
      <c r="Y2" s="273"/>
      <c r="Z2" s="273"/>
      <c r="AC2" s="140" t="s">
        <v>386</v>
      </c>
      <c r="AD2" s="39">
        <v>183106.85000000003</v>
      </c>
      <c r="AE2" s="39" t="e">
        <f>+#REF!</f>
        <v>#REF!</v>
      </c>
      <c r="AF2" s="39" t="e">
        <f>+AD2-AE2</f>
        <v>#REF!</v>
      </c>
    </row>
    <row r="3" spans="13:32">
      <c r="M3" s="124">
        <v>264200</v>
      </c>
      <c r="N3" s="124" t="e">
        <f>+#REF!-M3</f>
        <v>#REF!</v>
      </c>
      <c r="O3" s="124">
        <v>13650</v>
      </c>
      <c r="P3" s="124" t="e">
        <f>+#REF!-O3</f>
        <v>#REF!</v>
      </c>
      <c r="Q3" s="124">
        <v>24750</v>
      </c>
      <c r="R3" s="20">
        <v>70.295000000000002</v>
      </c>
      <c r="S3" s="124">
        <f>+Q3*R3</f>
        <v>1739801.25</v>
      </c>
      <c r="T3" s="26">
        <v>43953</v>
      </c>
      <c r="W3" s="273" t="s">
        <v>63</v>
      </c>
      <c r="X3" s="273">
        <f>Q2</f>
        <v>298058.04000000004</v>
      </c>
      <c r="Y3" s="273">
        <f>R2</f>
        <v>71.410138364622853</v>
      </c>
      <c r="Z3" s="273">
        <f>X3*Y3</f>
        <v>21284365.877088297</v>
      </c>
      <c r="AC3" s="140" t="s">
        <v>387</v>
      </c>
      <c r="AD3" s="39">
        <v>-288500</v>
      </c>
      <c r="AE3" s="39" t="e">
        <f>-#REF!</f>
        <v>#REF!</v>
      </c>
      <c r="AF3" s="39" t="e">
        <f>+AD3-AE3</f>
        <v>#REF!</v>
      </c>
    </row>
    <row r="4" spans="13:32">
      <c r="M4" s="124">
        <v>313475</v>
      </c>
      <c r="N4" s="124" t="e">
        <f>+#REF!-M4</f>
        <v>#REF!</v>
      </c>
      <c r="O4" s="124">
        <v>11700</v>
      </c>
      <c r="P4" s="124" t="e">
        <f>+#REF!-O4</f>
        <v>#REF!</v>
      </c>
      <c r="Q4" s="124">
        <v>24750</v>
      </c>
      <c r="R4" s="20">
        <v>70.295000000000002</v>
      </c>
      <c r="S4" s="124">
        <f t="shared" ref="S4:S35" si="0">+Q4*R4</f>
        <v>1739801.25</v>
      </c>
      <c r="T4" s="26">
        <v>43953</v>
      </c>
      <c r="W4" s="273" t="s">
        <v>61</v>
      </c>
      <c r="X4" s="272">
        <f>SUM(Q3:Q68)</f>
        <v>817000</v>
      </c>
      <c r="Y4" s="273">
        <f>Z4/X4</f>
        <v>63.497343176254589</v>
      </c>
      <c r="Z4" s="272">
        <f>SUM(S3:S68)</f>
        <v>51877329.375</v>
      </c>
      <c r="AC4" s="140" t="s">
        <v>61</v>
      </c>
      <c r="AD4" s="39">
        <f>503500+413625</f>
        <v>917125</v>
      </c>
      <c r="AE4" s="39" t="e">
        <f>+#REF!</f>
        <v>#REF!</v>
      </c>
      <c r="AF4" s="39" t="e">
        <f>+AD4-AE4</f>
        <v>#REF!</v>
      </c>
    </row>
    <row r="5" spans="13:32">
      <c r="M5" s="124">
        <v>298300</v>
      </c>
      <c r="N5" s="124" t="e">
        <f>+#REF!-M5</f>
        <v>#REF!</v>
      </c>
      <c r="O5" s="124">
        <v>13275</v>
      </c>
      <c r="P5" s="124" t="e">
        <f>+#REF!-O5</f>
        <v>#REF!</v>
      </c>
      <c r="Q5" s="124">
        <v>24750</v>
      </c>
      <c r="R5" s="20">
        <v>70.295000000000002</v>
      </c>
      <c r="S5" s="124">
        <f t="shared" si="0"/>
        <v>1739801.25</v>
      </c>
      <c r="T5" s="26">
        <v>43953</v>
      </c>
      <c r="W5" s="273" t="s">
        <v>281</v>
      </c>
      <c r="X5" s="272" t="e">
        <f>-#REF!</f>
        <v>#REF!</v>
      </c>
      <c r="Y5" s="272">
        <f>R77</f>
        <v>65.612454802880293</v>
      </c>
      <c r="Z5" s="273" t="e">
        <f>X5*Y5</f>
        <v>#REF!</v>
      </c>
      <c r="AC5" s="140" t="s">
        <v>388</v>
      </c>
      <c r="AD5" s="39">
        <f>-192767-10200-413625</f>
        <v>-616592</v>
      </c>
      <c r="AE5" s="39" t="e">
        <f>-#REF!-#REF!</f>
        <v>#REF!</v>
      </c>
      <c r="AF5" s="39" t="e">
        <f>+AD5-AE5</f>
        <v>#REF!</v>
      </c>
    </row>
    <row r="6" spans="13:32">
      <c r="M6" s="124">
        <v>276300</v>
      </c>
      <c r="N6" s="124" t="e">
        <f>+#REF!-M6</f>
        <v>#REF!</v>
      </c>
      <c r="O6" s="124">
        <v>11750</v>
      </c>
      <c r="P6" s="124" t="e">
        <f>+#REF!-O6</f>
        <v>#REF!</v>
      </c>
      <c r="Q6" s="124">
        <v>24750</v>
      </c>
      <c r="R6" s="20">
        <v>70.295000000000002</v>
      </c>
      <c r="S6" s="124">
        <f t="shared" si="0"/>
        <v>1739801.25</v>
      </c>
      <c r="T6" s="26">
        <v>43953</v>
      </c>
      <c r="W6" s="273" t="s">
        <v>248</v>
      </c>
      <c r="X6" s="272" t="e">
        <f>SUM(X3:X5)</f>
        <v>#REF!</v>
      </c>
      <c r="Y6" s="273" t="e">
        <f>Z6/X6</f>
        <v>#REF!</v>
      </c>
      <c r="Z6" s="272" t="e">
        <f>SUM(Z3:Z5)</f>
        <v>#REF!</v>
      </c>
      <c r="AD6" s="39"/>
      <c r="AE6" s="39"/>
      <c r="AF6" s="39"/>
    </row>
    <row r="7" spans="13:32">
      <c r="M7" s="124">
        <v>257050</v>
      </c>
      <c r="N7" s="124" t="e">
        <f>+#REF!-M7</f>
        <v>#REF!</v>
      </c>
      <c r="O7" s="124">
        <v>12075</v>
      </c>
      <c r="P7" s="124" t="e">
        <f>+#REF!-O7</f>
        <v>#REF!</v>
      </c>
      <c r="Q7" s="17">
        <v>31000</v>
      </c>
      <c r="R7" s="20">
        <v>60.01</v>
      </c>
      <c r="S7" s="124">
        <f t="shared" si="0"/>
        <v>1860310</v>
      </c>
      <c r="T7" s="26">
        <v>43953</v>
      </c>
      <c r="V7" s="124"/>
      <c r="W7" s="272"/>
      <c r="X7" s="273"/>
      <c r="Y7" s="273"/>
      <c r="Z7" s="273"/>
      <c r="AD7" s="39">
        <f>SUM(AD2:AD6)</f>
        <v>195139.85000000009</v>
      </c>
      <c r="AE7" s="39" t="e">
        <f>SUM(AE2:AE6)</f>
        <v>#REF!</v>
      </c>
      <c r="AF7" s="39" t="e">
        <f>SUM(AF2:AF6)</f>
        <v>#REF!</v>
      </c>
    </row>
    <row r="8" spans="13:32">
      <c r="M8" s="124">
        <v>266900</v>
      </c>
      <c r="N8" s="124" t="e">
        <f>+#REF!-M8</f>
        <v>#REF!</v>
      </c>
      <c r="O8" s="124">
        <v>11250</v>
      </c>
      <c r="P8" s="124" t="e">
        <f>+#REF!-O8</f>
        <v>#REF!</v>
      </c>
      <c r="Q8" s="17">
        <v>30000</v>
      </c>
      <c r="R8" s="20">
        <v>60.01</v>
      </c>
      <c r="S8" s="124">
        <f t="shared" si="0"/>
        <v>1800300</v>
      </c>
      <c r="T8" s="26">
        <v>43954</v>
      </c>
      <c r="V8" s="124"/>
      <c r="W8" s="272"/>
      <c r="X8" s="273"/>
      <c r="Y8" s="273"/>
      <c r="Z8" s="273"/>
      <c r="AD8" s="39"/>
      <c r="AE8" s="39"/>
      <c r="AF8" s="39"/>
    </row>
    <row r="9" spans="13:32">
      <c r="M9" s="124">
        <v>247825</v>
      </c>
      <c r="N9" s="124" t="e">
        <f>+#REF!-M9</f>
        <v>#REF!</v>
      </c>
      <c r="O9" s="124">
        <v>10725</v>
      </c>
      <c r="P9" s="124" t="e">
        <f>+#REF!-O9</f>
        <v>#REF!</v>
      </c>
      <c r="Q9" s="124">
        <v>31000</v>
      </c>
      <c r="R9" s="20">
        <v>60.01</v>
      </c>
      <c r="S9" s="124">
        <f t="shared" si="0"/>
        <v>1860310</v>
      </c>
      <c r="T9" s="26">
        <v>43954</v>
      </c>
      <c r="V9" s="124"/>
      <c r="W9" s="272"/>
      <c r="X9" s="273"/>
      <c r="Y9" s="273"/>
      <c r="Z9" s="273"/>
      <c r="AD9" s="39"/>
      <c r="AE9" s="39"/>
      <c r="AF9" s="39"/>
    </row>
    <row r="10" spans="13:32">
      <c r="M10" s="124">
        <v>240950</v>
      </c>
      <c r="N10" s="124" t="e">
        <f>+#REF!-M10</f>
        <v>#REF!</v>
      </c>
      <c r="O10" s="124">
        <v>8500</v>
      </c>
      <c r="P10" s="124" t="e">
        <f>+#REF!-O10</f>
        <v>#REF!</v>
      </c>
      <c r="Q10" s="124">
        <v>31000</v>
      </c>
      <c r="R10" s="20">
        <v>66.08</v>
      </c>
      <c r="S10" s="124">
        <f t="shared" si="0"/>
        <v>2048480</v>
      </c>
      <c r="T10" s="26">
        <v>43958</v>
      </c>
      <c r="V10" s="124"/>
      <c r="W10" s="272"/>
      <c r="X10" s="273"/>
      <c r="Y10" s="273"/>
      <c r="Z10" s="273"/>
    </row>
    <row r="11" spans="13:32">
      <c r="M11" s="124">
        <v>218050</v>
      </c>
      <c r="N11" s="124" t="e">
        <f>+#REF!-M11</f>
        <v>#REF!</v>
      </c>
      <c r="O11" s="124">
        <v>11900</v>
      </c>
      <c r="P11" s="124" t="e">
        <f>+#REF!-O11</f>
        <v>#REF!</v>
      </c>
      <c r="Q11" s="124">
        <v>31000</v>
      </c>
      <c r="R11" s="20">
        <v>60.01</v>
      </c>
      <c r="S11" s="124">
        <f t="shared" si="0"/>
        <v>1860310</v>
      </c>
      <c r="T11" s="26">
        <v>43962</v>
      </c>
      <c r="V11" s="124"/>
      <c r="W11" s="272"/>
      <c r="X11" s="273"/>
      <c r="Y11" s="273"/>
      <c r="Z11" s="273"/>
    </row>
    <row r="12" spans="13:32">
      <c r="M12" s="124">
        <v>251725</v>
      </c>
      <c r="N12" s="124" t="e">
        <f>+#REF!-M12</f>
        <v>#REF!</v>
      </c>
      <c r="O12" s="124">
        <v>8050</v>
      </c>
      <c r="P12" s="124" t="e">
        <f>+#REF!-O12</f>
        <v>#REF!</v>
      </c>
      <c r="Q12" s="124">
        <v>31000</v>
      </c>
      <c r="R12" s="20">
        <v>60.01</v>
      </c>
      <c r="S12" s="124">
        <f t="shared" si="0"/>
        <v>1860310</v>
      </c>
      <c r="T12" s="26">
        <v>43962</v>
      </c>
      <c r="V12" s="124"/>
      <c r="W12" s="272"/>
      <c r="X12" s="273"/>
      <c r="Y12" s="273"/>
      <c r="Z12" s="273"/>
    </row>
    <row r="13" spans="13:32">
      <c r="M13" s="124">
        <v>242500</v>
      </c>
      <c r="N13" s="124" t="e">
        <f>+#REF!-M13</f>
        <v>#REF!</v>
      </c>
      <c r="O13" s="124">
        <v>10575</v>
      </c>
      <c r="P13" s="124" t="e">
        <f>+#REF!-O13</f>
        <v>#REF!</v>
      </c>
      <c r="Q13" s="124">
        <v>31000</v>
      </c>
      <c r="R13" s="20">
        <v>66.08</v>
      </c>
      <c r="S13" s="124">
        <f t="shared" si="0"/>
        <v>2048480</v>
      </c>
      <c r="T13" s="26">
        <v>43964</v>
      </c>
      <c r="V13" s="124"/>
      <c r="W13" s="272"/>
      <c r="X13" s="273"/>
      <c r="Y13" s="273"/>
      <c r="Z13" s="273"/>
    </row>
    <row r="14" spans="13:32">
      <c r="M14" s="124">
        <v>287800</v>
      </c>
      <c r="N14" s="124" t="e">
        <f>+#REF!-M14</f>
        <v>#REF!</v>
      </c>
      <c r="O14" s="124">
        <v>7200</v>
      </c>
      <c r="P14" s="124" t="e">
        <f>+#REF!-O14</f>
        <v>#REF!</v>
      </c>
      <c r="Q14" s="124">
        <v>31000</v>
      </c>
      <c r="R14" s="20">
        <v>66.08</v>
      </c>
      <c r="S14" s="124">
        <f>+Q14*R14</f>
        <v>2048480</v>
      </c>
      <c r="T14" s="26">
        <v>43964</v>
      </c>
      <c r="V14" s="124"/>
      <c r="W14" s="272"/>
      <c r="X14" s="273"/>
      <c r="Y14" s="273"/>
      <c r="Z14" s="273"/>
    </row>
    <row r="15" spans="13:32">
      <c r="M15" s="124">
        <v>347600</v>
      </c>
      <c r="N15" s="124" t="e">
        <f>+#REF!-M15</f>
        <v>#REF!</v>
      </c>
      <c r="O15" s="124">
        <v>8250</v>
      </c>
      <c r="P15" s="124" t="e">
        <f>+#REF!-O15</f>
        <v>#REF!</v>
      </c>
      <c r="Q15" s="124">
        <v>24750</v>
      </c>
      <c r="R15" s="20">
        <v>69.053749999999994</v>
      </c>
      <c r="S15" s="124">
        <f>+Q15*R15</f>
        <v>1709080.3124999998</v>
      </c>
      <c r="T15" s="26">
        <v>43964</v>
      </c>
      <c r="V15" s="124"/>
      <c r="W15" s="272"/>
      <c r="X15" s="273"/>
      <c r="Y15" s="273"/>
      <c r="Z15" s="273"/>
    </row>
    <row r="16" spans="13:32">
      <c r="M16" s="124">
        <v>293350</v>
      </c>
      <c r="N16" s="124" t="e">
        <f>+#REF!-M16</f>
        <v>#REF!</v>
      </c>
      <c r="O16" s="124">
        <v>7175</v>
      </c>
      <c r="P16" s="124" t="e">
        <f>+#REF!-O16</f>
        <v>#REF!</v>
      </c>
      <c r="Q16" s="124">
        <v>24750</v>
      </c>
      <c r="R16" s="20">
        <v>69.053749999999994</v>
      </c>
      <c r="S16" s="124">
        <f>+Q16*R16</f>
        <v>1709080.3124999998</v>
      </c>
      <c r="T16" s="26">
        <v>43964</v>
      </c>
      <c r="V16" s="124"/>
      <c r="W16" s="272"/>
      <c r="X16" s="273"/>
      <c r="Y16" s="273"/>
      <c r="Z16" s="273"/>
    </row>
    <row r="17" spans="13:26">
      <c r="M17" s="124">
        <v>290200</v>
      </c>
      <c r="N17" s="124" t="e">
        <f>+#REF!-M17</f>
        <v>#REF!</v>
      </c>
      <c r="O17" s="124">
        <v>1450</v>
      </c>
      <c r="P17" s="124" t="e">
        <f>+#REF!-O17</f>
        <v>#REF!</v>
      </c>
      <c r="Q17" s="124">
        <v>24000</v>
      </c>
      <c r="R17" s="20">
        <v>66.08</v>
      </c>
      <c r="S17" s="124">
        <f t="shared" si="0"/>
        <v>1585920</v>
      </c>
      <c r="T17" s="26">
        <v>43965</v>
      </c>
      <c r="V17" s="124"/>
      <c r="W17" s="273"/>
      <c r="X17" s="273"/>
      <c r="Y17" s="273"/>
      <c r="Z17" s="273"/>
    </row>
    <row r="18" spans="13:26">
      <c r="M18" s="124">
        <v>282650</v>
      </c>
      <c r="N18" s="124" t="e">
        <f>+#REF!-M18</f>
        <v>#REF!</v>
      </c>
      <c r="O18" s="124">
        <v>7550</v>
      </c>
      <c r="P18" s="124" t="e">
        <f>+#REF!-O18</f>
        <v>#REF!</v>
      </c>
      <c r="Q18" s="124">
        <v>7000</v>
      </c>
      <c r="R18" s="20">
        <v>66.08</v>
      </c>
      <c r="S18" s="124">
        <f t="shared" si="0"/>
        <v>462560</v>
      </c>
      <c r="T18" s="26">
        <v>43965</v>
      </c>
      <c r="W18" s="273"/>
      <c r="X18" s="273"/>
      <c r="Y18" s="273"/>
      <c r="Z18" s="273"/>
    </row>
    <row r="19" spans="13:26">
      <c r="M19" s="124">
        <v>273850</v>
      </c>
      <c r="N19" s="124" t="e">
        <f>+#REF!-M19</f>
        <v>#REF!</v>
      </c>
      <c r="O19" s="124">
        <v>9250</v>
      </c>
      <c r="P19" s="124" t="e">
        <f>+#REF!-O19</f>
        <v>#REF!</v>
      </c>
      <c r="Q19" s="124">
        <v>31000</v>
      </c>
      <c r="R19" s="20">
        <v>66.08</v>
      </c>
      <c r="S19" s="124">
        <f t="shared" si="0"/>
        <v>2048480</v>
      </c>
      <c r="T19" s="26">
        <v>43965</v>
      </c>
      <c r="W19" s="273"/>
      <c r="X19" s="273"/>
      <c r="Y19" s="273"/>
      <c r="Z19" s="273"/>
    </row>
    <row r="20" spans="13:26">
      <c r="M20" s="124">
        <v>266450</v>
      </c>
      <c r="N20" s="124" t="e">
        <f>+#REF!-M20</f>
        <v>#REF!</v>
      </c>
      <c r="O20" s="124">
        <v>7400</v>
      </c>
      <c r="P20" s="124" t="e">
        <f>+#REF!-O20</f>
        <v>#REF!</v>
      </c>
      <c r="Q20" s="124">
        <v>31000</v>
      </c>
      <c r="R20" s="20">
        <v>66.08</v>
      </c>
      <c r="S20" s="124">
        <f t="shared" si="0"/>
        <v>2048480</v>
      </c>
      <c r="T20" s="26">
        <v>43965</v>
      </c>
      <c r="W20" s="273"/>
      <c r="X20" s="273"/>
      <c r="Y20" s="273"/>
      <c r="Z20" s="273"/>
    </row>
    <row r="21" spans="13:26">
      <c r="M21" s="124">
        <v>256925</v>
      </c>
      <c r="N21" s="124" t="e">
        <f>+#REF!-M21</f>
        <v>#REF!</v>
      </c>
      <c r="O21" s="124">
        <v>9700</v>
      </c>
      <c r="P21" s="124" t="e">
        <f>+#REF!-O21</f>
        <v>#REF!</v>
      </c>
      <c r="Q21" s="124">
        <v>31000</v>
      </c>
      <c r="R21" s="20">
        <v>66.08</v>
      </c>
      <c r="S21" s="124">
        <f t="shared" si="0"/>
        <v>2048480</v>
      </c>
      <c r="T21" s="26">
        <v>43965</v>
      </c>
      <c r="U21" s="124"/>
      <c r="V21" s="124"/>
    </row>
    <row r="22" spans="13:26">
      <c r="M22" s="124">
        <v>236700</v>
      </c>
      <c r="N22" s="124" t="e">
        <f>+#REF!-M22</f>
        <v>#REF!</v>
      </c>
      <c r="O22" s="124">
        <v>10225</v>
      </c>
      <c r="P22" s="124" t="e">
        <f>+#REF!-O22</f>
        <v>#REF!</v>
      </c>
      <c r="Q22" s="124">
        <v>31000</v>
      </c>
      <c r="R22" s="20">
        <v>66.08</v>
      </c>
      <c r="S22" s="124">
        <f t="shared" si="0"/>
        <v>2048480</v>
      </c>
      <c r="T22" s="26">
        <v>43965</v>
      </c>
      <c r="U22" s="124"/>
    </row>
    <row r="23" spans="13:26">
      <c r="M23" s="124">
        <v>250450</v>
      </c>
      <c r="N23" s="124" t="e">
        <f>+#REF!-M23</f>
        <v>#REF!</v>
      </c>
      <c r="O23" s="124">
        <v>9700</v>
      </c>
      <c r="P23" s="124" t="e">
        <f>+#REF!-O23</f>
        <v>#REF!</v>
      </c>
      <c r="Q23" s="124">
        <v>31000</v>
      </c>
      <c r="R23" s="20">
        <v>66.08</v>
      </c>
      <c r="S23" s="124">
        <f t="shared" si="0"/>
        <v>2048480</v>
      </c>
      <c r="T23" s="26">
        <v>43966</v>
      </c>
      <c r="U23" s="124"/>
    </row>
    <row r="24" spans="13:26">
      <c r="M24" s="124">
        <v>264725</v>
      </c>
      <c r="N24" s="124" t="e">
        <f>+#REF!-M24</f>
        <v>#REF!</v>
      </c>
      <c r="O24" s="124">
        <v>7350</v>
      </c>
      <c r="P24" s="124" t="e">
        <f>+#REF!-O24</f>
        <v>#REF!</v>
      </c>
      <c r="Q24" s="124">
        <v>31000</v>
      </c>
      <c r="R24" s="20">
        <v>66.08</v>
      </c>
      <c r="S24" s="124">
        <f t="shared" si="0"/>
        <v>2048480</v>
      </c>
      <c r="T24" s="26">
        <v>43967</v>
      </c>
    </row>
    <row r="25" spans="13:26">
      <c r="M25" s="124">
        <v>255425</v>
      </c>
      <c r="N25" s="124" t="e">
        <f>+#REF!-M25</f>
        <v>#REF!</v>
      </c>
      <c r="O25" s="124">
        <v>9300</v>
      </c>
      <c r="P25" s="124" t="e">
        <f>+#REF!-O25</f>
        <v>#REF!</v>
      </c>
      <c r="Q25" s="124">
        <v>23000</v>
      </c>
      <c r="R25" s="20">
        <v>60.01</v>
      </c>
      <c r="S25" s="124">
        <f t="shared" si="0"/>
        <v>1380230</v>
      </c>
      <c r="T25" s="26">
        <v>43973</v>
      </c>
    </row>
    <row r="26" spans="13:26">
      <c r="M26" s="124">
        <v>227275</v>
      </c>
      <c r="N26" s="124" t="e">
        <f>+#REF!-M26</f>
        <v>#REF!</v>
      </c>
      <c r="O26" s="124">
        <v>10875</v>
      </c>
      <c r="P26" s="124" t="e">
        <f>+#REF!-O26</f>
        <v>#REF!</v>
      </c>
      <c r="Q26" s="124">
        <v>8000</v>
      </c>
      <c r="R26" s="20">
        <v>60.01</v>
      </c>
      <c r="S26" s="124">
        <f t="shared" si="0"/>
        <v>480080</v>
      </c>
      <c r="T26" s="26">
        <v>43974</v>
      </c>
    </row>
    <row r="27" spans="13:26">
      <c r="M27" s="124">
        <v>207950</v>
      </c>
      <c r="N27" s="124" t="e">
        <f>+#REF!-M27</f>
        <v>#REF!</v>
      </c>
      <c r="O27" s="124">
        <v>9975</v>
      </c>
      <c r="P27" s="124" t="e">
        <f>+#REF!-O27</f>
        <v>#REF!</v>
      </c>
      <c r="Q27" s="140">
        <v>1000</v>
      </c>
      <c r="R27" s="140">
        <v>60.01</v>
      </c>
      <c r="S27" s="124">
        <f t="shared" si="0"/>
        <v>60010</v>
      </c>
      <c r="T27" s="26">
        <v>43974</v>
      </c>
    </row>
    <row r="28" spans="13:26">
      <c r="M28" s="124">
        <v>197725</v>
      </c>
      <c r="N28" s="124" t="e">
        <f>+#REF!-M28</f>
        <v>#REF!</v>
      </c>
      <c r="O28" s="124">
        <v>6775</v>
      </c>
      <c r="P28" s="124" t="e">
        <f>+#REF!-O28</f>
        <v>#REF!</v>
      </c>
      <c r="Q28" s="124">
        <v>14000</v>
      </c>
      <c r="R28" s="140">
        <v>60.01</v>
      </c>
      <c r="S28" s="124">
        <f t="shared" si="0"/>
        <v>840140</v>
      </c>
      <c r="T28" s="26">
        <v>43974</v>
      </c>
    </row>
    <row r="29" spans="13:26">
      <c r="M29" s="124">
        <v>176100</v>
      </c>
      <c r="N29" s="124" t="e">
        <f>+#REF!-M29</f>
        <v>#REF!</v>
      </c>
      <c r="O29" s="124">
        <v>11225</v>
      </c>
      <c r="P29" s="124" t="e">
        <f>+#REF!-O29</f>
        <v>#REF!</v>
      </c>
      <c r="Q29" s="140">
        <v>10000</v>
      </c>
      <c r="R29" s="140">
        <v>68.12</v>
      </c>
      <c r="S29" s="124">
        <f t="shared" si="0"/>
        <v>681200</v>
      </c>
      <c r="T29" s="26">
        <v>43975</v>
      </c>
    </row>
    <row r="30" spans="13:26">
      <c r="M30" s="124">
        <v>225175</v>
      </c>
      <c r="N30" s="124" t="e">
        <f>+#REF!-M30</f>
        <v>#REF!</v>
      </c>
      <c r="O30" s="124">
        <v>9875</v>
      </c>
      <c r="P30" s="124" t="e">
        <f>+#REF!-O30</f>
        <v>#REF!</v>
      </c>
      <c r="Q30" s="140">
        <v>24750</v>
      </c>
      <c r="R30" s="140">
        <v>56.107500000000002</v>
      </c>
      <c r="S30" s="124">
        <f t="shared" si="0"/>
        <v>1388660.625</v>
      </c>
      <c r="T30" s="26">
        <v>43980</v>
      </c>
    </row>
    <row r="31" spans="13:26">
      <c r="M31" s="124">
        <v>206725</v>
      </c>
      <c r="N31" s="124" t="e">
        <f>+#REF!-M31</f>
        <v>#REF!</v>
      </c>
      <c r="O31" s="124">
        <v>10050</v>
      </c>
      <c r="P31" s="124" t="e">
        <f>+#REF!-O31</f>
        <v>#REF!</v>
      </c>
      <c r="Q31" s="140">
        <v>24750</v>
      </c>
      <c r="R31" s="140">
        <v>56.107500000000002</v>
      </c>
      <c r="S31" s="124">
        <f t="shared" si="0"/>
        <v>1388660.625</v>
      </c>
      <c r="T31" s="26">
        <v>43980</v>
      </c>
    </row>
    <row r="32" spans="13:26">
      <c r="M32" s="124">
        <v>195900</v>
      </c>
      <c r="N32" s="124" t="e">
        <f>+#REF!-M32</f>
        <v>#REF!</v>
      </c>
      <c r="O32" s="124">
        <v>11725</v>
      </c>
      <c r="P32" s="124" t="e">
        <f>+#REF!-O32</f>
        <v>#REF!</v>
      </c>
      <c r="Q32" s="140">
        <v>24750</v>
      </c>
      <c r="R32" s="140">
        <v>56.107500000000002</v>
      </c>
      <c r="S32" s="124">
        <f t="shared" si="0"/>
        <v>1388660.625</v>
      </c>
      <c r="T32" s="26">
        <v>43980</v>
      </c>
    </row>
    <row r="33" spans="2:20">
      <c r="M33" s="124"/>
      <c r="N33" s="124"/>
      <c r="O33" s="124">
        <f>SUM(O3:O32)</f>
        <v>288500</v>
      </c>
      <c r="P33" s="124" t="e">
        <f>SUM(P3:P32)</f>
        <v>#REF!</v>
      </c>
      <c r="Q33" s="140">
        <v>24750</v>
      </c>
      <c r="R33" s="124">
        <v>56.107500000000002</v>
      </c>
      <c r="S33" s="124">
        <f t="shared" si="0"/>
        <v>1388660.625</v>
      </c>
      <c r="T33" s="26">
        <v>43980</v>
      </c>
    </row>
    <row r="34" spans="2:20">
      <c r="B34" s="124"/>
      <c r="C34" s="124"/>
      <c r="D34" s="124"/>
      <c r="E34" s="124"/>
      <c r="F34" s="124"/>
      <c r="G34" s="124">
        <v>290117.53999999998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>
        <v>24750</v>
      </c>
      <c r="R34" s="124">
        <v>56.107500000000002</v>
      </c>
      <c r="S34" s="124">
        <f t="shared" si="0"/>
        <v>1388660.625</v>
      </c>
      <c r="T34" s="26">
        <v>43981</v>
      </c>
    </row>
    <row r="35" spans="2:20">
      <c r="B35" s="124" t="e">
        <f>+#REF!-B34</f>
        <v>#REF!</v>
      </c>
      <c r="C35" s="124"/>
      <c r="D35" s="124"/>
      <c r="E35" s="124"/>
      <c r="F35" s="124"/>
      <c r="G35" s="124" t="e">
        <f>+#REF!-G34</f>
        <v>#REF!</v>
      </c>
      <c r="H35" s="124"/>
      <c r="I35" s="124"/>
      <c r="J35" s="124"/>
      <c r="K35" s="124"/>
      <c r="L35" s="124" t="e">
        <f>+#REF!-L34</f>
        <v>#REF!</v>
      </c>
      <c r="M35" s="124"/>
      <c r="N35" s="124"/>
      <c r="O35" s="124"/>
      <c r="P35" s="124"/>
      <c r="Q35" s="124">
        <v>24750</v>
      </c>
      <c r="R35" s="124">
        <v>56.107500000000002</v>
      </c>
      <c r="S35" s="124">
        <f t="shared" si="0"/>
        <v>1388660.625</v>
      </c>
      <c r="T35" s="26">
        <v>43981</v>
      </c>
    </row>
    <row r="36" spans="2:20"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26"/>
    </row>
    <row r="37" spans="2:20"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26"/>
    </row>
    <row r="38" spans="2:20"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26"/>
    </row>
    <row r="39" spans="2:20"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26"/>
    </row>
    <row r="40" spans="2:20">
      <c r="B40" s="124"/>
      <c r="C40" s="124"/>
      <c r="D40" s="124"/>
      <c r="E40" s="124"/>
      <c r="F40" s="124" t="e">
        <f>#REF!</f>
        <v>#REF!</v>
      </c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26"/>
    </row>
    <row r="41" spans="2:20">
      <c r="B41" s="124"/>
      <c r="C41" s="124"/>
      <c r="D41" s="124"/>
      <c r="E41" s="124"/>
      <c r="F41" s="124" t="e">
        <f>#REF!</f>
        <v>#REF!</v>
      </c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26"/>
    </row>
    <row r="42" spans="2:20">
      <c r="B42" s="124"/>
      <c r="C42" s="124"/>
      <c r="D42" s="124"/>
      <c r="E42" s="124"/>
      <c r="F42" s="124" t="e">
        <f>#REF!</f>
        <v>#REF!</v>
      </c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26"/>
    </row>
    <row r="43" spans="2:20">
      <c r="B43" s="124"/>
      <c r="C43" s="124"/>
      <c r="D43" s="124"/>
      <c r="E43" s="124"/>
      <c r="F43" s="124" t="e">
        <f>#REF!</f>
        <v>#REF!</v>
      </c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S43" s="124"/>
      <c r="T43" s="26"/>
    </row>
    <row r="44" spans="2:20">
      <c r="B44" s="124"/>
      <c r="C44" s="124"/>
      <c r="D44" s="124"/>
      <c r="E44" s="124"/>
      <c r="F44" s="124" t="e">
        <f>#REF!</f>
        <v>#REF!</v>
      </c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S44" s="124"/>
      <c r="T44" s="26"/>
    </row>
    <row r="45" spans="2:20">
      <c r="B45" s="124"/>
      <c r="C45" s="124"/>
      <c r="D45" s="124"/>
      <c r="E45" s="124"/>
      <c r="F45" s="124" t="e">
        <f>#REF!</f>
        <v>#REF!</v>
      </c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S45" s="124"/>
      <c r="T45" s="26"/>
    </row>
    <row r="46" spans="2:20">
      <c r="B46" s="124"/>
      <c r="C46" s="124"/>
      <c r="D46" s="124"/>
      <c r="E46" s="124"/>
      <c r="F46" s="124" t="e">
        <f>#REF!</f>
        <v>#REF!</v>
      </c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6"/>
    </row>
    <row r="47" spans="2:20">
      <c r="B47" s="124"/>
      <c r="C47" s="124"/>
      <c r="D47" s="124"/>
      <c r="E47" s="124"/>
      <c r="F47" s="124" t="e">
        <f>#REF!</f>
        <v>#REF!</v>
      </c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</row>
    <row r="48" spans="2:20">
      <c r="B48" s="124"/>
      <c r="C48" s="124"/>
      <c r="D48" s="124"/>
      <c r="E48" s="124"/>
      <c r="F48" s="124" t="e">
        <f>#REF!</f>
        <v>#REF!</v>
      </c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</row>
    <row r="49" spans="6:19">
      <c r="F49" s="124" t="e">
        <f>#REF!</f>
        <v>#REF!</v>
      </c>
      <c r="Q49" s="124"/>
      <c r="R49" s="124"/>
      <c r="S49" s="124"/>
    </row>
    <row r="50" spans="6:19">
      <c r="F50" s="124" t="e">
        <f>#REF!</f>
        <v>#REF!</v>
      </c>
      <c r="Q50" s="124"/>
      <c r="R50" s="124"/>
      <c r="S50" s="124"/>
    </row>
    <row r="51" spans="6:19">
      <c r="F51" s="124" t="e">
        <f>#REF!</f>
        <v>#REF!</v>
      </c>
      <c r="Q51" s="124"/>
      <c r="R51" s="124"/>
      <c r="S51" s="124"/>
    </row>
    <row r="52" spans="6:19">
      <c r="F52" s="124" t="e">
        <f>#REF!</f>
        <v>#REF!</v>
      </c>
      <c r="Q52" s="124"/>
      <c r="R52" s="124"/>
      <c r="S52" s="124"/>
    </row>
    <row r="53" spans="6:19">
      <c r="F53" s="124" t="e">
        <f>#REF!</f>
        <v>#REF!</v>
      </c>
      <c r="Q53" s="124"/>
      <c r="R53" s="124"/>
      <c r="S53" s="124"/>
    </row>
    <row r="54" spans="6:19">
      <c r="F54" s="124" t="e">
        <f>#REF!</f>
        <v>#REF!</v>
      </c>
      <c r="Q54" s="124"/>
      <c r="R54" s="124"/>
      <c r="S54" s="124"/>
    </row>
    <row r="55" spans="6:19">
      <c r="F55" s="124" t="e">
        <f>#REF!</f>
        <v>#REF!</v>
      </c>
      <c r="S55" s="124"/>
    </row>
    <row r="56" spans="6:19">
      <c r="F56" s="124" t="e">
        <f>#REF!</f>
        <v>#REF!</v>
      </c>
      <c r="S56" s="124"/>
    </row>
    <row r="57" spans="6:19">
      <c r="F57" s="124" t="e">
        <f>#REF!</f>
        <v>#REF!</v>
      </c>
      <c r="S57" s="124"/>
    </row>
    <row r="58" spans="6:19">
      <c r="F58" s="124" t="e">
        <f>#REF!</f>
        <v>#REF!</v>
      </c>
      <c r="S58" s="124"/>
    </row>
    <row r="59" spans="6:19">
      <c r="F59" s="124" t="e">
        <f>#REF!</f>
        <v>#REF!</v>
      </c>
      <c r="S59" s="124"/>
    </row>
    <row r="60" spans="6:19">
      <c r="F60" s="124" t="e">
        <f>#REF!</f>
        <v>#REF!</v>
      </c>
      <c r="S60" s="124"/>
    </row>
    <row r="61" spans="6:19">
      <c r="F61" s="124" t="e">
        <f>#REF!</f>
        <v>#REF!</v>
      </c>
      <c r="S61" s="124"/>
    </row>
    <row r="62" spans="6:19">
      <c r="F62" s="124" t="e">
        <f>#REF!</f>
        <v>#REF!</v>
      </c>
      <c r="S62" s="124"/>
    </row>
    <row r="63" spans="6:19">
      <c r="F63" s="124" t="e">
        <f>#REF!</f>
        <v>#REF!</v>
      </c>
      <c r="S63" s="124"/>
    </row>
    <row r="64" spans="6:19">
      <c r="F64" s="124" t="e">
        <f>#REF!</f>
        <v>#REF!</v>
      </c>
      <c r="S64" s="124"/>
    </row>
    <row r="65" spans="6:20">
      <c r="F65" s="124" t="e">
        <f>#REF!</f>
        <v>#REF!</v>
      </c>
      <c r="S65" s="124"/>
    </row>
    <row r="66" spans="6:20">
      <c r="F66" s="124" t="e">
        <f>#REF!</f>
        <v>#REF!</v>
      </c>
      <c r="S66" s="124"/>
    </row>
    <row r="67" spans="6:20">
      <c r="F67" s="124" t="e">
        <f>#REF!</f>
        <v>#REF!</v>
      </c>
    </row>
    <row r="68" spans="6:20">
      <c r="F68" s="124" t="e">
        <f>#REF!</f>
        <v>#REF!</v>
      </c>
    </row>
    <row r="69" spans="6:20">
      <c r="F69" s="124" t="e">
        <f>#REF!</f>
        <v>#REF!</v>
      </c>
    </row>
    <row r="70" spans="6:20">
      <c r="F70" s="124" t="e">
        <f>#REF!</f>
        <v>#REF!</v>
      </c>
    </row>
    <row r="75" spans="6:20">
      <c r="Q75" s="124"/>
      <c r="R75" s="20"/>
      <c r="S75" s="124"/>
      <c r="T75" s="26"/>
    </row>
    <row r="76" spans="6:20">
      <c r="Q76" s="124"/>
      <c r="R76" s="20"/>
      <c r="S76" s="124"/>
      <c r="T76" s="26"/>
    </row>
    <row r="77" spans="6:20">
      <c r="Q77" s="124">
        <f>SUM(Q2:Q76)</f>
        <v>1115058.04</v>
      </c>
      <c r="R77" s="20">
        <f>+S77/Q77</f>
        <v>65.612454802880293</v>
      </c>
      <c r="S77" s="124">
        <f>SUM(S2:S76)</f>
        <v>73161695.252088293</v>
      </c>
      <c r="T77" s="26"/>
    </row>
    <row r="80" spans="6:20">
      <c r="Q80" s="124"/>
      <c r="S80" s="124"/>
    </row>
    <row r="82" spans="19:19">
      <c r="S82" s="124"/>
    </row>
  </sheetData>
  <pageMargins left="0.69930555555555596" right="0.69930555555555596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3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11" style="10" bestFit="1" customWidth="1"/>
    <col min="4" max="4" width="10.140625" style="10" customWidth="1"/>
    <col min="5" max="5" width="10" style="10" bestFit="1" customWidth="1"/>
    <col min="6" max="6" width="13.140625" style="10" customWidth="1"/>
    <col min="7" max="7" width="16.85546875" style="10" customWidth="1"/>
    <col min="8" max="8" width="16.42578125" style="10" customWidth="1"/>
    <col min="9" max="10" width="10" style="10" bestFit="1" customWidth="1"/>
    <col min="11" max="11" width="10.85546875" style="10" customWidth="1"/>
    <col min="12" max="12" width="11.7109375" style="10" customWidth="1"/>
    <col min="13" max="13" width="10.28515625" style="10" customWidth="1"/>
    <col min="14" max="14" width="10.5703125" style="10" bestFit="1" customWidth="1"/>
    <col min="15" max="15" width="10" style="10" customWidth="1"/>
    <col min="16" max="16" width="9" style="10"/>
    <col min="17" max="17" width="10.28515625" style="10" customWidth="1"/>
    <col min="18" max="18" width="6.85546875" style="10" customWidth="1"/>
    <col min="19" max="19" width="13" style="10" customWidth="1"/>
    <col min="20" max="20" width="9.42578125" style="10" bestFit="1" customWidth="1"/>
    <col min="21" max="23" width="9" style="10"/>
    <col min="24" max="24" width="16.5703125" style="10" customWidth="1"/>
    <col min="25" max="25" width="10.5703125" style="10" bestFit="1" customWidth="1"/>
    <col min="26" max="26" width="12.85546875" style="10" customWidth="1"/>
    <col min="27" max="27" width="11.7109375" style="10" customWidth="1"/>
    <col min="28" max="16384" width="9" style="10"/>
  </cols>
  <sheetData>
    <row r="1" spans="13:33" s="15" customFormat="1"/>
    <row r="2" spans="13:33">
      <c r="M2" s="14">
        <v>16725</v>
      </c>
      <c r="N2" s="14" t="e">
        <f>(+#REF!-M2)+0</f>
        <v>#REF!</v>
      </c>
      <c r="O2" s="14">
        <v>164.8</v>
      </c>
      <c r="P2" s="14" t="e">
        <f>+#REF!-O2</f>
        <v>#REF!</v>
      </c>
      <c r="Q2" s="14">
        <v>15529.260000000006</v>
      </c>
      <c r="R2" s="14">
        <v>96.495748470706161</v>
      </c>
      <c r="S2" s="14">
        <f t="shared" ref="S2:S11" si="0">+Q2*R2</f>
        <v>1498507.566896199</v>
      </c>
      <c r="AD2" s="140" t="s">
        <v>386</v>
      </c>
      <c r="AE2" s="39">
        <v>16483.971000000005</v>
      </c>
      <c r="AF2" s="39" t="e">
        <f>+#REF!</f>
        <v>#REF!</v>
      </c>
      <c r="AG2" s="39" t="e">
        <f>+AE2-AF2</f>
        <v>#REF!</v>
      </c>
    </row>
    <row r="3" spans="13:33">
      <c r="M3" s="14">
        <v>16550</v>
      </c>
      <c r="N3" s="14" t="e">
        <f>(+#REF!-M3)+0</f>
        <v>#REF!</v>
      </c>
      <c r="O3" s="14">
        <v>176.04000000000002</v>
      </c>
      <c r="P3" s="14" t="e">
        <f>+#REF!-O3</f>
        <v>#REF!</v>
      </c>
      <c r="Q3" s="17">
        <v>24750</v>
      </c>
      <c r="R3" s="14">
        <v>84.250249999999994</v>
      </c>
      <c r="S3" s="14">
        <f t="shared" si="0"/>
        <v>2085193.6874999998</v>
      </c>
      <c r="T3" s="129"/>
      <c r="X3" s="15" t="s">
        <v>63</v>
      </c>
      <c r="Y3" s="15">
        <f>Q2</f>
        <v>15529.260000000006</v>
      </c>
      <c r="Z3" s="15">
        <f>R2</f>
        <v>96.495748470706161</v>
      </c>
      <c r="AA3" s="15">
        <f>Y3*Z3</f>
        <v>1498507.566896199</v>
      </c>
      <c r="AD3" s="140" t="s">
        <v>387</v>
      </c>
      <c r="AE3" s="39">
        <v>-6167.96</v>
      </c>
      <c r="AF3" s="39" t="e">
        <f>-G33-H33</f>
        <v>#REF!</v>
      </c>
      <c r="AG3" s="39" t="e">
        <f>+AE3-AF3</f>
        <v>#REF!</v>
      </c>
    </row>
    <row r="4" spans="13:33">
      <c r="M4" s="14">
        <v>16300</v>
      </c>
      <c r="N4" s="14" t="e">
        <f>(+#REF!-M4)+0</f>
        <v>#REF!</v>
      </c>
      <c r="O4" s="14">
        <v>152.80000000000001</v>
      </c>
      <c r="P4" s="14" t="e">
        <f>+#REF!-O4</f>
        <v>#REF!</v>
      </c>
      <c r="Q4" s="17">
        <v>9000</v>
      </c>
      <c r="R4" s="14">
        <v>95.17</v>
      </c>
      <c r="S4" s="14">
        <f t="shared" si="0"/>
        <v>856530</v>
      </c>
      <c r="T4" s="129"/>
      <c r="X4" s="15" t="s">
        <v>61</v>
      </c>
      <c r="Y4" s="15">
        <f>Q3</f>
        <v>24750</v>
      </c>
      <c r="Z4" s="15">
        <f>AA4/Y4</f>
        <v>84.250249999999994</v>
      </c>
      <c r="AA4" s="15">
        <f>S3</f>
        <v>2085193.6874999998</v>
      </c>
      <c r="AD4" s="140" t="s">
        <v>389</v>
      </c>
      <c r="AE4" s="39">
        <v>34425</v>
      </c>
      <c r="AF4" s="39" t="e">
        <f>+C33+D33+E33</f>
        <v>#REF!</v>
      </c>
      <c r="AG4" s="39" t="e">
        <f>+AE4-AF4</f>
        <v>#REF!</v>
      </c>
    </row>
    <row r="5" spans="13:33">
      <c r="M5" s="14">
        <v>16025</v>
      </c>
      <c r="N5" s="14" t="e">
        <f>(+#REF!-M5)+0</f>
        <v>#REF!</v>
      </c>
      <c r="O5" s="14">
        <v>174.4</v>
      </c>
      <c r="P5" s="14" t="e">
        <f>+#REF!-O5</f>
        <v>#REF!</v>
      </c>
      <c r="Q5" s="17">
        <v>15750</v>
      </c>
      <c r="R5" s="14">
        <v>95.170031746031697</v>
      </c>
      <c r="S5" s="14">
        <f t="shared" si="0"/>
        <v>1498927.9999999993</v>
      </c>
      <c r="T5" s="129"/>
      <c r="X5" s="15" t="s">
        <v>281</v>
      </c>
      <c r="Y5" s="35" t="e">
        <f>-#REF!</f>
        <v>#REF!</v>
      </c>
      <c r="Z5" s="15" t="e">
        <f>R19</f>
        <v>#REF!</v>
      </c>
      <c r="AA5" s="15" t="e">
        <f>Y5*Z5</f>
        <v>#REF!</v>
      </c>
      <c r="AD5" s="140" t="s">
        <v>388</v>
      </c>
      <c r="AE5" s="39">
        <v>-22625</v>
      </c>
      <c r="AF5" s="39" t="e">
        <f>-I33-J33</f>
        <v>#REF!</v>
      </c>
      <c r="AG5" s="39" t="e">
        <f>+AE5-AF5</f>
        <v>#REF!</v>
      </c>
    </row>
    <row r="6" spans="13:33">
      <c r="M6" s="14">
        <v>15925</v>
      </c>
      <c r="N6" s="14" t="e">
        <f>(+#REF!-M6)+0</f>
        <v>#REF!</v>
      </c>
      <c r="O6" s="14">
        <v>207.4</v>
      </c>
      <c r="P6" s="14" t="e">
        <f>+#REF!-O6</f>
        <v>#REF!</v>
      </c>
      <c r="Q6" s="17">
        <v>24750</v>
      </c>
      <c r="R6" s="14">
        <v>84.25</v>
      </c>
      <c r="S6" s="14">
        <f t="shared" si="0"/>
        <v>2085187.5</v>
      </c>
      <c r="T6" s="129"/>
      <c r="X6" s="15" t="s">
        <v>248</v>
      </c>
      <c r="Y6" s="15" t="e">
        <f>SUM(Y3:Y5)</f>
        <v>#REF!</v>
      </c>
      <c r="Z6" s="15" t="e">
        <f>AA6/Y6</f>
        <v>#REF!</v>
      </c>
      <c r="AA6" s="15" t="e">
        <f>SUM(AA3:AA5)</f>
        <v>#REF!</v>
      </c>
      <c r="AD6" s="140"/>
      <c r="AE6" s="39"/>
      <c r="AF6" s="39"/>
      <c r="AG6" s="39"/>
    </row>
    <row r="7" spans="13:33">
      <c r="M7" s="14">
        <v>15650</v>
      </c>
      <c r="N7" s="14" t="e">
        <f>(+#REF!-M7)+0</f>
        <v>#REF!</v>
      </c>
      <c r="O7" s="14">
        <v>213.2</v>
      </c>
      <c r="P7" s="14" t="e">
        <f>+#REF!-O7</f>
        <v>#REF!</v>
      </c>
      <c r="Q7" s="14">
        <v>1675</v>
      </c>
      <c r="R7" s="14">
        <v>76.899954237120099</v>
      </c>
      <c r="S7" s="14">
        <f t="shared" si="0"/>
        <v>128807.42334717617</v>
      </c>
      <c r="T7" s="10">
        <v>43974</v>
      </c>
      <c r="AD7" s="140"/>
      <c r="AE7" s="39">
        <f>SUM(AE2:AE6)</f>
        <v>22116.011000000006</v>
      </c>
      <c r="AF7" s="39" t="e">
        <f>SUM(AF2:AF6)</f>
        <v>#REF!</v>
      </c>
      <c r="AG7" s="39" t="e">
        <f>SUM(AG2:AG6)</f>
        <v>#REF!</v>
      </c>
    </row>
    <row r="8" spans="13:33">
      <c r="M8" s="14">
        <v>14950</v>
      </c>
      <c r="N8" s="14" t="e">
        <f>(+#REF!-M8)+0</f>
        <v>#REF!</v>
      </c>
      <c r="O8" s="14">
        <v>159.34</v>
      </c>
      <c r="P8" s="14" t="e">
        <f>+#REF!-O8</f>
        <v>#REF!</v>
      </c>
      <c r="Q8" s="10">
        <v>4000</v>
      </c>
      <c r="R8" s="10">
        <v>73.719954237130295</v>
      </c>
      <c r="S8" s="14">
        <f t="shared" si="0"/>
        <v>294879.81694852118</v>
      </c>
      <c r="T8" s="10">
        <v>43974</v>
      </c>
    </row>
    <row r="9" spans="13:33">
      <c r="M9" s="14">
        <v>14725</v>
      </c>
      <c r="N9" s="14" t="e">
        <f>(+#REF!-M9)+0</f>
        <v>#REF!</v>
      </c>
      <c r="O9" s="14">
        <v>192.45999999999998</v>
      </c>
      <c r="P9" s="14" t="e">
        <f>+#REF!-O9</f>
        <v>#REF!</v>
      </c>
      <c r="Q9" s="10">
        <v>24750</v>
      </c>
      <c r="R9" s="10">
        <v>84.25</v>
      </c>
      <c r="S9" s="14">
        <f t="shared" si="0"/>
        <v>2085187.5</v>
      </c>
      <c r="T9" s="10">
        <v>43974</v>
      </c>
    </row>
    <row r="10" spans="13:33">
      <c r="M10" s="14">
        <v>14525</v>
      </c>
      <c r="N10" s="14" t="e">
        <f>(+#REF!-M10)+0</f>
        <v>#REF!</v>
      </c>
      <c r="O10" s="14">
        <v>172.8</v>
      </c>
      <c r="P10" s="14" t="e">
        <f>+#REF!-O10</f>
        <v>#REF!</v>
      </c>
      <c r="Q10" s="10">
        <v>2125</v>
      </c>
      <c r="R10" s="10">
        <v>76.899954237123694</v>
      </c>
      <c r="S10" s="14">
        <f t="shared" si="0"/>
        <v>163412.40275388784</v>
      </c>
      <c r="T10" s="10">
        <v>43979</v>
      </c>
    </row>
    <row r="11" spans="13:33">
      <c r="M11" s="14">
        <v>14425</v>
      </c>
      <c r="N11" s="14" t="e">
        <f>(+#REF!-M11)+0</f>
        <v>#REF!</v>
      </c>
      <c r="O11" s="14">
        <v>217.64</v>
      </c>
      <c r="P11" s="14" t="e">
        <f>+#REF!-O11</f>
        <v>#REF!</v>
      </c>
      <c r="Q11" s="14">
        <v>4000</v>
      </c>
      <c r="R11" s="14">
        <v>89.649923728453103</v>
      </c>
      <c r="S11" s="14">
        <f t="shared" si="0"/>
        <v>358599.69491381239</v>
      </c>
      <c r="T11" s="10">
        <v>43981</v>
      </c>
    </row>
    <row r="12" spans="13:33">
      <c r="M12" s="14">
        <v>13775</v>
      </c>
      <c r="N12" s="14" t="e">
        <f>(+#REF!-M12)+0</f>
        <v>#REF!</v>
      </c>
      <c r="O12" s="14">
        <v>234.8</v>
      </c>
      <c r="P12" s="14" t="e">
        <f>+#REF!-O12</f>
        <v>#REF!</v>
      </c>
      <c r="Q12" s="14"/>
      <c r="R12" s="14"/>
      <c r="S12" s="14"/>
    </row>
    <row r="13" spans="13:33">
      <c r="M13" s="14">
        <v>13625</v>
      </c>
      <c r="N13" s="14" t="e">
        <f>(+#REF!-M13)+0</f>
        <v>#REF!</v>
      </c>
      <c r="O13" s="14">
        <v>187.2</v>
      </c>
      <c r="P13" s="14" t="e">
        <f>+#REF!-O13</f>
        <v>#REF!</v>
      </c>
      <c r="Q13" s="14"/>
      <c r="R13" s="14"/>
      <c r="S13" s="14"/>
    </row>
    <row r="14" spans="13:33">
      <c r="M14" s="14">
        <v>13475</v>
      </c>
      <c r="N14" s="14" t="e">
        <f>(+#REF!-M14)+0</f>
        <v>#REF!</v>
      </c>
      <c r="O14" s="14">
        <v>13.5</v>
      </c>
      <c r="P14" s="14" t="e">
        <f>+#REF!-O14</f>
        <v>#REF!</v>
      </c>
      <c r="Q14" s="14"/>
      <c r="R14" s="14"/>
      <c r="S14" s="14"/>
    </row>
    <row r="15" spans="13:33">
      <c r="M15" s="14">
        <v>13275</v>
      </c>
      <c r="N15" s="14" t="e">
        <f>(+#REF!-M15)+0</f>
        <v>#REF!</v>
      </c>
      <c r="O15" s="14">
        <v>175.3</v>
      </c>
      <c r="P15" s="14" t="e">
        <f>+#REF!-O15</f>
        <v>#REF!</v>
      </c>
      <c r="Q15" s="14"/>
      <c r="R15" s="14"/>
      <c r="S15" s="14"/>
    </row>
    <row r="16" spans="13:33">
      <c r="M16" s="14">
        <v>13050</v>
      </c>
      <c r="N16" s="14" t="e">
        <f>(+#REF!-M16)+0</f>
        <v>#REF!</v>
      </c>
      <c r="O16" s="14">
        <v>241</v>
      </c>
      <c r="P16" s="14" t="e">
        <f>+#REF!-O16</f>
        <v>#REF!</v>
      </c>
      <c r="Q16" s="14"/>
      <c r="R16" s="14"/>
      <c r="S16" s="14"/>
    </row>
    <row r="17" spans="13:19">
      <c r="M17" s="14">
        <v>12825</v>
      </c>
      <c r="N17" s="14" t="e">
        <f>(+#REF!-M17)+0</f>
        <v>#REF!</v>
      </c>
      <c r="O17" s="14">
        <v>278.2</v>
      </c>
      <c r="P17" s="14" t="e">
        <f>+#REF!-O17</f>
        <v>#REF!</v>
      </c>
      <c r="Q17" s="14">
        <f>SUM(Q9:Q15)</f>
        <v>30875</v>
      </c>
      <c r="R17" s="14">
        <f>S17/Q17</f>
        <v>84.443711665350605</v>
      </c>
      <c r="S17" s="14">
        <f>SUM(S9:S15)</f>
        <v>2607199.5976677001</v>
      </c>
    </row>
    <row r="18" spans="13:19">
      <c r="M18" s="14">
        <v>12625</v>
      </c>
      <c r="N18" s="14" t="e">
        <f>(+#REF!-M18)+0</f>
        <v>#REF!</v>
      </c>
      <c r="O18" s="14">
        <v>208.2</v>
      </c>
      <c r="P18" s="14" t="e">
        <f>+#REF!-O18</f>
        <v>#REF!</v>
      </c>
      <c r="Q18" s="14" t="e">
        <f>-Y5-Q17</f>
        <v>#REF!</v>
      </c>
      <c r="R18" s="14">
        <f>+R9</f>
        <v>84.25</v>
      </c>
      <c r="S18" s="14" t="e">
        <f>+Q18*R18</f>
        <v>#REF!</v>
      </c>
    </row>
    <row r="19" spans="13:19">
      <c r="M19" s="14">
        <v>12350</v>
      </c>
      <c r="N19" s="14" t="e">
        <f>(+#REF!-M19)+0</f>
        <v>#REF!</v>
      </c>
      <c r="O19" s="14">
        <v>203.8</v>
      </c>
      <c r="P19" s="14" t="e">
        <f>+#REF!-O19</f>
        <v>#REF!</v>
      </c>
      <c r="Q19" s="14" t="e">
        <f>SUM(Q17:Q18)</f>
        <v>#REF!</v>
      </c>
      <c r="R19" s="14" t="e">
        <f>S19/Q19</f>
        <v>#REF!</v>
      </c>
      <c r="S19" s="14" t="e">
        <f>SUM(S17:S18)</f>
        <v>#REF!</v>
      </c>
    </row>
    <row r="20" spans="13:19">
      <c r="M20" s="14">
        <v>12150</v>
      </c>
      <c r="N20" s="14" t="e">
        <f>(+#REF!-M20)+0</f>
        <v>#REF!</v>
      </c>
      <c r="O20" s="14">
        <v>204.39999999999998</v>
      </c>
      <c r="P20" s="14" t="e">
        <f>+#REF!-O20</f>
        <v>#REF!</v>
      </c>
      <c r="Q20" s="14"/>
      <c r="R20" s="14"/>
      <c r="S20" s="14"/>
    </row>
    <row r="21" spans="13:19">
      <c r="M21" s="14">
        <v>11800</v>
      </c>
      <c r="N21" s="14" t="e">
        <f>(+#REF!-M21)+0</f>
        <v>#REF!</v>
      </c>
      <c r="O21" s="14">
        <v>235.6</v>
      </c>
      <c r="P21" s="14" t="e">
        <f>+#REF!-O21</f>
        <v>#REF!</v>
      </c>
      <c r="Q21" s="14"/>
      <c r="R21" s="14"/>
      <c r="S21" s="14"/>
    </row>
    <row r="22" spans="13:19">
      <c r="M22" s="14">
        <v>11525</v>
      </c>
      <c r="N22" s="14" t="e">
        <f>(+#REF!-M22)+0</f>
        <v>#REF!</v>
      </c>
      <c r="O22" s="14">
        <v>264.82</v>
      </c>
      <c r="P22" s="14" t="e">
        <f>+#REF!-O22</f>
        <v>#REF!</v>
      </c>
      <c r="Q22" s="14"/>
      <c r="R22" s="14"/>
      <c r="S22" s="14"/>
    </row>
    <row r="23" spans="13:19">
      <c r="M23" s="14">
        <v>11550</v>
      </c>
      <c r="N23" s="14" t="e">
        <f>(+#REF!-M23)+0</f>
        <v>#REF!</v>
      </c>
      <c r="O23" s="14">
        <v>148.80000000000001</v>
      </c>
      <c r="P23" s="14" t="e">
        <f>+#REF!-O23</f>
        <v>#REF!</v>
      </c>
      <c r="Q23" s="14"/>
      <c r="R23" s="14"/>
      <c r="S23" s="14"/>
    </row>
    <row r="24" spans="13:19">
      <c r="M24" s="14">
        <v>22975</v>
      </c>
      <c r="N24" s="14" t="e">
        <f>(+#REF!-M24)+0</f>
        <v>#REF!</v>
      </c>
      <c r="O24" s="14">
        <v>154.19999999999999</v>
      </c>
      <c r="P24" s="14" t="e">
        <f>+#REF!-O24</f>
        <v>#REF!</v>
      </c>
      <c r="Q24" s="14"/>
      <c r="R24" s="14"/>
      <c r="S24" s="14"/>
    </row>
    <row r="25" spans="13:19">
      <c r="M25" s="14">
        <v>19725</v>
      </c>
      <c r="N25" s="14" t="e">
        <f>(+#REF!-M25)+0</f>
        <v>#REF!</v>
      </c>
      <c r="O25" s="14">
        <v>184.1</v>
      </c>
      <c r="P25" s="14" t="e">
        <f>+#REF!-O25</f>
        <v>#REF!</v>
      </c>
      <c r="Q25" s="14"/>
      <c r="R25" s="14"/>
      <c r="S25" s="14"/>
    </row>
    <row r="26" spans="13:19">
      <c r="M26" s="14">
        <v>19675</v>
      </c>
      <c r="N26" s="14" t="e">
        <f>(+#REF!-M26)+0</f>
        <v>#REF!</v>
      </c>
      <c r="O26" s="14">
        <v>152.80000000000001</v>
      </c>
      <c r="P26" s="14" t="e">
        <f>+#REF!-O26</f>
        <v>#REF!</v>
      </c>
      <c r="Q26" s="14"/>
      <c r="R26" s="14"/>
      <c r="S26" s="14"/>
    </row>
    <row r="27" spans="13:19">
      <c r="M27" s="14">
        <v>19400</v>
      </c>
      <c r="N27" s="14" t="e">
        <f>(+#REF!-M27)+0</f>
        <v>#REF!</v>
      </c>
      <c r="O27" s="14">
        <v>273.8</v>
      </c>
      <c r="P27" s="14" t="e">
        <f>+#REF!-O27</f>
        <v>#REF!</v>
      </c>
      <c r="Q27" s="14"/>
      <c r="R27" s="14"/>
      <c r="S27" s="14"/>
    </row>
    <row r="28" spans="13:19">
      <c r="M28" s="14">
        <v>9125</v>
      </c>
      <c r="N28" s="14" t="e">
        <f>(+#REF!-M28)+0</f>
        <v>#REF!</v>
      </c>
      <c r="O28" s="14">
        <v>199.54000000000002</v>
      </c>
      <c r="P28" s="14" t="e">
        <f>+#REF!-O28</f>
        <v>#REF!</v>
      </c>
      <c r="Q28" s="14"/>
      <c r="R28" s="14"/>
      <c r="S28" s="14"/>
    </row>
    <row r="29" spans="13:19">
      <c r="M29" s="14">
        <v>18900</v>
      </c>
      <c r="N29" s="14" t="e">
        <f>(+#REF!-M29)+0</f>
        <v>#REF!</v>
      </c>
      <c r="O29" s="14">
        <v>261.44</v>
      </c>
      <c r="P29" s="14" t="e">
        <f>+#REF!-O29</f>
        <v>#REF!</v>
      </c>
      <c r="Q29" s="14"/>
      <c r="R29" s="14"/>
      <c r="S29" s="14"/>
    </row>
    <row r="30" spans="13:19">
      <c r="M30" s="14">
        <v>18675</v>
      </c>
      <c r="N30" s="14" t="e">
        <f>(+#REF!-M30)+0</f>
        <v>#REF!</v>
      </c>
      <c r="O30" s="14">
        <v>206.04000000000002</v>
      </c>
      <c r="P30" s="14" t="e">
        <f>+#REF!-O30</f>
        <v>#REF!</v>
      </c>
      <c r="Q30" s="14"/>
      <c r="R30" s="14"/>
      <c r="S30" s="14"/>
    </row>
    <row r="31" spans="13:19">
      <c r="M31" s="14">
        <v>22125</v>
      </c>
      <c r="N31" s="14" t="e">
        <f>(+#REF!-M31)+0</f>
        <v>#REF!</v>
      </c>
      <c r="O31" s="14">
        <v>239.2</v>
      </c>
      <c r="P31" s="14" t="e">
        <f>+#REF!-O31</f>
        <v>#REF!</v>
      </c>
      <c r="Q31" s="14"/>
      <c r="R31" s="14"/>
      <c r="S31" s="14"/>
    </row>
    <row r="32" spans="13:19">
      <c r="M32" s="14">
        <v>22000</v>
      </c>
      <c r="N32" s="14" t="e">
        <f>(+#REF!-M32)+0</f>
        <v>#REF!</v>
      </c>
      <c r="O32" s="14">
        <v>270.33999999999997</v>
      </c>
      <c r="P32" s="14" t="e">
        <f>+#REF!-O32</f>
        <v>#REF!</v>
      </c>
      <c r="Q32" s="14"/>
      <c r="R32" s="14"/>
      <c r="S32" s="14"/>
    </row>
    <row r="33" spans="1:19">
      <c r="A33" s="12"/>
      <c r="B33" s="13" t="e">
        <f>#REF!</f>
        <v>#REF!</v>
      </c>
      <c r="C33" s="13" t="e">
        <f>SUM(#REF!)</f>
        <v>#REF!</v>
      </c>
      <c r="D33" s="13" t="e">
        <f>SUM(#REF!)</f>
        <v>#REF!</v>
      </c>
      <c r="E33" s="13" t="e">
        <f>SUM(#REF!)</f>
        <v>#REF!</v>
      </c>
      <c r="F33" s="13" t="e">
        <f>SUM(#REF!)</f>
        <v>#REF!</v>
      </c>
      <c r="G33" s="13" t="e">
        <f>SUM(#REF!)</f>
        <v>#REF!</v>
      </c>
      <c r="H33" s="13" t="e">
        <f>SUM(#REF!)</f>
        <v>#REF!</v>
      </c>
      <c r="I33" s="13" t="e">
        <f>SUM(#REF!)</f>
        <v>#REF!</v>
      </c>
      <c r="J33" s="13" t="e">
        <f>SUM(#REF!)</f>
        <v>#REF!</v>
      </c>
      <c r="K33" s="13" t="e">
        <f>SUM(#REF!)</f>
        <v>#REF!</v>
      </c>
      <c r="L33" s="16" t="e">
        <f>+B33+F33-K33</f>
        <v>#REF!</v>
      </c>
      <c r="M33" s="14"/>
      <c r="N33" s="14"/>
      <c r="O33" s="124">
        <f>SUM(O3:O32)</f>
        <v>6003.1600000000008</v>
      </c>
      <c r="P33" s="124" t="e">
        <f>SUM(P3:P32)</f>
        <v>#REF!</v>
      </c>
      <c r="Q33" s="14"/>
      <c r="R33" s="14"/>
      <c r="S33" s="14"/>
    </row>
    <row r="34" spans="1:19">
      <c r="B34" s="14"/>
      <c r="C34" s="14"/>
      <c r="D34" s="14"/>
      <c r="E34" s="14"/>
      <c r="F34" s="14"/>
      <c r="G34" s="14">
        <v>0</v>
      </c>
      <c r="H34" s="14">
        <v>5534.1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>
      <c r="B35" s="14"/>
      <c r="C35" s="14"/>
      <c r="D35" s="14"/>
      <c r="E35" s="14"/>
      <c r="F35" s="14"/>
      <c r="G35" s="14" t="e">
        <f>+G33-G34</f>
        <v>#REF!</v>
      </c>
      <c r="H35" s="14" t="e">
        <f>+H33-H34</f>
        <v>#REF!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>
      <c r="Q38" s="14"/>
      <c r="R38" s="14"/>
      <c r="S38" s="14"/>
    </row>
    <row r="39" spans="1:19">
      <c r="Q39" s="14"/>
      <c r="R39" s="14"/>
      <c r="S39" s="14"/>
    </row>
    <row r="40" spans="1:19">
      <c r="Q40" s="14"/>
      <c r="R40" s="14"/>
      <c r="S40" s="14"/>
    </row>
    <row r="42" spans="1:19">
      <c r="C42" s="10">
        <v>34425</v>
      </c>
      <c r="E42" s="10">
        <v>0</v>
      </c>
      <c r="J42" s="10">
        <v>0</v>
      </c>
      <c r="K42" s="10">
        <v>22625</v>
      </c>
    </row>
    <row r="43" spans="1:19">
      <c r="C43" s="14" t="e">
        <f>+C33-C42</f>
        <v>#REF!</v>
      </c>
      <c r="E43" s="14" t="e">
        <f>+E33-E42</f>
        <v>#REF!</v>
      </c>
      <c r="J43" s="14" t="e">
        <f t="shared" ref="J43:K43" si="1">+J33-J42</f>
        <v>#REF!</v>
      </c>
      <c r="K43" s="14" t="e">
        <f t="shared" si="1"/>
        <v>#REF!</v>
      </c>
    </row>
  </sheetData>
  <pageMargins left="0.75" right="0.75" top="1" bottom="1" header="0.51180555555555596" footer="0.51180555555555596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82"/>
  <sheetViews>
    <sheetView workbookViewId="0"/>
  </sheetViews>
  <sheetFormatPr defaultColWidth="9" defaultRowHeight="12.75"/>
  <cols>
    <col min="1" max="1" width="11.85546875" style="140" customWidth="1"/>
    <col min="2" max="2" width="13" style="140" customWidth="1"/>
    <col min="3" max="3" width="12.42578125" style="140" bestFit="1" customWidth="1"/>
    <col min="4" max="4" width="10.140625" style="140" customWidth="1"/>
    <col min="5" max="5" width="12.28515625" style="140" customWidth="1"/>
    <col min="6" max="6" width="13.140625" style="140" customWidth="1"/>
    <col min="7" max="7" width="16.85546875" style="140" customWidth="1"/>
    <col min="8" max="8" width="15" style="140" customWidth="1"/>
    <col min="9" max="9" width="11" style="140" bestFit="1" customWidth="1"/>
    <col min="10" max="11" width="11.42578125" style="140" customWidth="1"/>
    <col min="12" max="12" width="11.7109375" style="140" customWidth="1"/>
    <col min="13" max="15" width="11.42578125" style="140" customWidth="1"/>
    <col min="16" max="16" width="11" style="140" bestFit="1" customWidth="1"/>
    <col min="17" max="17" width="12.42578125" style="140" bestFit="1" customWidth="1"/>
    <col min="18" max="18" width="6.85546875" style="140" customWidth="1"/>
    <col min="19" max="19" width="14.140625" style="140" customWidth="1"/>
    <col min="20" max="20" width="11.140625" style="140" customWidth="1"/>
    <col min="21" max="22" width="12.42578125" style="140" bestFit="1" customWidth="1"/>
    <col min="23" max="23" width="16.5703125" style="140" customWidth="1"/>
    <col min="24" max="24" width="12.42578125" style="140" bestFit="1" customWidth="1"/>
    <col min="25" max="26" width="14" style="140" customWidth="1"/>
    <col min="27" max="30" width="9" style="140"/>
    <col min="31" max="31" width="11.5703125" style="140" bestFit="1" customWidth="1"/>
    <col min="32" max="32" width="10" style="140" bestFit="1" customWidth="1"/>
    <col min="33" max="16384" width="9" style="140"/>
  </cols>
  <sheetData>
    <row r="1" spans="13:32" s="273" customFormat="1"/>
    <row r="2" spans="13:32">
      <c r="M2" s="124">
        <v>172600</v>
      </c>
      <c r="N2" s="124" t="e">
        <f>(+#REF!-M2)+0</f>
        <v>#REF!</v>
      </c>
      <c r="O2" s="124"/>
      <c r="P2" s="124"/>
      <c r="Q2" s="124">
        <v>298058.04000000004</v>
      </c>
      <c r="R2" s="124">
        <v>71.410138364622853</v>
      </c>
      <c r="S2" s="124">
        <f>+Q2*R2</f>
        <v>21284365.877088297</v>
      </c>
      <c r="W2" s="273"/>
      <c r="X2" s="273"/>
      <c r="Y2" s="273"/>
      <c r="Z2" s="273"/>
      <c r="AC2" s="140" t="s">
        <v>386</v>
      </c>
      <c r="AD2" s="39">
        <v>183106.85000000003</v>
      </c>
      <c r="AE2" s="39" t="e">
        <f>+#REF!</f>
        <v>#REF!</v>
      </c>
      <c r="AF2" s="39" t="e">
        <f>+AD2-AE2</f>
        <v>#REF!</v>
      </c>
    </row>
    <row r="3" spans="13:32">
      <c r="M3" s="124">
        <v>264200</v>
      </c>
      <c r="N3" s="124" t="e">
        <f>+#REF!-M3</f>
        <v>#REF!</v>
      </c>
      <c r="O3" s="124">
        <v>13650</v>
      </c>
      <c r="P3" s="124" t="e">
        <f>+#REF!-O3</f>
        <v>#REF!</v>
      </c>
      <c r="Q3" s="124">
        <v>24750</v>
      </c>
      <c r="R3" s="20">
        <v>70.295000000000002</v>
      </c>
      <c r="S3" s="124">
        <f>+Q3*R3</f>
        <v>1739801.25</v>
      </c>
      <c r="T3" s="26">
        <v>43953</v>
      </c>
      <c r="W3" s="273" t="s">
        <v>63</v>
      </c>
      <c r="X3" s="273">
        <f>Q2</f>
        <v>298058.04000000004</v>
      </c>
      <c r="Y3" s="273">
        <f>R2</f>
        <v>71.410138364622853</v>
      </c>
      <c r="Z3" s="273">
        <f>X3*Y3</f>
        <v>21284365.877088297</v>
      </c>
      <c r="AC3" s="140" t="s">
        <v>387</v>
      </c>
      <c r="AD3" s="39">
        <v>-288500</v>
      </c>
      <c r="AE3" s="39" t="e">
        <f>-#REF!</f>
        <v>#REF!</v>
      </c>
      <c r="AF3" s="39" t="e">
        <f>+AD3-AE3</f>
        <v>#REF!</v>
      </c>
    </row>
    <row r="4" spans="13:32">
      <c r="M4" s="124">
        <v>313475</v>
      </c>
      <c r="N4" s="124" t="e">
        <f>+#REF!-M4</f>
        <v>#REF!</v>
      </c>
      <c r="O4" s="124">
        <v>11700</v>
      </c>
      <c r="P4" s="124" t="e">
        <f>+#REF!-O4</f>
        <v>#REF!</v>
      </c>
      <c r="Q4" s="124">
        <v>24750</v>
      </c>
      <c r="R4" s="20">
        <v>70.295000000000002</v>
      </c>
      <c r="S4" s="124">
        <f t="shared" ref="S4:S35" si="0">+Q4*R4</f>
        <v>1739801.25</v>
      </c>
      <c r="T4" s="26">
        <v>43953</v>
      </c>
      <c r="W4" s="273" t="s">
        <v>61</v>
      </c>
      <c r="X4" s="272">
        <f>SUM(Q3:Q68)</f>
        <v>817000</v>
      </c>
      <c r="Y4" s="273">
        <f>Z4/X4</f>
        <v>63.497343176254589</v>
      </c>
      <c r="Z4" s="272">
        <f>SUM(S3:S68)</f>
        <v>51877329.375</v>
      </c>
      <c r="AC4" s="140" t="s">
        <v>61</v>
      </c>
      <c r="AD4" s="39">
        <f>503500+413625</f>
        <v>917125</v>
      </c>
      <c r="AE4" s="39" t="e">
        <f>+#REF!</f>
        <v>#REF!</v>
      </c>
      <c r="AF4" s="39" t="e">
        <f>+AD4-AE4</f>
        <v>#REF!</v>
      </c>
    </row>
    <row r="5" spans="13:32">
      <c r="M5" s="124">
        <v>298300</v>
      </c>
      <c r="N5" s="124" t="e">
        <f>+#REF!-M5</f>
        <v>#REF!</v>
      </c>
      <c r="O5" s="124">
        <v>13275</v>
      </c>
      <c r="P5" s="124" t="e">
        <f>+#REF!-O5</f>
        <v>#REF!</v>
      </c>
      <c r="Q5" s="124">
        <v>24750</v>
      </c>
      <c r="R5" s="20">
        <v>70.295000000000002</v>
      </c>
      <c r="S5" s="124">
        <f t="shared" si="0"/>
        <v>1739801.25</v>
      </c>
      <c r="T5" s="26">
        <v>43953</v>
      </c>
      <c r="W5" s="273" t="s">
        <v>281</v>
      </c>
      <c r="X5" s="272" t="e">
        <f>-#REF!</f>
        <v>#REF!</v>
      </c>
      <c r="Y5" s="272">
        <f>R77</f>
        <v>65.612454802880293</v>
      </c>
      <c r="Z5" s="273" t="e">
        <f>X5*Y5</f>
        <v>#REF!</v>
      </c>
      <c r="AC5" s="140" t="s">
        <v>388</v>
      </c>
      <c r="AD5" s="39">
        <f>-192767-10200-413625</f>
        <v>-616592</v>
      </c>
      <c r="AE5" s="39" t="e">
        <f>-#REF!-#REF!</f>
        <v>#REF!</v>
      </c>
      <c r="AF5" s="39" t="e">
        <f>+AD5-AE5</f>
        <v>#REF!</v>
      </c>
    </row>
    <row r="6" spans="13:32">
      <c r="M6" s="124">
        <v>276300</v>
      </c>
      <c r="N6" s="124" t="e">
        <f>+#REF!-M6</f>
        <v>#REF!</v>
      </c>
      <c r="O6" s="124">
        <v>11750</v>
      </c>
      <c r="P6" s="124" t="e">
        <f>+#REF!-O6</f>
        <v>#REF!</v>
      </c>
      <c r="Q6" s="124">
        <v>24750</v>
      </c>
      <c r="R6" s="20">
        <v>70.295000000000002</v>
      </c>
      <c r="S6" s="124">
        <f t="shared" si="0"/>
        <v>1739801.25</v>
      </c>
      <c r="T6" s="26">
        <v>43953</v>
      </c>
      <c r="W6" s="273" t="s">
        <v>248</v>
      </c>
      <c r="X6" s="272" t="e">
        <f>SUM(X3:X5)</f>
        <v>#REF!</v>
      </c>
      <c r="Y6" s="273" t="e">
        <f>Z6/X6</f>
        <v>#REF!</v>
      </c>
      <c r="Z6" s="272" t="e">
        <f>SUM(Z3:Z5)</f>
        <v>#REF!</v>
      </c>
      <c r="AD6" s="39"/>
      <c r="AE6" s="39"/>
      <c r="AF6" s="39"/>
    </row>
    <row r="7" spans="13:32">
      <c r="M7" s="124">
        <v>257050</v>
      </c>
      <c r="N7" s="124" t="e">
        <f>+#REF!-M7</f>
        <v>#REF!</v>
      </c>
      <c r="O7" s="124">
        <v>12075</v>
      </c>
      <c r="P7" s="124" t="e">
        <f>+#REF!-O7</f>
        <v>#REF!</v>
      </c>
      <c r="Q7" s="17">
        <v>31000</v>
      </c>
      <c r="R7" s="20">
        <v>60.01</v>
      </c>
      <c r="S7" s="124">
        <f t="shared" si="0"/>
        <v>1860310</v>
      </c>
      <c r="T7" s="26">
        <v>43953</v>
      </c>
      <c r="V7" s="124"/>
      <c r="W7" s="272"/>
      <c r="X7" s="273"/>
      <c r="Y7" s="273"/>
      <c r="Z7" s="273"/>
      <c r="AD7" s="39">
        <f>SUM(AD2:AD6)</f>
        <v>195139.85000000009</v>
      </c>
      <c r="AE7" s="39" t="e">
        <f>SUM(AE2:AE6)</f>
        <v>#REF!</v>
      </c>
      <c r="AF7" s="39" t="e">
        <f>SUM(AF2:AF6)</f>
        <v>#REF!</v>
      </c>
    </row>
    <row r="8" spans="13:32">
      <c r="M8" s="124">
        <v>266900</v>
      </c>
      <c r="N8" s="124" t="e">
        <f>+#REF!-M8</f>
        <v>#REF!</v>
      </c>
      <c r="O8" s="124">
        <v>11250</v>
      </c>
      <c r="P8" s="124" t="e">
        <f>+#REF!-O8</f>
        <v>#REF!</v>
      </c>
      <c r="Q8" s="17">
        <v>30000</v>
      </c>
      <c r="R8" s="20">
        <v>60.01</v>
      </c>
      <c r="S8" s="124">
        <f t="shared" si="0"/>
        <v>1800300</v>
      </c>
      <c r="T8" s="26">
        <v>43954</v>
      </c>
      <c r="V8" s="124"/>
      <c r="W8" s="272"/>
      <c r="X8" s="273"/>
      <c r="Y8" s="273"/>
      <c r="Z8" s="273"/>
      <c r="AD8" s="39"/>
      <c r="AE8" s="39"/>
      <c r="AF8" s="39"/>
    </row>
    <row r="9" spans="13:32">
      <c r="M9" s="124">
        <v>247825</v>
      </c>
      <c r="N9" s="124" t="e">
        <f>+#REF!-M9</f>
        <v>#REF!</v>
      </c>
      <c r="O9" s="124">
        <v>10725</v>
      </c>
      <c r="P9" s="124" t="e">
        <f>+#REF!-O9</f>
        <v>#REF!</v>
      </c>
      <c r="Q9" s="124">
        <v>31000</v>
      </c>
      <c r="R9" s="20">
        <v>60.01</v>
      </c>
      <c r="S9" s="124">
        <f t="shared" si="0"/>
        <v>1860310</v>
      </c>
      <c r="T9" s="26">
        <v>43954</v>
      </c>
      <c r="V9" s="124"/>
      <c r="W9" s="272"/>
      <c r="X9" s="273"/>
      <c r="Y9" s="273"/>
      <c r="Z9" s="273"/>
      <c r="AD9" s="39"/>
      <c r="AE9" s="39"/>
      <c r="AF9" s="39"/>
    </row>
    <row r="10" spans="13:32">
      <c r="M10" s="124">
        <v>240950</v>
      </c>
      <c r="N10" s="124" t="e">
        <f>+#REF!-M10</f>
        <v>#REF!</v>
      </c>
      <c r="O10" s="124">
        <v>8500</v>
      </c>
      <c r="P10" s="124" t="e">
        <f>+#REF!-O10</f>
        <v>#REF!</v>
      </c>
      <c r="Q10" s="124">
        <v>31000</v>
      </c>
      <c r="R10" s="20">
        <v>66.08</v>
      </c>
      <c r="S10" s="124">
        <f t="shared" si="0"/>
        <v>2048480</v>
      </c>
      <c r="T10" s="26">
        <v>43958</v>
      </c>
      <c r="V10" s="124"/>
      <c r="W10" s="272"/>
      <c r="X10" s="273"/>
      <c r="Y10" s="273"/>
      <c r="Z10" s="273"/>
    </row>
    <row r="11" spans="13:32">
      <c r="M11" s="124">
        <v>218050</v>
      </c>
      <c r="N11" s="124" t="e">
        <f>+#REF!-M11</f>
        <v>#REF!</v>
      </c>
      <c r="O11" s="124">
        <v>11900</v>
      </c>
      <c r="P11" s="124" t="e">
        <f>+#REF!-O11</f>
        <v>#REF!</v>
      </c>
      <c r="Q11" s="124">
        <v>31000</v>
      </c>
      <c r="R11" s="20">
        <v>60.01</v>
      </c>
      <c r="S11" s="124">
        <f t="shared" si="0"/>
        <v>1860310</v>
      </c>
      <c r="T11" s="26">
        <v>43962</v>
      </c>
      <c r="V11" s="124"/>
      <c r="W11" s="272"/>
      <c r="X11" s="273"/>
      <c r="Y11" s="273"/>
      <c r="Z11" s="273"/>
    </row>
    <row r="12" spans="13:32">
      <c r="M12" s="124">
        <v>251725</v>
      </c>
      <c r="N12" s="124" t="e">
        <f>+#REF!-M12</f>
        <v>#REF!</v>
      </c>
      <c r="O12" s="124">
        <v>8050</v>
      </c>
      <c r="P12" s="124" t="e">
        <f>+#REF!-O12</f>
        <v>#REF!</v>
      </c>
      <c r="Q12" s="124">
        <v>31000</v>
      </c>
      <c r="R12" s="20">
        <v>60.01</v>
      </c>
      <c r="S12" s="124">
        <f t="shared" si="0"/>
        <v>1860310</v>
      </c>
      <c r="T12" s="26">
        <v>43962</v>
      </c>
      <c r="V12" s="124"/>
      <c r="W12" s="272"/>
      <c r="X12" s="273"/>
      <c r="Y12" s="273"/>
      <c r="Z12" s="273"/>
    </row>
    <row r="13" spans="13:32">
      <c r="M13" s="124">
        <v>242500</v>
      </c>
      <c r="N13" s="124" t="e">
        <f>+#REF!-M13</f>
        <v>#REF!</v>
      </c>
      <c r="O13" s="124">
        <v>10575</v>
      </c>
      <c r="P13" s="124" t="e">
        <f>+#REF!-O13</f>
        <v>#REF!</v>
      </c>
      <c r="Q13" s="124">
        <v>31000</v>
      </c>
      <c r="R13" s="20">
        <v>66.08</v>
      </c>
      <c r="S13" s="124">
        <f t="shared" si="0"/>
        <v>2048480</v>
      </c>
      <c r="T13" s="26">
        <v>43964</v>
      </c>
      <c r="V13" s="124"/>
      <c r="W13" s="272"/>
      <c r="X13" s="273"/>
      <c r="Y13" s="273"/>
      <c r="Z13" s="273"/>
    </row>
    <row r="14" spans="13:32">
      <c r="M14" s="124">
        <v>287800</v>
      </c>
      <c r="N14" s="124" t="e">
        <f>+#REF!-M14</f>
        <v>#REF!</v>
      </c>
      <c r="O14" s="124">
        <v>7200</v>
      </c>
      <c r="P14" s="124" t="e">
        <f>+#REF!-O14</f>
        <v>#REF!</v>
      </c>
      <c r="Q14" s="124">
        <v>31000</v>
      </c>
      <c r="R14" s="20">
        <v>66.08</v>
      </c>
      <c r="S14" s="124">
        <f>+Q14*R14</f>
        <v>2048480</v>
      </c>
      <c r="T14" s="26">
        <v>43964</v>
      </c>
      <c r="V14" s="124"/>
      <c r="W14" s="272"/>
      <c r="X14" s="273"/>
      <c r="Y14" s="273"/>
      <c r="Z14" s="273"/>
    </row>
    <row r="15" spans="13:32">
      <c r="M15" s="124">
        <v>347600</v>
      </c>
      <c r="N15" s="124" t="e">
        <f>+#REF!-M15</f>
        <v>#REF!</v>
      </c>
      <c r="O15" s="124">
        <v>8250</v>
      </c>
      <c r="P15" s="124" t="e">
        <f>+#REF!-O15</f>
        <v>#REF!</v>
      </c>
      <c r="Q15" s="124">
        <v>24750</v>
      </c>
      <c r="R15" s="20">
        <v>69.053749999999994</v>
      </c>
      <c r="S15" s="124">
        <f>+Q15*R15</f>
        <v>1709080.3124999998</v>
      </c>
      <c r="T15" s="26">
        <v>43964</v>
      </c>
      <c r="V15" s="124"/>
      <c r="W15" s="272"/>
      <c r="X15" s="273"/>
      <c r="Y15" s="273"/>
      <c r="Z15" s="273"/>
    </row>
    <row r="16" spans="13:32">
      <c r="M16" s="124">
        <v>293350</v>
      </c>
      <c r="N16" s="124" t="e">
        <f>+#REF!-M16</f>
        <v>#REF!</v>
      </c>
      <c r="O16" s="124">
        <v>7175</v>
      </c>
      <c r="P16" s="124" t="e">
        <f>+#REF!-O16</f>
        <v>#REF!</v>
      </c>
      <c r="Q16" s="124">
        <v>24750</v>
      </c>
      <c r="R16" s="20">
        <v>69.053749999999994</v>
      </c>
      <c r="S16" s="124">
        <f>+Q16*R16</f>
        <v>1709080.3124999998</v>
      </c>
      <c r="T16" s="26">
        <v>43964</v>
      </c>
      <c r="V16" s="124"/>
      <c r="W16" s="272"/>
      <c r="X16" s="273"/>
      <c r="Y16" s="273"/>
      <c r="Z16" s="273"/>
    </row>
    <row r="17" spans="13:26">
      <c r="M17" s="124">
        <v>290200</v>
      </c>
      <c r="N17" s="124" t="e">
        <f>+#REF!-M17</f>
        <v>#REF!</v>
      </c>
      <c r="O17" s="124">
        <v>1450</v>
      </c>
      <c r="P17" s="124" t="e">
        <f>+#REF!-O17</f>
        <v>#REF!</v>
      </c>
      <c r="Q17" s="124">
        <v>24000</v>
      </c>
      <c r="R17" s="20">
        <v>66.08</v>
      </c>
      <c r="S17" s="124">
        <f t="shared" si="0"/>
        <v>1585920</v>
      </c>
      <c r="T17" s="26">
        <v>43965</v>
      </c>
      <c r="V17" s="124"/>
      <c r="W17" s="273"/>
      <c r="X17" s="273"/>
      <c r="Y17" s="273"/>
      <c r="Z17" s="273"/>
    </row>
    <row r="18" spans="13:26">
      <c r="M18" s="124">
        <v>282650</v>
      </c>
      <c r="N18" s="124" t="e">
        <f>+#REF!-M18</f>
        <v>#REF!</v>
      </c>
      <c r="O18" s="124">
        <v>7550</v>
      </c>
      <c r="P18" s="124" t="e">
        <f>+#REF!-O18</f>
        <v>#REF!</v>
      </c>
      <c r="Q18" s="124">
        <v>7000</v>
      </c>
      <c r="R18" s="20">
        <v>66.08</v>
      </c>
      <c r="S18" s="124">
        <f t="shared" si="0"/>
        <v>462560</v>
      </c>
      <c r="T18" s="26">
        <v>43965</v>
      </c>
      <c r="W18" s="273"/>
      <c r="X18" s="273"/>
      <c r="Y18" s="273"/>
      <c r="Z18" s="273"/>
    </row>
    <row r="19" spans="13:26">
      <c r="M19" s="124">
        <v>273850</v>
      </c>
      <c r="N19" s="124" t="e">
        <f>+#REF!-M19</f>
        <v>#REF!</v>
      </c>
      <c r="O19" s="124">
        <v>9250</v>
      </c>
      <c r="P19" s="124" t="e">
        <f>+#REF!-O19</f>
        <v>#REF!</v>
      </c>
      <c r="Q19" s="124">
        <v>31000</v>
      </c>
      <c r="R19" s="20">
        <v>66.08</v>
      </c>
      <c r="S19" s="124">
        <f t="shared" si="0"/>
        <v>2048480</v>
      </c>
      <c r="T19" s="26">
        <v>43965</v>
      </c>
      <c r="W19" s="273"/>
      <c r="X19" s="273"/>
      <c r="Y19" s="273"/>
      <c r="Z19" s="273"/>
    </row>
    <row r="20" spans="13:26">
      <c r="M20" s="124">
        <v>266450</v>
      </c>
      <c r="N20" s="124" t="e">
        <f>+#REF!-M20</f>
        <v>#REF!</v>
      </c>
      <c r="O20" s="124">
        <v>7400</v>
      </c>
      <c r="P20" s="124" t="e">
        <f>+#REF!-O20</f>
        <v>#REF!</v>
      </c>
      <c r="Q20" s="124">
        <v>31000</v>
      </c>
      <c r="R20" s="20">
        <v>66.08</v>
      </c>
      <c r="S20" s="124">
        <f t="shared" si="0"/>
        <v>2048480</v>
      </c>
      <c r="T20" s="26">
        <v>43965</v>
      </c>
      <c r="W20" s="273"/>
      <c r="X20" s="273"/>
      <c r="Y20" s="273"/>
      <c r="Z20" s="273"/>
    </row>
    <row r="21" spans="13:26">
      <c r="M21" s="124">
        <v>256925</v>
      </c>
      <c r="N21" s="124" t="e">
        <f>+#REF!-M21</f>
        <v>#REF!</v>
      </c>
      <c r="O21" s="124">
        <v>9700</v>
      </c>
      <c r="P21" s="124" t="e">
        <f>+#REF!-O21</f>
        <v>#REF!</v>
      </c>
      <c r="Q21" s="124">
        <v>31000</v>
      </c>
      <c r="R21" s="20">
        <v>66.08</v>
      </c>
      <c r="S21" s="124">
        <f t="shared" si="0"/>
        <v>2048480</v>
      </c>
      <c r="T21" s="26">
        <v>43965</v>
      </c>
      <c r="U21" s="124"/>
      <c r="V21" s="124"/>
    </row>
    <row r="22" spans="13:26">
      <c r="M22" s="124">
        <v>236700</v>
      </c>
      <c r="N22" s="124" t="e">
        <f>+#REF!-M22</f>
        <v>#REF!</v>
      </c>
      <c r="O22" s="124">
        <v>10225</v>
      </c>
      <c r="P22" s="124" t="e">
        <f>+#REF!-O22</f>
        <v>#REF!</v>
      </c>
      <c r="Q22" s="124">
        <v>31000</v>
      </c>
      <c r="R22" s="20">
        <v>66.08</v>
      </c>
      <c r="S22" s="124">
        <f t="shared" si="0"/>
        <v>2048480</v>
      </c>
      <c r="T22" s="26">
        <v>43965</v>
      </c>
      <c r="U22" s="124"/>
    </row>
    <row r="23" spans="13:26">
      <c r="M23" s="124">
        <v>250450</v>
      </c>
      <c r="N23" s="124" t="e">
        <f>+#REF!-M23</f>
        <v>#REF!</v>
      </c>
      <c r="O23" s="124">
        <v>9700</v>
      </c>
      <c r="P23" s="124" t="e">
        <f>+#REF!-O23</f>
        <v>#REF!</v>
      </c>
      <c r="Q23" s="124">
        <v>31000</v>
      </c>
      <c r="R23" s="20">
        <v>66.08</v>
      </c>
      <c r="S23" s="124">
        <f t="shared" si="0"/>
        <v>2048480</v>
      </c>
      <c r="T23" s="26">
        <v>43966</v>
      </c>
      <c r="U23" s="124"/>
    </row>
    <row r="24" spans="13:26">
      <c r="M24" s="124">
        <v>264725</v>
      </c>
      <c r="N24" s="124" t="e">
        <f>+#REF!-M24</f>
        <v>#REF!</v>
      </c>
      <c r="O24" s="124">
        <v>7350</v>
      </c>
      <c r="P24" s="124" t="e">
        <f>+#REF!-O24</f>
        <v>#REF!</v>
      </c>
      <c r="Q24" s="124">
        <v>31000</v>
      </c>
      <c r="R24" s="20">
        <v>66.08</v>
      </c>
      <c r="S24" s="124">
        <f t="shared" si="0"/>
        <v>2048480</v>
      </c>
      <c r="T24" s="26">
        <v>43967</v>
      </c>
    </row>
    <row r="25" spans="13:26">
      <c r="M25" s="124">
        <v>255425</v>
      </c>
      <c r="N25" s="124" t="e">
        <f>+#REF!-M25</f>
        <v>#REF!</v>
      </c>
      <c r="O25" s="124">
        <v>9300</v>
      </c>
      <c r="P25" s="124" t="e">
        <f>+#REF!-O25</f>
        <v>#REF!</v>
      </c>
      <c r="Q25" s="124">
        <v>23000</v>
      </c>
      <c r="R25" s="20">
        <v>60.01</v>
      </c>
      <c r="S25" s="124">
        <f t="shared" si="0"/>
        <v>1380230</v>
      </c>
      <c r="T25" s="26">
        <v>43973</v>
      </c>
    </row>
    <row r="26" spans="13:26">
      <c r="M26" s="124">
        <v>227275</v>
      </c>
      <c r="N26" s="124" t="e">
        <f>+#REF!-M26</f>
        <v>#REF!</v>
      </c>
      <c r="O26" s="124">
        <v>10875</v>
      </c>
      <c r="P26" s="124" t="e">
        <f>+#REF!-O26</f>
        <v>#REF!</v>
      </c>
      <c r="Q26" s="124">
        <v>8000</v>
      </c>
      <c r="R26" s="20">
        <v>60.01</v>
      </c>
      <c r="S26" s="124">
        <f t="shared" si="0"/>
        <v>480080</v>
      </c>
      <c r="T26" s="26">
        <v>43974</v>
      </c>
    </row>
    <row r="27" spans="13:26">
      <c r="M27" s="124">
        <v>207950</v>
      </c>
      <c r="N27" s="124" t="e">
        <f>+#REF!-M27</f>
        <v>#REF!</v>
      </c>
      <c r="O27" s="124">
        <v>9975</v>
      </c>
      <c r="P27" s="124" t="e">
        <f>+#REF!-O27</f>
        <v>#REF!</v>
      </c>
      <c r="Q27" s="140">
        <v>1000</v>
      </c>
      <c r="R27" s="140">
        <v>60.01</v>
      </c>
      <c r="S27" s="124">
        <f t="shared" si="0"/>
        <v>60010</v>
      </c>
      <c r="T27" s="26">
        <v>43974</v>
      </c>
    </row>
    <row r="28" spans="13:26">
      <c r="M28" s="124">
        <v>197725</v>
      </c>
      <c r="N28" s="124" t="e">
        <f>+#REF!-M28</f>
        <v>#REF!</v>
      </c>
      <c r="O28" s="124">
        <v>6775</v>
      </c>
      <c r="P28" s="124" t="e">
        <f>+#REF!-O28</f>
        <v>#REF!</v>
      </c>
      <c r="Q28" s="124">
        <v>14000</v>
      </c>
      <c r="R28" s="140">
        <v>60.01</v>
      </c>
      <c r="S28" s="124">
        <f t="shared" si="0"/>
        <v>840140</v>
      </c>
      <c r="T28" s="26">
        <v>43974</v>
      </c>
    </row>
    <row r="29" spans="13:26">
      <c r="M29" s="124">
        <v>176100</v>
      </c>
      <c r="N29" s="124" t="e">
        <f>+#REF!-M29</f>
        <v>#REF!</v>
      </c>
      <c r="O29" s="124">
        <v>11225</v>
      </c>
      <c r="P29" s="124" t="e">
        <f>+#REF!-O29</f>
        <v>#REF!</v>
      </c>
      <c r="Q29" s="140">
        <v>10000</v>
      </c>
      <c r="R29" s="140">
        <v>68.12</v>
      </c>
      <c r="S29" s="124">
        <f t="shared" si="0"/>
        <v>681200</v>
      </c>
      <c r="T29" s="26">
        <v>43975</v>
      </c>
    </row>
    <row r="30" spans="13:26">
      <c r="M30" s="124">
        <v>225175</v>
      </c>
      <c r="N30" s="124" t="e">
        <f>+#REF!-M30</f>
        <v>#REF!</v>
      </c>
      <c r="O30" s="124">
        <v>9875</v>
      </c>
      <c r="P30" s="124" t="e">
        <f>+#REF!-O30</f>
        <v>#REF!</v>
      </c>
      <c r="Q30" s="140">
        <v>24750</v>
      </c>
      <c r="R30" s="140">
        <v>56.107500000000002</v>
      </c>
      <c r="S30" s="124">
        <f t="shared" si="0"/>
        <v>1388660.625</v>
      </c>
      <c r="T30" s="26">
        <v>43980</v>
      </c>
    </row>
    <row r="31" spans="13:26">
      <c r="M31" s="124">
        <v>206725</v>
      </c>
      <c r="N31" s="124" t="e">
        <f>+#REF!-M31</f>
        <v>#REF!</v>
      </c>
      <c r="O31" s="124">
        <v>10050</v>
      </c>
      <c r="P31" s="124" t="e">
        <f>+#REF!-O31</f>
        <v>#REF!</v>
      </c>
      <c r="Q31" s="140">
        <v>24750</v>
      </c>
      <c r="R31" s="140">
        <v>56.107500000000002</v>
      </c>
      <c r="S31" s="124">
        <f t="shared" si="0"/>
        <v>1388660.625</v>
      </c>
      <c r="T31" s="26">
        <v>43980</v>
      </c>
    </row>
    <row r="32" spans="13:26">
      <c r="M32" s="124">
        <v>195900</v>
      </c>
      <c r="N32" s="124" t="e">
        <f>+#REF!-M32</f>
        <v>#REF!</v>
      </c>
      <c r="O32" s="124">
        <v>11725</v>
      </c>
      <c r="P32" s="124" t="e">
        <f>+#REF!-O32</f>
        <v>#REF!</v>
      </c>
      <c r="Q32" s="140">
        <v>24750</v>
      </c>
      <c r="R32" s="140">
        <v>56.107500000000002</v>
      </c>
      <c r="S32" s="124">
        <f t="shared" si="0"/>
        <v>1388660.625</v>
      </c>
      <c r="T32" s="26">
        <v>43980</v>
      </c>
    </row>
    <row r="33" spans="2:20">
      <c r="M33" s="124"/>
      <c r="N33" s="124"/>
      <c r="O33" s="124">
        <f>SUM(O3:O32)</f>
        <v>288500</v>
      </c>
      <c r="P33" s="124" t="e">
        <f>SUM(P3:P32)</f>
        <v>#REF!</v>
      </c>
      <c r="Q33" s="140">
        <v>24750</v>
      </c>
      <c r="R33" s="124">
        <v>56.107500000000002</v>
      </c>
      <c r="S33" s="124">
        <f t="shared" si="0"/>
        <v>1388660.625</v>
      </c>
      <c r="T33" s="26">
        <v>43980</v>
      </c>
    </row>
    <row r="34" spans="2:20">
      <c r="B34" s="124"/>
      <c r="C34" s="124"/>
      <c r="D34" s="124"/>
      <c r="E34" s="124"/>
      <c r="F34" s="124"/>
      <c r="G34" s="124">
        <v>290117.53999999998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>
        <v>24750</v>
      </c>
      <c r="R34" s="124">
        <v>56.107500000000002</v>
      </c>
      <c r="S34" s="124">
        <f t="shared" si="0"/>
        <v>1388660.625</v>
      </c>
      <c r="T34" s="26">
        <v>43981</v>
      </c>
    </row>
    <row r="35" spans="2:20">
      <c r="B35" s="124" t="e">
        <f>+#REF!-B34</f>
        <v>#REF!</v>
      </c>
      <c r="C35" s="124"/>
      <c r="D35" s="124"/>
      <c r="E35" s="124"/>
      <c r="F35" s="124"/>
      <c r="G35" s="124" t="e">
        <f>+#REF!-G34</f>
        <v>#REF!</v>
      </c>
      <c r="H35" s="124"/>
      <c r="I35" s="124"/>
      <c r="J35" s="124"/>
      <c r="K35" s="124"/>
      <c r="L35" s="124" t="e">
        <f>+#REF!-L34</f>
        <v>#REF!</v>
      </c>
      <c r="M35" s="124"/>
      <c r="N35" s="124"/>
      <c r="O35" s="124"/>
      <c r="P35" s="124"/>
      <c r="Q35" s="124">
        <v>24750</v>
      </c>
      <c r="R35" s="124">
        <v>56.107500000000002</v>
      </c>
      <c r="S35" s="124">
        <f t="shared" si="0"/>
        <v>1388660.625</v>
      </c>
      <c r="T35" s="26">
        <v>43981</v>
      </c>
    </row>
    <row r="36" spans="2:20"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26"/>
    </row>
    <row r="37" spans="2:20"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26"/>
    </row>
    <row r="38" spans="2:20"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26"/>
    </row>
    <row r="39" spans="2:20"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26"/>
    </row>
    <row r="40" spans="2:20"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26"/>
    </row>
    <row r="41" spans="2:20"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26"/>
    </row>
    <row r="42" spans="2:20"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26"/>
    </row>
    <row r="43" spans="2:20"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S43" s="124"/>
      <c r="T43" s="26"/>
    </row>
    <row r="44" spans="2:20"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S44" s="124"/>
      <c r="T44" s="26"/>
    </row>
    <row r="45" spans="2:20"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S45" s="124"/>
      <c r="T45" s="26"/>
    </row>
    <row r="46" spans="2:20"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6"/>
    </row>
    <row r="47" spans="2:20"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</row>
    <row r="48" spans="2:20"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</row>
    <row r="49" spans="17:19">
      <c r="Q49" s="124"/>
      <c r="R49" s="124"/>
      <c r="S49" s="124"/>
    </row>
    <row r="50" spans="17:19">
      <c r="Q50" s="124"/>
      <c r="R50" s="124"/>
      <c r="S50" s="124"/>
    </row>
    <row r="51" spans="17:19">
      <c r="Q51" s="124"/>
      <c r="R51" s="124"/>
      <c r="S51" s="124"/>
    </row>
    <row r="52" spans="17:19">
      <c r="Q52" s="124"/>
      <c r="R52" s="124"/>
      <c r="S52" s="124"/>
    </row>
    <row r="53" spans="17:19">
      <c r="Q53" s="124"/>
      <c r="R53" s="124"/>
      <c r="S53" s="124"/>
    </row>
    <row r="54" spans="17:19">
      <c r="Q54" s="124"/>
      <c r="R54" s="124"/>
      <c r="S54" s="124"/>
    </row>
    <row r="55" spans="17:19">
      <c r="S55" s="124"/>
    </row>
    <row r="56" spans="17:19">
      <c r="S56" s="124"/>
    </row>
    <row r="57" spans="17:19">
      <c r="S57" s="124"/>
    </row>
    <row r="58" spans="17:19">
      <c r="S58" s="124"/>
    </row>
    <row r="59" spans="17:19">
      <c r="S59" s="124"/>
    </row>
    <row r="60" spans="17:19">
      <c r="S60" s="124"/>
    </row>
    <row r="61" spans="17:19">
      <c r="S61" s="124"/>
    </row>
    <row r="62" spans="17:19">
      <c r="S62" s="124"/>
    </row>
    <row r="63" spans="17:19">
      <c r="S63" s="124"/>
    </row>
    <row r="64" spans="17:19">
      <c r="S64" s="124"/>
    </row>
    <row r="65" spans="17:20">
      <c r="S65" s="124"/>
    </row>
    <row r="66" spans="17:20">
      <c r="S66" s="124"/>
    </row>
    <row r="75" spans="17:20">
      <c r="Q75" s="124"/>
      <c r="R75" s="20"/>
      <c r="S75" s="124"/>
      <c r="T75" s="26"/>
    </row>
    <row r="76" spans="17:20">
      <c r="Q76" s="124"/>
      <c r="R76" s="20"/>
      <c r="S76" s="124"/>
      <c r="T76" s="26"/>
    </row>
    <row r="77" spans="17:20">
      <c r="Q77" s="124">
        <f>SUM(Q2:Q76)</f>
        <v>1115058.04</v>
      </c>
      <c r="R77" s="20">
        <f>+S77/Q77</f>
        <v>65.612454802880293</v>
      </c>
      <c r="S77" s="124">
        <f>SUM(S2:S76)</f>
        <v>73161695.252088293</v>
      </c>
      <c r="T77" s="26"/>
    </row>
    <row r="80" spans="17:20">
      <c r="Q80" s="124"/>
      <c r="S80" s="124"/>
    </row>
    <row r="82" spans="19:19">
      <c r="S82" s="124"/>
    </row>
  </sheetData>
  <pageMargins left="0.69930555555555596" right="0.69930555555555596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Z33"/>
  <sheetViews>
    <sheetView workbookViewId="0"/>
  </sheetViews>
  <sheetFormatPr defaultColWidth="12.42578125" defaultRowHeight="12.75"/>
  <cols>
    <col min="1" max="1" width="11.85546875" style="10" customWidth="1"/>
    <col min="2" max="2" width="13" style="10" customWidth="1"/>
    <col min="3" max="3" width="9.28515625" style="10" customWidth="1"/>
    <col min="4" max="4" width="10.140625" style="10" customWidth="1"/>
    <col min="5" max="5" width="8.28515625" style="10" customWidth="1"/>
    <col min="6" max="6" width="13.140625" style="10" customWidth="1"/>
    <col min="7" max="7" width="16.85546875" style="10" customWidth="1"/>
    <col min="8" max="8" width="16.42578125" style="10" customWidth="1"/>
    <col min="9" max="9" width="5.42578125" style="10" customWidth="1"/>
    <col min="10" max="10" width="8.42578125" style="10" customWidth="1"/>
    <col min="11" max="11" width="10.85546875" style="10" customWidth="1"/>
    <col min="12" max="12" width="11.7109375" style="10" customWidth="1"/>
    <col min="13" max="13" width="12.42578125" style="10" customWidth="1"/>
    <col min="14" max="14" width="9.28515625" style="10" customWidth="1"/>
    <col min="15" max="16" width="12.42578125" style="10" customWidth="1"/>
    <col min="17" max="17" width="9.28515625" style="10" customWidth="1"/>
    <col min="18" max="18" width="7.85546875" style="10" customWidth="1"/>
    <col min="19" max="19" width="11.42578125" style="10" customWidth="1"/>
    <col min="20" max="20" width="11.140625" style="10" customWidth="1"/>
    <col min="21" max="22" width="12.42578125" style="10" customWidth="1"/>
    <col min="23" max="23" width="16.5703125" style="10" customWidth="1"/>
    <col min="24" max="24" width="9.5703125" style="10" bestFit="1" customWidth="1"/>
    <col min="25" max="25" width="12.85546875" style="10" customWidth="1"/>
    <col min="26" max="26" width="14" style="10" customWidth="1"/>
    <col min="27" max="27" width="12.42578125" style="10" customWidth="1"/>
    <col min="28" max="16384" width="12.42578125" style="10"/>
  </cols>
  <sheetData>
    <row r="1" spans="13:26" s="15" customFormat="1"/>
    <row r="2" spans="13:26">
      <c r="M2" s="14"/>
      <c r="N2" s="14" t="e">
        <f>#REF!-M2</f>
        <v>#REF!</v>
      </c>
      <c r="O2" s="14"/>
      <c r="P2" s="14"/>
      <c r="Q2" s="14">
        <v>0</v>
      </c>
      <c r="R2" s="14">
        <v>0</v>
      </c>
      <c r="S2" s="14">
        <f>+Q2*R2</f>
        <v>0</v>
      </c>
    </row>
    <row r="3" spans="13:26">
      <c r="M3" s="14"/>
      <c r="N3" s="14" t="e">
        <f>#REF!-M3</f>
        <v>#REF!</v>
      </c>
      <c r="O3" s="14"/>
      <c r="P3" s="14"/>
      <c r="Q3" s="14"/>
      <c r="R3" s="14"/>
      <c r="S3" s="14"/>
      <c r="W3" s="15" t="s">
        <v>63</v>
      </c>
      <c r="X3" s="15">
        <f>Q2</f>
        <v>0</v>
      </c>
      <c r="Y3" s="15">
        <f>R2</f>
        <v>0</v>
      </c>
      <c r="Z3" s="15">
        <f>X3*Y3</f>
        <v>0</v>
      </c>
    </row>
    <row r="4" spans="13:26">
      <c r="M4" s="14"/>
      <c r="N4" s="14" t="e">
        <f>#REF!-M4</f>
        <v>#REF!</v>
      </c>
      <c r="O4" s="14"/>
      <c r="P4" s="14"/>
      <c r="Q4" s="14"/>
      <c r="R4" s="14"/>
      <c r="S4" s="14"/>
      <c r="W4" s="15" t="s">
        <v>61</v>
      </c>
      <c r="X4" s="35">
        <f>SUM(Q3:Q5)</f>
        <v>0</v>
      </c>
      <c r="Y4" s="15" t="e">
        <f>Z4/X4</f>
        <v>#DIV/0!</v>
      </c>
      <c r="Z4" s="35">
        <f>SUM(S3:S5)</f>
        <v>0</v>
      </c>
    </row>
    <row r="5" spans="13:26">
      <c r="M5" s="14"/>
      <c r="N5" s="14" t="e">
        <f>#REF!-M5</f>
        <v>#REF!</v>
      </c>
      <c r="O5" s="14"/>
      <c r="P5" s="14"/>
      <c r="Q5" s="33"/>
      <c r="R5" s="14"/>
      <c r="S5" s="14"/>
      <c r="T5" s="27"/>
      <c r="W5" s="15" t="s">
        <v>281</v>
      </c>
      <c r="X5" s="35" t="e">
        <f>-#REF!</f>
        <v>#REF!</v>
      </c>
      <c r="Y5" s="35" t="e">
        <f>R12</f>
        <v>#REF!</v>
      </c>
      <c r="Z5" s="15" t="e">
        <f>X5*Y5</f>
        <v>#REF!</v>
      </c>
    </row>
    <row r="6" spans="13:26">
      <c r="M6" s="14"/>
      <c r="N6" s="14" t="e">
        <f>#REF!-M6</f>
        <v>#REF!</v>
      </c>
      <c r="O6" s="14"/>
      <c r="P6" s="14"/>
      <c r="Q6" s="14"/>
      <c r="R6" s="14"/>
      <c r="S6" s="14"/>
      <c r="T6" s="18"/>
      <c r="W6" s="15" t="s">
        <v>248</v>
      </c>
      <c r="X6" s="15" t="e">
        <f>SUM(X3:X5)</f>
        <v>#REF!</v>
      </c>
      <c r="Y6" s="15" t="e">
        <f>Z6/X6</f>
        <v>#REF!</v>
      </c>
      <c r="Z6" s="15" t="e">
        <f>SUM(Z3:Z5)</f>
        <v>#REF!</v>
      </c>
    </row>
    <row r="7" spans="13:26">
      <c r="M7" s="14"/>
      <c r="N7" s="14" t="e">
        <f>#REF!-M7</f>
        <v>#REF!</v>
      </c>
      <c r="O7" s="14"/>
      <c r="P7" s="14"/>
      <c r="Q7" s="14"/>
      <c r="R7" s="14"/>
      <c r="S7" s="14"/>
      <c r="T7" s="18"/>
    </row>
    <row r="8" spans="13:26">
      <c r="M8" s="14"/>
      <c r="N8" s="14" t="e">
        <f>#REF!-M8</f>
        <v>#REF!</v>
      </c>
      <c r="O8" s="14"/>
      <c r="P8" s="14"/>
      <c r="Q8" s="14"/>
      <c r="R8" s="14"/>
      <c r="S8" s="14"/>
      <c r="T8" s="18"/>
    </row>
    <row r="9" spans="13:26">
      <c r="M9" s="14"/>
      <c r="N9" s="14" t="e">
        <f>#REF!-M9</f>
        <v>#REF!</v>
      </c>
      <c r="O9" s="14"/>
      <c r="P9" s="14"/>
      <c r="Q9" s="14"/>
      <c r="R9" s="14"/>
      <c r="S9" s="14"/>
      <c r="T9" s="18"/>
    </row>
    <row r="10" spans="13:26">
      <c r="M10" s="14"/>
      <c r="N10" s="14" t="e">
        <f>#REF!-M10</f>
        <v>#REF!</v>
      </c>
      <c r="O10" s="14"/>
      <c r="P10" s="14"/>
      <c r="Q10" s="14">
        <f>SUM(Q3:Q7)</f>
        <v>0</v>
      </c>
      <c r="R10" s="14">
        <f>R6</f>
        <v>0</v>
      </c>
      <c r="S10" s="14">
        <f>SUM(S3:S7)</f>
        <v>0</v>
      </c>
      <c r="T10" s="18"/>
    </row>
    <row r="11" spans="13:26">
      <c r="M11" s="14"/>
      <c r="N11" s="14" t="e">
        <f>#REF!-M11</f>
        <v>#REF!</v>
      </c>
      <c r="O11" s="14"/>
      <c r="P11" s="14"/>
      <c r="Q11" s="14" t="e">
        <f>-X5-Q10</f>
        <v>#REF!</v>
      </c>
      <c r="R11" s="14">
        <f>R2</f>
        <v>0</v>
      </c>
      <c r="S11" s="14" t="e">
        <f>+Q11*R11</f>
        <v>#REF!</v>
      </c>
      <c r="T11" s="18"/>
    </row>
    <row r="12" spans="13:26">
      <c r="M12" s="14"/>
      <c r="N12" s="14" t="e">
        <f>#REF!-M12</f>
        <v>#REF!</v>
      </c>
      <c r="O12" s="14"/>
      <c r="P12" s="14"/>
      <c r="Q12" s="14" t="e">
        <f>SUM(Q10:Q11)</f>
        <v>#REF!</v>
      </c>
      <c r="R12" s="14" t="e">
        <f>S12/Q12</f>
        <v>#REF!</v>
      </c>
      <c r="S12" s="14" t="e">
        <f>SUM(S10:S11)</f>
        <v>#REF!</v>
      </c>
      <c r="T12" s="18"/>
    </row>
    <row r="13" spans="13:26">
      <c r="M13" s="14"/>
      <c r="N13" s="14" t="e">
        <f>#REF!-M13</f>
        <v>#REF!</v>
      </c>
      <c r="O13" s="14"/>
      <c r="P13" s="14"/>
      <c r="Q13" s="14"/>
      <c r="R13" s="14"/>
      <c r="S13" s="14"/>
      <c r="T13" s="18"/>
    </row>
    <row r="14" spans="13:26">
      <c r="M14" s="14"/>
      <c r="N14" s="14" t="e">
        <f>#REF!-M14</f>
        <v>#REF!</v>
      </c>
      <c r="O14" s="14"/>
      <c r="P14" s="14"/>
      <c r="Q14" s="14"/>
      <c r="R14" s="14"/>
      <c r="S14" s="14"/>
      <c r="T14" s="18"/>
    </row>
    <row r="15" spans="13:26">
      <c r="M15" s="14"/>
      <c r="N15" s="14" t="e">
        <f>#REF!-M15</f>
        <v>#REF!</v>
      </c>
      <c r="O15" s="14"/>
      <c r="P15" s="14"/>
      <c r="Q15" s="14"/>
      <c r="R15" s="14"/>
      <c r="S15" s="14"/>
      <c r="T15" s="18"/>
    </row>
    <row r="16" spans="13:26">
      <c r="M16" s="14"/>
      <c r="N16" s="14" t="e">
        <f>#REF!-M16</f>
        <v>#REF!</v>
      </c>
      <c r="O16" s="14"/>
      <c r="P16" s="14"/>
      <c r="Q16" s="14"/>
      <c r="R16" s="14"/>
      <c r="S16" s="14"/>
      <c r="T16" s="18"/>
    </row>
    <row r="17" spans="13:20">
      <c r="M17" s="14"/>
      <c r="N17" s="14" t="e">
        <f>#REF!-M17</f>
        <v>#REF!</v>
      </c>
      <c r="O17" s="14"/>
      <c r="P17" s="14"/>
      <c r="Q17" s="14"/>
      <c r="R17" s="20"/>
      <c r="S17" s="14"/>
      <c r="T17" s="18"/>
    </row>
    <row r="18" spans="13:20">
      <c r="M18" s="14"/>
      <c r="N18" s="14" t="e">
        <f>#REF!-M18</f>
        <v>#REF!</v>
      </c>
      <c r="O18" s="14"/>
      <c r="P18" s="14"/>
      <c r="Q18" s="14"/>
      <c r="R18" s="14"/>
      <c r="S18" s="14"/>
      <c r="T18" s="18"/>
    </row>
    <row r="19" spans="13:20">
      <c r="M19" s="14"/>
      <c r="N19" s="14" t="e">
        <f>#REF!-M19</f>
        <v>#REF!</v>
      </c>
      <c r="O19" s="14"/>
      <c r="P19" s="14"/>
      <c r="Q19" s="14"/>
      <c r="R19" s="14"/>
      <c r="S19" s="14"/>
      <c r="T19" s="18"/>
    </row>
    <row r="20" spans="13:20">
      <c r="M20" s="14"/>
      <c r="N20" s="14" t="e">
        <f>#REF!-M20</f>
        <v>#REF!</v>
      </c>
      <c r="O20" s="14"/>
      <c r="P20" s="14"/>
      <c r="Q20" s="14"/>
      <c r="R20" s="14"/>
      <c r="S20" s="14"/>
      <c r="T20" s="18"/>
    </row>
    <row r="21" spans="13:20">
      <c r="M21" s="14"/>
      <c r="N21" s="14" t="e">
        <f>#REF!-M21</f>
        <v>#REF!</v>
      </c>
      <c r="O21" s="14"/>
      <c r="P21" s="14"/>
      <c r="Q21" s="14"/>
      <c r="R21" s="14"/>
      <c r="S21" s="14"/>
      <c r="T21" s="18"/>
    </row>
    <row r="22" spans="13:20">
      <c r="M22" s="14"/>
      <c r="N22" s="14" t="e">
        <f>#REF!-M22</f>
        <v>#REF!</v>
      </c>
      <c r="O22" s="14"/>
      <c r="P22" s="14"/>
      <c r="Q22" s="14"/>
      <c r="R22" s="14"/>
      <c r="S22" s="14"/>
      <c r="T22" s="18"/>
    </row>
    <row r="23" spans="13:20">
      <c r="M23" s="14"/>
      <c r="N23" s="14" t="e">
        <f>#REF!-M23</f>
        <v>#REF!</v>
      </c>
      <c r="O23" s="14"/>
      <c r="P23" s="14"/>
      <c r="Q23" s="14"/>
      <c r="R23" s="14"/>
      <c r="S23" s="14"/>
      <c r="T23" s="18"/>
    </row>
    <row r="24" spans="13:20">
      <c r="M24" s="14"/>
      <c r="N24" s="14" t="e">
        <f>#REF!-M24</f>
        <v>#REF!</v>
      </c>
      <c r="O24" s="14"/>
      <c r="P24" s="14"/>
      <c r="Q24" s="14"/>
      <c r="R24" s="14"/>
      <c r="S24" s="14"/>
      <c r="T24" s="18"/>
    </row>
    <row r="25" spans="13:20">
      <c r="M25" s="14"/>
      <c r="N25" s="14" t="e">
        <f>#REF!-M25</f>
        <v>#REF!</v>
      </c>
      <c r="O25" s="14"/>
      <c r="P25" s="14"/>
      <c r="Q25" s="14"/>
      <c r="R25" s="14"/>
      <c r="S25" s="14"/>
      <c r="T25" s="18"/>
    </row>
    <row r="26" spans="13:20">
      <c r="M26" s="14"/>
      <c r="N26" s="14" t="e">
        <f>#REF!-M26</f>
        <v>#REF!</v>
      </c>
      <c r="O26" s="14"/>
      <c r="P26" s="14"/>
      <c r="Q26" s="14"/>
      <c r="R26" s="14"/>
      <c r="S26" s="14"/>
      <c r="T26" s="18"/>
    </row>
    <row r="27" spans="13:20">
      <c r="M27" s="14"/>
      <c r="N27" s="14" t="e">
        <f>#REF!-M27</f>
        <v>#REF!</v>
      </c>
      <c r="O27" s="14"/>
      <c r="P27" s="14"/>
      <c r="Q27" s="14"/>
      <c r="R27" s="14"/>
      <c r="S27" s="14"/>
      <c r="T27" s="18"/>
    </row>
    <row r="28" spans="13:20">
      <c r="M28" s="14"/>
      <c r="N28" s="14" t="e">
        <f>#REF!-M28</f>
        <v>#REF!</v>
      </c>
      <c r="O28" s="14"/>
      <c r="P28" s="14"/>
      <c r="Q28" s="14"/>
      <c r="R28" s="14"/>
      <c r="S28" s="14"/>
      <c r="T28" s="18"/>
    </row>
    <row r="29" spans="13:20">
      <c r="M29" s="14"/>
      <c r="N29" s="14" t="e">
        <f>#REF!-M29</f>
        <v>#REF!</v>
      </c>
      <c r="O29" s="14"/>
      <c r="P29" s="14"/>
      <c r="Q29" s="14"/>
      <c r="R29" s="14"/>
      <c r="S29" s="14"/>
      <c r="T29" s="18"/>
    </row>
    <row r="30" spans="13:20">
      <c r="M30" s="14"/>
      <c r="N30" s="14" t="e">
        <f>#REF!-M30</f>
        <v>#REF!</v>
      </c>
      <c r="O30" s="14"/>
      <c r="P30" s="14"/>
      <c r="Q30" s="14"/>
      <c r="R30" s="14"/>
      <c r="S30" s="14"/>
      <c r="T30" s="18"/>
    </row>
    <row r="31" spans="13:20">
      <c r="M31" s="14"/>
      <c r="N31" s="14" t="e">
        <f>#REF!-M31</f>
        <v>#REF!</v>
      </c>
      <c r="O31" s="14"/>
      <c r="P31" s="14"/>
      <c r="Q31" s="17"/>
      <c r="R31" s="14"/>
      <c r="S31" s="14"/>
      <c r="T31" s="18"/>
    </row>
    <row r="32" spans="13:20">
      <c r="M32" s="14"/>
      <c r="N32" s="14" t="e">
        <f>#REF!-M32</f>
        <v>#REF!</v>
      </c>
      <c r="O32" s="14"/>
      <c r="P32" s="14"/>
      <c r="Q32" s="17"/>
      <c r="R32" s="14"/>
      <c r="S32" s="14"/>
      <c r="T32" s="18"/>
    </row>
    <row r="33" spans="13:19">
      <c r="M33" s="14"/>
      <c r="N33" s="14"/>
      <c r="O33" s="14"/>
      <c r="P33" s="14"/>
      <c r="Q33" s="14"/>
      <c r="R33" s="14"/>
      <c r="S33" s="14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53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10.28515625" style="10" customWidth="1"/>
    <col min="4" max="4" width="14.140625" style="10" customWidth="1"/>
    <col min="5" max="5" width="10.28515625" style="10" customWidth="1"/>
    <col min="6" max="6" width="10" style="10" bestFit="1" customWidth="1"/>
    <col min="7" max="7" width="13.140625" style="10" customWidth="1"/>
    <col min="8" max="8" width="16.85546875" style="10" customWidth="1"/>
    <col min="9" max="9" width="13.42578125" style="10" customWidth="1"/>
    <col min="10" max="10" width="12.7109375" style="10" customWidth="1"/>
    <col min="11" max="11" width="14.140625" style="10" customWidth="1"/>
    <col min="12" max="12" width="9.28515625" style="10" customWidth="1"/>
    <col min="13" max="13" width="10" style="10" bestFit="1" customWidth="1"/>
    <col min="14" max="14" width="10.85546875" style="10" customWidth="1"/>
    <col min="15" max="15" width="11.7109375" style="10" customWidth="1"/>
    <col min="16" max="16" width="9" style="10"/>
    <col min="17" max="17" width="10.28515625" style="10" customWidth="1"/>
    <col min="18" max="19" width="9" style="10"/>
    <col min="20" max="20" width="10.28515625" style="10" customWidth="1"/>
    <col min="21" max="21" width="7.85546875" style="10" customWidth="1"/>
    <col min="22" max="22" width="13" style="10" customWidth="1"/>
    <col min="23" max="23" width="11.5703125" style="10" bestFit="1" customWidth="1"/>
    <col min="24" max="25" width="9" style="10"/>
    <col min="26" max="26" width="16.5703125" style="10" customWidth="1"/>
    <col min="27" max="27" width="10.5703125" style="10" bestFit="1" customWidth="1"/>
    <col min="28" max="28" width="12.85546875" style="10" customWidth="1"/>
    <col min="29" max="29" width="14" style="10" customWidth="1"/>
    <col min="30" max="16384" width="9" style="10"/>
  </cols>
  <sheetData>
    <row r="1" spans="16:29" s="15" customFormat="1"/>
    <row r="2" spans="16:29">
      <c r="P2" s="14"/>
      <c r="Q2" s="14" t="e">
        <f>#REF!-P2</f>
        <v>#REF!</v>
      </c>
      <c r="R2" s="14"/>
      <c r="S2" s="14"/>
      <c r="T2" s="14">
        <v>20523.199999999997</v>
      </c>
      <c r="U2" s="14">
        <v>114.8494369699158</v>
      </c>
      <c r="V2" s="14">
        <f>+T2*U2</f>
        <v>2357077.9648209754</v>
      </c>
    </row>
    <row r="3" spans="16:29">
      <c r="P3" s="14"/>
      <c r="Q3" s="14" t="e">
        <f>#REF!-P3</f>
        <v>#REF!</v>
      </c>
      <c r="R3" s="14"/>
      <c r="S3" s="14"/>
      <c r="T3" s="14">
        <v>2545.16</v>
      </c>
      <c r="U3" s="14">
        <v>102.08988611158399</v>
      </c>
      <c r="V3" s="14">
        <f>+T3*U3</f>
        <v>259835.0945357591</v>
      </c>
      <c r="W3" s="31">
        <v>43956</v>
      </c>
      <c r="Z3" s="15" t="s">
        <v>63</v>
      </c>
      <c r="AA3" s="15">
        <f>T2</f>
        <v>20523.199999999997</v>
      </c>
      <c r="AB3" s="15">
        <f>U2</f>
        <v>114.8494369699158</v>
      </c>
      <c r="AC3" s="15">
        <f>AA3*AB3</f>
        <v>2357077.9648209754</v>
      </c>
    </row>
    <row r="4" spans="16:29">
      <c r="P4" s="14"/>
      <c r="Q4" s="14" t="e">
        <f>#REF!-P4</f>
        <v>#REF!</v>
      </c>
      <c r="R4" s="14"/>
      <c r="S4" s="14"/>
      <c r="T4" s="17">
        <v>2395.6999999999998</v>
      </c>
      <c r="U4" s="17">
        <v>108.08987941817099</v>
      </c>
      <c r="V4" s="14">
        <f t="shared" ref="V4:V48" si="0">+T4*U4</f>
        <v>258950.92412211222</v>
      </c>
      <c r="W4" s="31">
        <v>43956</v>
      </c>
      <c r="Z4" s="15" t="s">
        <v>61</v>
      </c>
      <c r="AA4" s="35">
        <f>SUM(T3:T32)</f>
        <v>51532.159999999989</v>
      </c>
      <c r="AB4" s="15">
        <f>AC4/AA4</f>
        <v>99.382320155527594</v>
      </c>
      <c r="AC4" s="35">
        <f>SUM(V3:V32)</f>
        <v>5121385.6234258721</v>
      </c>
    </row>
    <row r="5" spans="16:29">
      <c r="P5" s="14"/>
      <c r="Q5" s="14" t="e">
        <f>#REF!-P5</f>
        <v>#REF!</v>
      </c>
      <c r="R5" s="14"/>
      <c r="S5" s="14"/>
      <c r="T5" s="19">
        <v>1180.5</v>
      </c>
      <c r="U5" s="14">
        <v>108.08987941817099</v>
      </c>
      <c r="V5" s="14">
        <f t="shared" si="0"/>
        <v>127600.10265315085</v>
      </c>
      <c r="W5" s="31">
        <v>43956</v>
      </c>
      <c r="Z5" s="15" t="s">
        <v>281</v>
      </c>
      <c r="AA5" s="35" t="e">
        <f>-#REF!</f>
        <v>#REF!</v>
      </c>
      <c r="AB5" s="15" t="e">
        <f>U52</f>
        <v>#REF!</v>
      </c>
      <c r="AC5" s="15" t="e">
        <f>AA5*AB5</f>
        <v>#REF!</v>
      </c>
    </row>
    <row r="6" spans="16:29">
      <c r="P6" s="14"/>
      <c r="Q6" s="14" t="e">
        <f>#REF!-P6</f>
        <v>#REF!</v>
      </c>
      <c r="R6" s="14"/>
      <c r="S6" s="14"/>
      <c r="T6" s="17">
        <v>2757.8</v>
      </c>
      <c r="U6" s="17">
        <v>105.089882764877</v>
      </c>
      <c r="V6" s="14">
        <f t="shared" si="0"/>
        <v>289816.8786889778</v>
      </c>
      <c r="W6" s="32">
        <v>43956</v>
      </c>
      <c r="Z6" s="15" t="s">
        <v>248</v>
      </c>
      <c r="AA6" s="15" t="e">
        <f>SUM(AA3:AA5)</f>
        <v>#REF!</v>
      </c>
      <c r="AB6" s="15" t="e">
        <f>AC6/AA6</f>
        <v>#REF!</v>
      </c>
      <c r="AC6" s="15" t="e">
        <f>SUM(AC3:AC5)</f>
        <v>#REF!</v>
      </c>
    </row>
    <row r="7" spans="16:29">
      <c r="P7" s="14"/>
      <c r="Q7" s="14" t="e">
        <f>#REF!-P7</f>
        <v>#REF!</v>
      </c>
      <c r="R7" s="14"/>
      <c r="S7" s="14"/>
      <c r="T7" s="14">
        <v>2505.5100000000002</v>
      </c>
      <c r="U7" s="17">
        <v>125.49982716663899</v>
      </c>
      <c r="V7" s="14">
        <f t="shared" si="0"/>
        <v>314441.07196428569</v>
      </c>
      <c r="W7" s="32">
        <v>43956</v>
      </c>
    </row>
    <row r="8" spans="16:29">
      <c r="P8" s="14"/>
      <c r="Q8" s="14" t="e">
        <f>#REF!-P8</f>
        <v>#REF!</v>
      </c>
      <c r="R8" s="14"/>
      <c r="S8" s="14"/>
      <c r="T8" s="19">
        <v>1097</v>
      </c>
      <c r="U8" s="14">
        <v>85.069840506509493</v>
      </c>
      <c r="V8" s="14">
        <f t="shared" si="0"/>
        <v>93321.61503564092</v>
      </c>
      <c r="W8" s="32">
        <v>43957</v>
      </c>
    </row>
    <row r="9" spans="16:29">
      <c r="P9" s="14"/>
      <c r="Q9" s="14" t="e">
        <f>#REF!-P9</f>
        <v>#REF!</v>
      </c>
      <c r="R9" s="14"/>
      <c r="S9" s="14"/>
      <c r="T9" s="14">
        <v>281.39999999999998</v>
      </c>
      <c r="U9" s="14">
        <v>88.069834881959395</v>
      </c>
      <c r="V9" s="14">
        <f t="shared" si="0"/>
        <v>24782.851535783371</v>
      </c>
      <c r="W9" s="32">
        <v>43957</v>
      </c>
    </row>
    <row r="10" spans="16:29">
      <c r="P10" s="14"/>
      <c r="Q10" s="14" t="e">
        <f>#REF!-P10</f>
        <v>#REF!</v>
      </c>
      <c r="R10" s="14"/>
      <c r="S10" s="14"/>
      <c r="T10" s="19">
        <v>501.4</v>
      </c>
      <c r="U10" s="14">
        <v>113.210100389022</v>
      </c>
      <c r="V10" s="14">
        <f t="shared" si="0"/>
        <v>56763.544335055631</v>
      </c>
      <c r="W10" s="32">
        <v>43960</v>
      </c>
    </row>
    <row r="11" spans="16:29">
      <c r="P11" s="14"/>
      <c r="Q11" s="14" t="e">
        <f>#REF!-P11</f>
        <v>#REF!</v>
      </c>
      <c r="R11" s="14"/>
      <c r="S11" s="14"/>
      <c r="T11" s="19">
        <v>1009.5</v>
      </c>
      <c r="U11" s="14">
        <v>107.240106869241</v>
      </c>
      <c r="V11" s="14">
        <f t="shared" si="0"/>
        <v>108258.88788449879</v>
      </c>
      <c r="W11" s="32">
        <v>43961</v>
      </c>
    </row>
    <row r="12" spans="16:29">
      <c r="P12" s="14"/>
      <c r="Q12" s="14" t="e">
        <f>#REF!-P12</f>
        <v>#REF!</v>
      </c>
      <c r="R12" s="14"/>
      <c r="S12" s="14"/>
      <c r="T12" s="19">
        <v>3999.7</v>
      </c>
      <c r="U12" s="14">
        <v>104.240103879613</v>
      </c>
      <c r="V12" s="14">
        <f t="shared" si="0"/>
        <v>416929.14348728809</v>
      </c>
      <c r="W12" s="32">
        <v>43961</v>
      </c>
    </row>
    <row r="13" spans="16:29">
      <c r="P13" s="14"/>
      <c r="Q13" s="14" t="e">
        <f>#REF!-P13</f>
        <v>#REF!</v>
      </c>
      <c r="R13" s="14"/>
      <c r="S13" s="14"/>
      <c r="T13" s="19">
        <v>103.4</v>
      </c>
      <c r="U13" s="14">
        <v>110.24010985887</v>
      </c>
      <c r="V13" s="14">
        <f t="shared" si="0"/>
        <v>11398.827359407158</v>
      </c>
      <c r="W13" s="32">
        <v>43961</v>
      </c>
    </row>
    <row r="14" spans="16:29">
      <c r="P14" s="14"/>
      <c r="Q14" s="14" t="e">
        <f>#REF!-P14</f>
        <v>#REF!</v>
      </c>
      <c r="R14" s="14"/>
      <c r="S14" s="14"/>
      <c r="T14" s="14">
        <v>867.1</v>
      </c>
      <c r="U14" s="14">
        <v>107.240106869241</v>
      </c>
      <c r="V14" s="14">
        <f t="shared" si="0"/>
        <v>92987.896666318877</v>
      </c>
      <c r="W14" s="32">
        <v>43961</v>
      </c>
    </row>
    <row r="15" spans="16:29">
      <c r="P15" s="14"/>
      <c r="Q15" s="14" t="e">
        <f>#REF!-P15</f>
        <v>#REF!</v>
      </c>
      <c r="R15" s="14"/>
      <c r="S15" s="14"/>
      <c r="T15" s="14">
        <v>306.10000000000002</v>
      </c>
      <c r="U15" s="14">
        <v>107.240106869241</v>
      </c>
      <c r="V15" s="14">
        <f t="shared" si="0"/>
        <v>32826.196712674675</v>
      </c>
      <c r="W15" s="32">
        <v>43961</v>
      </c>
    </row>
    <row r="16" spans="16:29">
      <c r="P16" s="14"/>
      <c r="Q16" s="14" t="e">
        <f>#REF!-P16</f>
        <v>#REF!</v>
      </c>
      <c r="R16" s="14"/>
      <c r="S16" s="14"/>
      <c r="T16" s="14">
        <v>11520</v>
      </c>
      <c r="U16" s="14">
        <v>90.506</v>
      </c>
      <c r="V16" s="14">
        <f t="shared" si="0"/>
        <v>1042629.12</v>
      </c>
      <c r="W16" s="31">
        <v>43965</v>
      </c>
    </row>
    <row r="17" spans="16:23">
      <c r="P17" s="14"/>
      <c r="Q17" s="14" t="e">
        <f>#REF!-P17</f>
        <v>#REF!</v>
      </c>
      <c r="R17" s="14"/>
      <c r="S17" s="14"/>
      <c r="T17" s="14">
        <v>644.29999999999995</v>
      </c>
      <c r="U17" s="14">
        <v>85.070010351992295</v>
      </c>
      <c r="V17" s="14">
        <f t="shared" si="0"/>
        <v>54810.607669788631</v>
      </c>
      <c r="W17" s="31">
        <v>43965</v>
      </c>
    </row>
    <row r="18" spans="16:23">
      <c r="P18" s="14"/>
      <c r="Q18" s="14" t="e">
        <f>#REF!-P18</f>
        <v>#REF!</v>
      </c>
      <c r="R18" s="14"/>
      <c r="S18" s="14"/>
      <c r="T18" s="14">
        <v>578</v>
      </c>
      <c r="U18" s="14">
        <v>88.070010717056107</v>
      </c>
      <c r="V18" s="14">
        <f t="shared" si="0"/>
        <v>50904.46619445843</v>
      </c>
      <c r="W18" s="31">
        <v>43965</v>
      </c>
    </row>
    <row r="19" spans="16:23">
      <c r="P19" s="14"/>
      <c r="Q19" s="14" t="e">
        <f>#REF!-P19</f>
        <v>#REF!</v>
      </c>
      <c r="R19" s="14"/>
      <c r="S19" s="14"/>
      <c r="T19" s="14">
        <v>1031.0999999999999</v>
      </c>
      <c r="U19" s="14">
        <v>85.070310432400802</v>
      </c>
      <c r="V19" s="14">
        <f t="shared" si="0"/>
        <v>87715.997086848452</v>
      </c>
      <c r="W19" s="31">
        <v>43965</v>
      </c>
    </row>
    <row r="20" spans="16:23">
      <c r="P20" s="14"/>
      <c r="Q20" s="14" t="e">
        <f>#REF!-P20</f>
        <v>#REF!</v>
      </c>
      <c r="R20" s="14"/>
      <c r="S20" s="14"/>
      <c r="T20" s="14">
        <v>243.1</v>
      </c>
      <c r="U20" s="14">
        <v>88.0703213798229</v>
      </c>
      <c r="V20" s="14">
        <f t="shared" si="0"/>
        <v>21409.895127434946</v>
      </c>
      <c r="W20" s="31">
        <v>43965</v>
      </c>
    </row>
    <row r="21" spans="16:23">
      <c r="P21" s="14"/>
      <c r="Q21" s="14" t="e">
        <f>#REF!-P21</f>
        <v>#REF!</v>
      </c>
      <c r="R21" s="14"/>
      <c r="S21" s="14"/>
      <c r="T21" s="10">
        <v>609.9</v>
      </c>
      <c r="U21" s="10">
        <v>107.240063344688</v>
      </c>
      <c r="V21" s="14">
        <f t="shared" si="0"/>
        <v>65405.714633925207</v>
      </c>
      <c r="W21" s="31">
        <v>43966</v>
      </c>
    </row>
    <row r="22" spans="16:23">
      <c r="P22" s="14"/>
      <c r="Q22" s="14" t="e">
        <f>#REF!-P22</f>
        <v>#REF!</v>
      </c>
      <c r="R22" s="14"/>
      <c r="S22" s="14"/>
      <c r="T22" s="10">
        <v>7191.7</v>
      </c>
      <c r="U22" s="10">
        <v>104.240061572644</v>
      </c>
      <c r="V22" s="14">
        <f t="shared" si="0"/>
        <v>749663.25081198383</v>
      </c>
      <c r="W22" s="31">
        <v>43966</v>
      </c>
    </row>
    <row r="23" spans="16:23">
      <c r="P23" s="14"/>
      <c r="Q23" s="14" t="e">
        <f>#REF!-P23</f>
        <v>#REF!</v>
      </c>
      <c r="R23" s="14"/>
      <c r="S23" s="14"/>
      <c r="T23" s="10">
        <v>419.2</v>
      </c>
      <c r="U23" s="10">
        <v>107.240063344688</v>
      </c>
      <c r="V23" s="14">
        <f t="shared" si="0"/>
        <v>44955.03455409321</v>
      </c>
      <c r="W23" s="31">
        <v>43966</v>
      </c>
    </row>
    <row r="24" spans="16:23">
      <c r="P24" s="14"/>
      <c r="Q24" s="14" t="e">
        <f>#REF!-P24</f>
        <v>#REF!</v>
      </c>
      <c r="R24" s="14"/>
      <c r="S24" s="14"/>
      <c r="T24" s="10">
        <v>1495.39</v>
      </c>
      <c r="U24" s="10">
        <v>126.50008657559999</v>
      </c>
      <c r="V24" s="14">
        <f t="shared" si="0"/>
        <v>189166.96446428649</v>
      </c>
      <c r="W24" s="31">
        <v>43967</v>
      </c>
    </row>
    <row r="25" spans="16:23">
      <c r="P25" s="14"/>
      <c r="Q25" s="14" t="e">
        <f>#REF!-P25</f>
        <v>#REF!</v>
      </c>
      <c r="R25" s="14"/>
      <c r="S25" s="14"/>
      <c r="T25" s="10">
        <v>885.9</v>
      </c>
      <c r="U25" s="10">
        <v>88.070099249375005</v>
      </c>
      <c r="V25" s="14">
        <f t="shared" si="0"/>
        <v>78021.300925021322</v>
      </c>
      <c r="W25" s="31">
        <v>43970</v>
      </c>
    </row>
    <row r="26" spans="16:23">
      <c r="P26" s="14"/>
      <c r="Q26" s="14" t="e">
        <f>#REF!-P26</f>
        <v>#REF!</v>
      </c>
      <c r="R26" s="14"/>
      <c r="S26" s="14"/>
      <c r="T26" s="10">
        <v>2979.5</v>
      </c>
      <c r="U26" s="10">
        <v>85.070095868562902</v>
      </c>
      <c r="V26" s="14">
        <f t="shared" si="0"/>
        <v>253466.35064038317</v>
      </c>
      <c r="W26" s="31">
        <v>43970</v>
      </c>
    </row>
    <row r="27" spans="16:23">
      <c r="P27" s="14"/>
      <c r="Q27" s="14" t="e">
        <f>#REF!-P27</f>
        <v>#REF!</v>
      </c>
      <c r="R27" s="14"/>
      <c r="S27" s="14"/>
      <c r="T27" s="17">
        <v>140.4</v>
      </c>
      <c r="U27" s="14">
        <v>88.070099249375005</v>
      </c>
      <c r="V27" s="14">
        <f t="shared" si="0"/>
        <v>12365.041934612251</v>
      </c>
      <c r="W27" s="31">
        <v>43970</v>
      </c>
    </row>
    <row r="28" spans="16:23">
      <c r="P28" s="14"/>
      <c r="Q28" s="14" t="e">
        <f>#REF!-P28</f>
        <v>#REF!</v>
      </c>
      <c r="R28" s="14"/>
      <c r="S28" s="14"/>
      <c r="T28" s="17">
        <v>314.5</v>
      </c>
      <c r="U28" s="14">
        <v>88.0699805113655</v>
      </c>
      <c r="V28" s="14">
        <f t="shared" si="0"/>
        <v>27698.008870824451</v>
      </c>
      <c r="W28" s="31">
        <v>43974</v>
      </c>
    </row>
    <row r="29" spans="16:23">
      <c r="P29" s="14"/>
      <c r="Q29" s="14" t="e">
        <f>#REF!-P29</f>
        <v>#REF!</v>
      </c>
      <c r="R29" s="14"/>
      <c r="S29" s="14"/>
      <c r="T29" s="10">
        <v>1706.7</v>
      </c>
      <c r="U29" s="10">
        <v>85.069981175222694</v>
      </c>
      <c r="V29" s="14">
        <f t="shared" si="0"/>
        <v>145188.93687175258</v>
      </c>
      <c r="W29" s="31">
        <v>43974</v>
      </c>
    </row>
    <row r="30" spans="16:23">
      <c r="P30" s="14"/>
      <c r="Q30" s="14" t="e">
        <f>#REF!-P30</f>
        <v>#REF!</v>
      </c>
      <c r="R30" s="14"/>
      <c r="S30" s="14"/>
      <c r="T30" s="10">
        <v>201</v>
      </c>
      <c r="U30" s="10">
        <v>184.99976575587201</v>
      </c>
      <c r="V30" s="14">
        <f t="shared" si="0"/>
        <v>37184.95291693027</v>
      </c>
      <c r="W30" s="31">
        <v>43974</v>
      </c>
    </row>
    <row r="31" spans="16:23">
      <c r="P31" s="14"/>
      <c r="Q31" s="14" t="e">
        <f>#REF!-P31</f>
        <v>#REF!</v>
      </c>
      <c r="R31" s="14"/>
      <c r="S31" s="14"/>
      <c r="T31" s="10">
        <v>314.5</v>
      </c>
      <c r="U31" s="10">
        <v>88.0699805113655</v>
      </c>
      <c r="V31" s="14">
        <f t="shared" si="0"/>
        <v>27698.008870824451</v>
      </c>
      <c r="W31" s="24">
        <v>43974</v>
      </c>
    </row>
    <row r="32" spans="16:23">
      <c r="P32" s="14"/>
      <c r="Q32" s="14" t="e">
        <f>#REF!-P32</f>
        <v>#REF!</v>
      </c>
      <c r="R32" s="14"/>
      <c r="S32" s="14"/>
      <c r="T32" s="14">
        <v>1706.7</v>
      </c>
      <c r="U32" s="14">
        <v>85.069981175222694</v>
      </c>
      <c r="V32" s="14">
        <f t="shared" si="0"/>
        <v>145188.93687175258</v>
      </c>
      <c r="W32" s="26">
        <v>43974</v>
      </c>
    </row>
    <row r="33" spans="2:23">
      <c r="P33" s="14"/>
      <c r="Q33" s="14"/>
      <c r="R33" s="14"/>
      <c r="S33" s="14"/>
      <c r="T33" s="14">
        <v>201</v>
      </c>
      <c r="U33" s="14">
        <v>184.99976575587201</v>
      </c>
      <c r="V33" s="14">
        <f t="shared" si="0"/>
        <v>37184.95291693027</v>
      </c>
      <c r="W33" s="26">
        <v>43974</v>
      </c>
    </row>
    <row r="34" spans="2:23">
      <c r="B34" s="14"/>
      <c r="C34" s="14"/>
      <c r="D34" s="14"/>
      <c r="E34" s="14"/>
      <c r="F34" s="14"/>
      <c r="G34" s="14"/>
      <c r="H34" s="14"/>
      <c r="I34" s="14"/>
      <c r="J34" s="14">
        <v>15166.6</v>
      </c>
      <c r="K34" s="14"/>
      <c r="L34" s="14"/>
      <c r="M34" s="14"/>
      <c r="N34" s="14"/>
      <c r="O34" s="14"/>
      <c r="P34" s="14"/>
      <c r="Q34" s="14"/>
      <c r="R34" s="14"/>
      <c r="S34" s="14"/>
      <c r="T34" s="14">
        <v>231.1</v>
      </c>
      <c r="U34" s="14">
        <v>88.0699206798093</v>
      </c>
      <c r="V34" s="14">
        <f t="shared" si="0"/>
        <v>20352.958669103929</v>
      </c>
      <c r="W34" s="26">
        <v>43974</v>
      </c>
    </row>
    <row r="35" spans="2:23">
      <c r="B35" s="14"/>
      <c r="C35" s="14"/>
      <c r="D35" s="14" t="e">
        <f>+#REF!-D34</f>
        <v>#REF!</v>
      </c>
      <c r="E35" s="14" t="e">
        <f>+#REF!-E34</f>
        <v>#REF!</v>
      </c>
      <c r="F35" s="14"/>
      <c r="G35" s="14"/>
      <c r="H35" s="14" t="e">
        <f>+#REF!-H34</f>
        <v>#REF!</v>
      </c>
      <c r="I35" s="14" t="e">
        <f>+#REF!-I34</f>
        <v>#REF!</v>
      </c>
      <c r="J35" s="14" t="e">
        <f>+#REF!-J34</f>
        <v>#REF!</v>
      </c>
      <c r="K35" s="14" t="e">
        <f>#REF!-K34</f>
        <v>#REF!</v>
      </c>
      <c r="L35" s="14"/>
      <c r="M35" s="14"/>
      <c r="N35" s="14"/>
      <c r="O35" s="14">
        <v>20523.2</v>
      </c>
      <c r="P35" s="14"/>
      <c r="Q35" s="14"/>
      <c r="R35" s="14"/>
      <c r="S35" s="14"/>
      <c r="T35" s="14">
        <v>517.6</v>
      </c>
      <c r="U35" s="14">
        <v>85.069923381757505</v>
      </c>
      <c r="V35" s="14">
        <f t="shared" si="0"/>
        <v>44032.192342397684</v>
      </c>
      <c r="W35" s="26">
        <v>43974</v>
      </c>
    </row>
    <row r="36" spans="2:23">
      <c r="O36" s="14" t="e">
        <f>+#REF!-O35</f>
        <v>#REF!</v>
      </c>
      <c r="T36" s="10">
        <v>787.3</v>
      </c>
      <c r="U36" s="10">
        <v>105.319884071308</v>
      </c>
      <c r="V36" s="14">
        <f t="shared" si="0"/>
        <v>82918.344729340781</v>
      </c>
      <c r="W36" s="26">
        <v>43975</v>
      </c>
    </row>
    <row r="37" spans="2:23">
      <c r="T37" s="10">
        <v>2037.1</v>
      </c>
      <c r="U37" s="10">
        <v>111.319877466939</v>
      </c>
      <c r="V37" s="14">
        <f t="shared" si="0"/>
        <v>226769.72238790145</v>
      </c>
      <c r="W37" s="26">
        <v>43975</v>
      </c>
    </row>
    <row r="38" spans="2:23">
      <c r="T38" s="10">
        <v>2978.4</v>
      </c>
      <c r="U38" s="10">
        <v>108.319880769124</v>
      </c>
      <c r="V38" s="14">
        <f t="shared" si="0"/>
        <v>322619.93288275891</v>
      </c>
      <c r="W38" s="26">
        <v>43975</v>
      </c>
    </row>
    <row r="39" spans="2:23">
      <c r="T39" s="10">
        <v>764.3</v>
      </c>
      <c r="U39" s="10">
        <v>88.070061438921897</v>
      </c>
      <c r="V39" s="14">
        <f t="shared" si="0"/>
        <v>67311.947957768003</v>
      </c>
      <c r="W39" s="26">
        <v>43975</v>
      </c>
    </row>
    <row r="40" spans="2:23">
      <c r="T40" s="10">
        <v>7253.2</v>
      </c>
      <c r="U40" s="10">
        <v>105.32001560760899</v>
      </c>
      <c r="V40" s="14">
        <f t="shared" si="0"/>
        <v>763907.13720510958</v>
      </c>
      <c r="W40" s="128">
        <v>43977</v>
      </c>
    </row>
    <row r="41" spans="2:23">
      <c r="T41" s="10">
        <v>423.3</v>
      </c>
      <c r="U41" s="10">
        <v>108.32001605218601</v>
      </c>
      <c r="V41" s="14">
        <f t="shared" si="0"/>
        <v>45851.862794890338</v>
      </c>
      <c r="W41" s="128">
        <v>43977</v>
      </c>
    </row>
    <row r="42" spans="2:23">
      <c r="T42" s="10">
        <v>1751</v>
      </c>
      <c r="U42" s="10">
        <v>85.070044399087706</v>
      </c>
      <c r="V42" s="14">
        <f t="shared" si="0"/>
        <v>148957.64774280257</v>
      </c>
      <c r="W42" s="128">
        <v>43977</v>
      </c>
    </row>
    <row r="43" spans="2:23">
      <c r="T43" s="10">
        <v>494.8</v>
      </c>
      <c r="U43" s="10">
        <v>88.070045964824899</v>
      </c>
      <c r="V43" s="14">
        <f t="shared" si="0"/>
        <v>43577.058743395362</v>
      </c>
      <c r="W43" s="128">
        <v>43977</v>
      </c>
    </row>
    <row r="44" spans="2:23">
      <c r="T44" s="10">
        <v>6423.8</v>
      </c>
      <c r="U44" s="10">
        <v>105.320059777702</v>
      </c>
      <c r="V44" s="14">
        <f t="shared" si="0"/>
        <v>676555.0000000021</v>
      </c>
      <c r="W44" s="26">
        <v>43979</v>
      </c>
    </row>
    <row r="45" spans="2:23">
      <c r="T45" s="10">
        <v>507</v>
      </c>
      <c r="U45" s="10">
        <v>122.12995425211599</v>
      </c>
      <c r="V45" s="14">
        <f t="shared" si="0"/>
        <v>61919.886805822811</v>
      </c>
      <c r="W45" s="26">
        <v>43979</v>
      </c>
    </row>
    <row r="46" spans="2:23">
      <c r="T46" s="10">
        <v>639.16</v>
      </c>
      <c r="U46" s="10">
        <v>126.49974855388101</v>
      </c>
      <c r="V46" s="14">
        <f t="shared" si="0"/>
        <v>80853.579285698579</v>
      </c>
      <c r="W46" s="26">
        <v>43980</v>
      </c>
    </row>
    <row r="47" spans="2:23">
      <c r="T47" s="10">
        <v>519.79999999999995</v>
      </c>
      <c r="U47" s="10">
        <v>85.069935129487106</v>
      </c>
      <c r="V47" s="14">
        <f t="shared" si="0"/>
        <v>44219.352280307394</v>
      </c>
      <c r="W47" s="10">
        <v>43981</v>
      </c>
    </row>
    <row r="48" spans="2:23">
      <c r="T48" s="10">
        <v>429.5</v>
      </c>
      <c r="U48" s="10">
        <v>88.069932841823501</v>
      </c>
      <c r="V48" s="14">
        <f t="shared" si="0"/>
        <v>37826.036155563197</v>
      </c>
      <c r="W48" s="10">
        <v>43981</v>
      </c>
    </row>
    <row r="50" spans="20:23">
      <c r="T50" s="17">
        <f>SUM(T17:T49)</f>
        <v>46420.250000000007</v>
      </c>
      <c r="U50" s="17">
        <f>V50/T50</f>
        <v>101.15630745945386</v>
      </c>
      <c r="V50" s="17">
        <f>SUM(V17:V49)</f>
        <v>4695701.0813447135</v>
      </c>
      <c r="W50" s="26"/>
    </row>
    <row r="51" spans="20:23">
      <c r="T51" s="17" t="e">
        <f>-AA5-T50</f>
        <v>#REF!</v>
      </c>
      <c r="U51" s="14">
        <f>U16</f>
        <v>90.506</v>
      </c>
      <c r="V51" s="14" t="e">
        <f>+T51*U51</f>
        <v>#REF!</v>
      </c>
      <c r="W51" s="26"/>
    </row>
    <row r="52" spans="20:23">
      <c r="T52" s="17" t="e">
        <f>SUM(T50:T51)</f>
        <v>#REF!</v>
      </c>
      <c r="U52" s="14" t="e">
        <f>V52/T52</f>
        <v>#REF!</v>
      </c>
      <c r="V52" s="17" t="e">
        <f>SUM(V50:V51)</f>
        <v>#REF!</v>
      </c>
      <c r="W52" s="26"/>
    </row>
    <row r="53" spans="20:23">
      <c r="T53" s="17"/>
      <c r="U53" s="14"/>
      <c r="V53" s="14"/>
      <c r="W53" s="26"/>
    </row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B36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10.28515625" style="10" customWidth="1"/>
    <col min="4" max="5" width="11.42578125" style="10" customWidth="1"/>
    <col min="6" max="6" width="10" style="10" bestFit="1" customWidth="1"/>
    <col min="7" max="7" width="13.140625" style="10" customWidth="1"/>
    <col min="8" max="8" width="16.85546875" style="10" customWidth="1"/>
    <col min="9" max="9" width="15" style="10" customWidth="1"/>
    <col min="10" max="10" width="12.5703125" style="10" customWidth="1"/>
    <col min="11" max="11" width="16.42578125" style="10" customWidth="1"/>
    <col min="12" max="12" width="10" style="10" bestFit="1" customWidth="1"/>
    <col min="13" max="13" width="10.28515625" style="10" customWidth="1"/>
    <col min="14" max="14" width="11.42578125" style="10" customWidth="1"/>
    <col min="15" max="15" width="11.7109375" style="10" customWidth="1"/>
    <col min="16" max="16" width="9" style="10"/>
    <col min="17" max="17" width="10.28515625" style="10" customWidth="1"/>
    <col min="18" max="18" width="9" style="10"/>
    <col min="19" max="19" width="10.28515625" style="10" customWidth="1"/>
    <col min="20" max="20" width="7.85546875" style="10" customWidth="1"/>
    <col min="21" max="21" width="13" style="10" customWidth="1"/>
    <col min="22" max="22" width="11.140625" style="10" customWidth="1"/>
    <col min="23" max="24" width="9" style="10"/>
    <col min="25" max="25" width="16.5703125" style="10" customWidth="1"/>
    <col min="26" max="26" width="11.42578125" style="10" customWidth="1"/>
    <col min="27" max="27" width="7.85546875" style="10" customWidth="1"/>
    <col min="28" max="28" width="14.140625" style="10" customWidth="1"/>
    <col min="29" max="16384" width="9" style="10"/>
  </cols>
  <sheetData>
    <row r="1" spans="16:28" s="15" customFormat="1"/>
    <row r="2" spans="16:28">
      <c r="P2" s="14"/>
      <c r="Q2" s="14" t="e">
        <f>#REF!-P2</f>
        <v>#REF!</v>
      </c>
      <c r="R2" s="14"/>
      <c r="S2" s="14">
        <v>55175.300000000047</v>
      </c>
      <c r="T2" s="14">
        <v>93.410138364622853</v>
      </c>
      <c r="U2" s="14">
        <f>+S2*T2</f>
        <v>5153932.4073095797</v>
      </c>
      <c r="Y2" s="15" t="s">
        <v>63</v>
      </c>
      <c r="Z2" s="28">
        <f>S2</f>
        <v>55175.300000000047</v>
      </c>
      <c r="AA2" s="28">
        <f>T2</f>
        <v>93.410138364622853</v>
      </c>
      <c r="AB2" s="28">
        <f>Z2*AA2</f>
        <v>5153932.4073095797</v>
      </c>
    </row>
    <row r="3" spans="16:28">
      <c r="P3" s="14"/>
      <c r="Q3" s="14" t="e">
        <f>#REF!-P3</f>
        <v>#REF!</v>
      </c>
      <c r="R3" s="14"/>
      <c r="S3" s="17"/>
      <c r="T3" s="17"/>
      <c r="U3" s="14"/>
      <c r="V3" s="23"/>
      <c r="Y3" s="15" t="s">
        <v>61</v>
      </c>
      <c r="Z3" s="28">
        <f>SUM(S3:S6)</f>
        <v>0</v>
      </c>
      <c r="AA3" s="28" t="e">
        <f>AB3/Z3</f>
        <v>#DIV/0!</v>
      </c>
      <c r="AB3" s="28">
        <f>SUM(U3:U6)</f>
        <v>0</v>
      </c>
    </row>
    <row r="4" spans="16:28">
      <c r="P4" s="14"/>
      <c r="Q4" s="14" t="e">
        <f>#REF!-P4</f>
        <v>#REF!</v>
      </c>
      <c r="R4" s="14"/>
      <c r="S4" s="17"/>
      <c r="T4" s="17"/>
      <c r="U4" s="14"/>
      <c r="V4" s="23"/>
      <c r="Y4" s="21" t="s">
        <v>76</v>
      </c>
      <c r="Z4" s="29" t="e">
        <f>#REF!+#REF!-#REF!</f>
        <v>#REF!</v>
      </c>
      <c r="AA4" s="30">
        <v>78.105943486087796</v>
      </c>
      <c r="AB4" s="28" t="e">
        <f>Z4*AA4</f>
        <v>#REF!</v>
      </c>
    </row>
    <row r="5" spans="16:28">
      <c r="P5" s="14"/>
      <c r="Q5" s="14" t="e">
        <f>#REF!-P5</f>
        <v>#REF!</v>
      </c>
      <c r="R5" s="14"/>
      <c r="S5" s="14"/>
      <c r="T5" s="14"/>
      <c r="U5" s="14"/>
      <c r="V5" s="23"/>
      <c r="Y5" s="15" t="s">
        <v>281</v>
      </c>
      <c r="Z5" s="28" t="e">
        <f>-#REF!</f>
        <v>#REF!</v>
      </c>
      <c r="AA5" s="28">
        <f>AA4</f>
        <v>78.105943486087796</v>
      </c>
      <c r="AB5" s="28" t="e">
        <f>Z5*AA5</f>
        <v>#REF!</v>
      </c>
    </row>
    <row r="6" spans="16:28">
      <c r="P6" s="14"/>
      <c r="Q6" s="14" t="e">
        <f>#REF!-P6</f>
        <v>#REF!</v>
      </c>
      <c r="R6" s="14"/>
      <c r="S6" s="17"/>
      <c r="T6" s="14"/>
      <c r="U6" s="14"/>
      <c r="V6" s="18"/>
      <c r="Y6" s="15" t="s">
        <v>248</v>
      </c>
      <c r="Z6" s="28" t="e">
        <f>SUM(Z2:Z5)</f>
        <v>#REF!</v>
      </c>
      <c r="AA6" s="28" t="e">
        <f>AB6/Z6</f>
        <v>#REF!</v>
      </c>
      <c r="AB6" s="28" t="e">
        <f>SUM(AB2:AB5)</f>
        <v>#REF!</v>
      </c>
    </row>
    <row r="7" spans="16:28">
      <c r="P7" s="14"/>
      <c r="Q7" s="14" t="e">
        <f>#REF!-P7</f>
        <v>#REF!</v>
      </c>
      <c r="R7" s="14"/>
      <c r="S7" s="14"/>
      <c r="T7" s="14"/>
      <c r="U7" s="14"/>
      <c r="V7" s="27"/>
    </row>
    <row r="8" spans="16:28">
      <c r="P8" s="14"/>
      <c r="Q8" s="14" t="e">
        <f>#REF!-P8</f>
        <v>#REF!</v>
      </c>
      <c r="R8" s="14"/>
      <c r="S8" s="14"/>
      <c r="T8" s="14"/>
      <c r="U8" s="14"/>
      <c r="V8" s="27"/>
    </row>
    <row r="9" spans="16:28">
      <c r="P9" s="14"/>
      <c r="Q9" s="14" t="e">
        <f>#REF!-P9</f>
        <v>#REF!</v>
      </c>
      <c r="R9" s="14"/>
      <c r="S9" s="14"/>
      <c r="T9" s="14"/>
      <c r="U9" s="14"/>
      <c r="V9" s="27"/>
    </row>
    <row r="10" spans="16:28">
      <c r="P10" s="14"/>
      <c r="Q10" s="14" t="e">
        <f>#REF!-P10</f>
        <v>#REF!</v>
      </c>
      <c r="R10" s="14"/>
      <c r="S10" s="14"/>
      <c r="T10" s="14"/>
      <c r="U10" s="14"/>
      <c r="V10" s="27"/>
    </row>
    <row r="11" spans="16:28">
      <c r="P11" s="14"/>
      <c r="Q11" s="14" t="e">
        <f>#REF!-P11</f>
        <v>#REF!</v>
      </c>
      <c r="R11" s="14"/>
      <c r="S11" s="14"/>
      <c r="T11" s="14"/>
      <c r="U11" s="14"/>
    </row>
    <row r="12" spans="16:28">
      <c r="P12" s="14"/>
      <c r="Q12" s="14" t="e">
        <f>#REF!-P12</f>
        <v>#REF!</v>
      </c>
      <c r="R12" s="14"/>
      <c r="S12" s="14"/>
      <c r="T12" s="14"/>
      <c r="U12" s="14"/>
    </row>
    <row r="13" spans="16:28">
      <c r="P13" s="14"/>
      <c r="Q13" s="14" t="e">
        <f>#REF!-P13</f>
        <v>#REF!</v>
      </c>
      <c r="R13" s="14"/>
      <c r="S13" s="14"/>
      <c r="T13" s="14"/>
      <c r="U13" s="14"/>
    </row>
    <row r="14" spans="16:28">
      <c r="P14" s="14"/>
      <c r="Q14" s="14" t="e">
        <f>#REF!-P14</f>
        <v>#REF!</v>
      </c>
      <c r="R14" s="14"/>
      <c r="S14" s="14"/>
      <c r="T14" s="14"/>
      <c r="U14" s="14"/>
    </row>
    <row r="15" spans="16:28">
      <c r="P15" s="14"/>
      <c r="Q15" s="14" t="e">
        <f>#REF!-P15</f>
        <v>#REF!</v>
      </c>
      <c r="R15" s="14"/>
      <c r="S15" s="14"/>
      <c r="T15" s="14"/>
      <c r="U15" s="14"/>
    </row>
    <row r="16" spans="16:28">
      <c r="P16" s="14"/>
      <c r="Q16" s="14" t="e">
        <f>#REF!-P16</f>
        <v>#REF!</v>
      </c>
      <c r="R16" s="14"/>
      <c r="S16" s="14">
        <f>SUM(S3:S14)</f>
        <v>0</v>
      </c>
      <c r="T16" s="14" t="e">
        <f>U16/S16</f>
        <v>#DIV/0!</v>
      </c>
      <c r="U16" s="14">
        <f>SUM(U3:U14)</f>
        <v>0</v>
      </c>
      <c r="W16" s="21"/>
    </row>
    <row r="17" spans="16:21">
      <c r="P17" s="14"/>
      <c r="Q17" s="14" t="e">
        <f>#REF!-P17</f>
        <v>#REF!</v>
      </c>
      <c r="R17" s="14"/>
      <c r="S17" s="14"/>
      <c r="T17" s="14"/>
      <c r="U17" s="14"/>
    </row>
    <row r="18" spans="16:21">
      <c r="P18" s="14"/>
      <c r="Q18" s="14" t="e">
        <f>#REF!-P18</f>
        <v>#REF!</v>
      </c>
      <c r="R18" s="14"/>
      <c r="S18" s="14"/>
      <c r="T18" s="14"/>
      <c r="U18" s="14"/>
    </row>
    <row r="19" spans="16:21">
      <c r="P19" s="14"/>
      <c r="Q19" s="14" t="e">
        <f>#REF!-P19</f>
        <v>#REF!</v>
      </c>
      <c r="R19" s="14"/>
      <c r="S19" s="14"/>
      <c r="T19" s="14"/>
      <c r="U19" s="14"/>
    </row>
    <row r="20" spans="16:21">
      <c r="P20" s="14"/>
      <c r="Q20" s="14" t="e">
        <f>#REF!-P20</f>
        <v>#REF!</v>
      </c>
      <c r="R20" s="14"/>
      <c r="S20" s="14"/>
      <c r="T20" s="14"/>
      <c r="U20" s="14"/>
    </row>
    <row r="21" spans="16:21">
      <c r="P21" s="14"/>
      <c r="Q21" s="14" t="e">
        <f>#REF!-P21</f>
        <v>#REF!</v>
      </c>
      <c r="R21" s="14"/>
      <c r="S21" s="14"/>
      <c r="T21" s="14"/>
      <c r="U21" s="14"/>
    </row>
    <row r="22" spans="16:21">
      <c r="P22" s="14"/>
      <c r="Q22" s="14" t="e">
        <f>#REF!-P22</f>
        <v>#REF!</v>
      </c>
      <c r="R22" s="14"/>
      <c r="S22" s="14"/>
      <c r="T22" s="14"/>
      <c r="U22" s="14"/>
    </row>
    <row r="23" spans="16:21">
      <c r="P23" s="14"/>
      <c r="Q23" s="14" t="e">
        <f>#REF!-P23</f>
        <v>#REF!</v>
      </c>
      <c r="R23" s="14"/>
      <c r="S23" s="14"/>
      <c r="T23" s="14"/>
      <c r="U23" s="14"/>
    </row>
    <row r="24" spans="16:21">
      <c r="P24" s="14"/>
      <c r="Q24" s="14" t="e">
        <f>#REF!-P24</f>
        <v>#REF!</v>
      </c>
      <c r="R24" s="14"/>
      <c r="S24" s="14"/>
      <c r="T24" s="14"/>
      <c r="U24" s="14"/>
    </row>
    <row r="25" spans="16:21">
      <c r="P25" s="14"/>
      <c r="Q25" s="14" t="e">
        <f>#REF!-P25</f>
        <v>#REF!</v>
      </c>
      <c r="R25" s="14"/>
      <c r="S25" s="14"/>
      <c r="T25" s="14"/>
      <c r="U25" s="14"/>
    </row>
    <row r="26" spans="16:21">
      <c r="P26" s="14"/>
      <c r="Q26" s="14" t="e">
        <f>#REF!-P26</f>
        <v>#REF!</v>
      </c>
      <c r="R26" s="14"/>
      <c r="S26" s="14"/>
      <c r="T26" s="14"/>
      <c r="U26" s="14"/>
    </row>
    <row r="27" spans="16:21">
      <c r="P27" s="14"/>
      <c r="Q27" s="14" t="e">
        <f>#REF!-P27</f>
        <v>#REF!</v>
      </c>
      <c r="R27" s="14"/>
      <c r="S27" s="14"/>
      <c r="T27" s="14"/>
      <c r="U27" s="14"/>
    </row>
    <row r="28" spans="16:21">
      <c r="P28" s="14"/>
      <c r="Q28" s="14" t="e">
        <f>#REF!-P28</f>
        <v>#REF!</v>
      </c>
      <c r="R28" s="14"/>
      <c r="S28" s="14"/>
      <c r="T28" s="14"/>
      <c r="U28" s="14"/>
    </row>
    <row r="29" spans="16:21">
      <c r="P29" s="14"/>
      <c r="Q29" s="14" t="e">
        <f>#REF!-P29</f>
        <v>#REF!</v>
      </c>
      <c r="R29" s="14"/>
      <c r="S29" s="14"/>
      <c r="T29" s="14"/>
      <c r="U29" s="14"/>
    </row>
    <row r="30" spans="16:21">
      <c r="P30" s="14"/>
      <c r="Q30" s="14" t="e">
        <f>#REF!-P30</f>
        <v>#REF!</v>
      </c>
      <c r="R30" s="14"/>
      <c r="S30" s="14"/>
      <c r="T30" s="14"/>
      <c r="U30" s="14"/>
    </row>
    <row r="31" spans="16:21">
      <c r="P31" s="14"/>
      <c r="Q31" s="14" t="e">
        <f>#REF!-P31</f>
        <v>#REF!</v>
      </c>
      <c r="R31" s="14"/>
      <c r="S31" s="14"/>
      <c r="T31" s="14"/>
      <c r="U31" s="14"/>
    </row>
    <row r="32" spans="16:21">
      <c r="P32" s="14"/>
      <c r="Q32" s="14" t="e">
        <f>#REF!-P32</f>
        <v>#REF!</v>
      </c>
      <c r="R32" s="14"/>
      <c r="S32" s="14"/>
      <c r="T32" s="14"/>
      <c r="U32" s="14"/>
    </row>
    <row r="33" spans="3:21">
      <c r="P33" s="14"/>
      <c r="Q33" s="14"/>
      <c r="R33" s="14"/>
      <c r="S33" s="14"/>
      <c r="T33" s="14"/>
      <c r="U33" s="14"/>
    </row>
    <row r="34" spans="3:21">
      <c r="C34" s="14"/>
      <c r="D34" s="14">
        <v>130741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3:21">
      <c r="C35" s="14"/>
      <c r="D35" s="14" t="e">
        <f>#REF!-D34</f>
        <v>#REF!</v>
      </c>
      <c r="E35" s="14"/>
      <c r="F35" s="14"/>
      <c r="G35" s="14"/>
      <c r="H35" s="14" t="e">
        <f>+#REF!-H34</f>
        <v>#REF!</v>
      </c>
      <c r="I35" s="14" t="e">
        <f>+#REF!-I34</f>
        <v>#REF!</v>
      </c>
      <c r="J35" s="14"/>
      <c r="K35" s="14"/>
      <c r="L35" s="14"/>
      <c r="M35" s="14"/>
      <c r="N35" s="14"/>
      <c r="O35" s="14">
        <v>55175.3</v>
      </c>
      <c r="P35" s="14"/>
      <c r="Q35" s="14"/>
      <c r="R35" s="14"/>
      <c r="S35" s="14"/>
      <c r="T35" s="14"/>
      <c r="U35" s="14"/>
    </row>
    <row r="36" spans="3:21">
      <c r="O36" s="14" t="e">
        <f>+O35-#REF!</f>
        <v>#REF!</v>
      </c>
    </row>
  </sheetData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42"/>
  <sheetViews>
    <sheetView workbookViewId="0"/>
  </sheetViews>
  <sheetFormatPr defaultColWidth="9" defaultRowHeight="12.75"/>
  <cols>
    <col min="1" max="1" width="11.85546875" style="10" customWidth="1"/>
    <col min="2" max="4" width="10.28515625" style="10" customWidth="1"/>
    <col min="5" max="5" width="10" style="10" bestFit="1" customWidth="1"/>
    <col min="6" max="6" width="11" style="10" bestFit="1" customWidth="1"/>
    <col min="7" max="7" width="10.5703125" style="10" bestFit="1" customWidth="1"/>
    <col min="8" max="8" width="10.5703125" style="10" customWidth="1"/>
    <col min="9" max="9" width="9.28515625" style="10" customWidth="1"/>
    <col min="10" max="10" width="10.42578125" style="10" customWidth="1"/>
    <col min="11" max="11" width="10" style="10" bestFit="1" customWidth="1"/>
    <col min="12" max="12" width="10.5703125" style="10" bestFit="1" customWidth="1"/>
    <col min="13" max="13" width="10" style="10" bestFit="1" customWidth="1"/>
    <col min="14" max="14" width="10" style="10" customWidth="1"/>
    <col min="15" max="17" width="10.28515625" style="10" customWidth="1"/>
    <col min="18" max="19" width="11.42578125" style="10" customWidth="1"/>
    <col min="20" max="20" width="4.7109375" style="10" bestFit="1" customWidth="1"/>
    <col min="21" max="21" width="10.28515625" style="10" customWidth="1"/>
    <col min="22" max="22" width="9.28515625" style="10" customWidth="1"/>
    <col min="23" max="23" width="11.42578125" style="10" customWidth="1"/>
    <col min="24" max="26" width="10.28515625" style="10" customWidth="1"/>
    <col min="27" max="27" width="9" style="10"/>
    <col min="28" max="28" width="10.28515625" style="10" customWidth="1"/>
    <col min="29" max="29" width="6.85546875" style="10" customWidth="1"/>
    <col min="30" max="30" width="11.42578125" style="10" customWidth="1"/>
    <col min="31" max="31" width="11.140625" style="10"/>
    <col min="32" max="33" width="9" style="10"/>
    <col min="34" max="34" width="16.5703125" style="10" customWidth="1"/>
    <col min="35" max="35" width="10.5703125" style="10" customWidth="1"/>
    <col min="36" max="36" width="12.85546875" style="10" customWidth="1"/>
    <col min="37" max="37" width="10.5703125" style="10" customWidth="1"/>
    <col min="38" max="44" width="9" style="10"/>
    <col min="45" max="45" width="5.5703125" style="10" customWidth="1"/>
    <col min="46" max="16384" width="9" style="10"/>
  </cols>
  <sheetData>
    <row r="1" spans="25:41" s="25" customFormat="1" ht="25.5" customHeight="1"/>
    <row r="2" spans="25:41">
      <c r="Y2" s="17"/>
      <c r="Z2" s="14" t="e">
        <f>#REF!-Y2</f>
        <v>#REF!</v>
      </c>
      <c r="AA2" s="14"/>
      <c r="AB2" s="14">
        <v>15079</v>
      </c>
      <c r="AC2" s="14">
        <v>15</v>
      </c>
      <c r="AD2" s="14">
        <f>+AB2*AC2</f>
        <v>226185</v>
      </c>
      <c r="AF2" s="14" t="e">
        <f>SUM(#REF!)</f>
        <v>#REF!</v>
      </c>
      <c r="AG2" s="15"/>
      <c r="AH2" s="15" t="s">
        <v>63</v>
      </c>
      <c r="AI2" s="15">
        <f>AB2</f>
        <v>15079</v>
      </c>
      <c r="AJ2" s="15">
        <f>AC2</f>
        <v>15</v>
      </c>
      <c r="AK2" s="15">
        <f>AI2*AJ2</f>
        <v>226185</v>
      </c>
      <c r="AN2" s="14" t="e">
        <f>SUM(#REF!)</f>
        <v>#REF!</v>
      </c>
      <c r="AO2" s="14" t="e">
        <f>SUM(#REF!)</f>
        <v>#REF!</v>
      </c>
    </row>
    <row r="3" spans="25:41">
      <c r="Y3" s="17"/>
      <c r="Z3" s="14" t="e">
        <f>#REF!-Y3</f>
        <v>#REF!</v>
      </c>
      <c r="AA3" s="14"/>
      <c r="AB3" s="19"/>
      <c r="AC3" s="14"/>
      <c r="AD3" s="14"/>
      <c r="AE3" s="26"/>
      <c r="AF3" s="14" t="e">
        <f>SUM(#REF!)</f>
        <v>#REF!</v>
      </c>
      <c r="AG3" s="15"/>
      <c r="AH3" s="15" t="s">
        <v>61</v>
      </c>
      <c r="AI3" s="15">
        <f>SUM(AB3:AB6)</f>
        <v>0</v>
      </c>
      <c r="AJ3" s="15" t="e">
        <f>AK3/AI3</f>
        <v>#DIV/0!</v>
      </c>
      <c r="AK3" s="15">
        <f>SUM(AD3:AD6)</f>
        <v>0</v>
      </c>
      <c r="AN3" s="14" t="e">
        <f>SUM(#REF!)</f>
        <v>#REF!</v>
      </c>
      <c r="AO3" s="14" t="e">
        <f>SUM(#REF!)</f>
        <v>#REF!</v>
      </c>
    </row>
    <row r="4" spans="25:41">
      <c r="Y4" s="17"/>
      <c r="Z4" s="14" t="e">
        <f>#REF!-Y4</f>
        <v>#REF!</v>
      </c>
      <c r="AA4" s="14"/>
      <c r="AB4" s="20"/>
      <c r="AC4" s="14"/>
      <c r="AD4" s="14"/>
      <c r="AE4" s="26"/>
      <c r="AF4" s="14" t="e">
        <f>SUM(#REF!)</f>
        <v>#REF!</v>
      </c>
      <c r="AG4" s="15"/>
      <c r="AH4" s="15" t="s">
        <v>281</v>
      </c>
      <c r="AI4" s="35" t="e">
        <f>-#REF!</f>
        <v>#REF!</v>
      </c>
      <c r="AJ4" s="15">
        <v>15</v>
      </c>
      <c r="AK4" s="15" t="e">
        <f>AI4*AJ4</f>
        <v>#REF!</v>
      </c>
      <c r="AN4" s="14" t="e">
        <f>SUM(#REF!)</f>
        <v>#REF!</v>
      </c>
      <c r="AO4" s="14" t="e">
        <f>SUM(#REF!)</f>
        <v>#REF!</v>
      </c>
    </row>
    <row r="5" spans="25:41">
      <c r="Y5" s="17"/>
      <c r="Z5" s="14" t="e">
        <f>#REF!-Y5</f>
        <v>#REF!</v>
      </c>
      <c r="AA5" s="14"/>
      <c r="AB5" s="20"/>
      <c r="AC5" s="14"/>
      <c r="AD5" s="14"/>
      <c r="AE5" s="26"/>
      <c r="AF5" s="14" t="e">
        <f>SUM(#REF!)</f>
        <v>#REF!</v>
      </c>
      <c r="AG5" s="15"/>
      <c r="AH5" s="15" t="s">
        <v>248</v>
      </c>
      <c r="AI5" s="15" t="e">
        <f>SUM(AI2:AI4)</f>
        <v>#REF!</v>
      </c>
      <c r="AJ5" s="15" t="e">
        <f>AK5/AI5</f>
        <v>#REF!</v>
      </c>
      <c r="AK5" s="15" t="e">
        <f>SUM(AK2:AK4)</f>
        <v>#REF!</v>
      </c>
      <c r="AN5" s="14" t="e">
        <f>SUM(#REF!)</f>
        <v>#REF!</v>
      </c>
      <c r="AO5" s="14" t="e">
        <f>SUM(#REF!)</f>
        <v>#REF!</v>
      </c>
    </row>
    <row r="6" spans="25:41">
      <c r="Y6" s="17"/>
      <c r="Z6" s="14" t="e">
        <f>#REF!-Y6</f>
        <v>#REF!</v>
      </c>
      <c r="AA6" s="14"/>
      <c r="AB6" s="17"/>
      <c r="AC6" s="17"/>
      <c r="AD6" s="14"/>
      <c r="AE6" s="26"/>
      <c r="AF6" s="14" t="e">
        <f>SUM(#REF!)</f>
        <v>#REF!</v>
      </c>
      <c r="AG6" s="15"/>
      <c r="AH6" s="15"/>
      <c r="AI6" s="15"/>
      <c r="AN6" s="14" t="e">
        <f>SUM(#REF!)</f>
        <v>#REF!</v>
      </c>
      <c r="AO6" s="14" t="e">
        <f>SUM(#REF!)</f>
        <v>#REF!</v>
      </c>
    </row>
    <row r="7" spans="25:41">
      <c r="Y7" s="17"/>
      <c r="Z7" s="14" t="e">
        <f>#REF!-Y7</f>
        <v>#REF!</v>
      </c>
      <c r="AA7" s="14"/>
      <c r="AB7" s="17"/>
      <c r="AC7" s="14"/>
      <c r="AD7" s="14"/>
      <c r="AE7" s="26"/>
      <c r="AF7" s="14" t="e">
        <f>SUM(#REF!)</f>
        <v>#REF!</v>
      </c>
      <c r="AG7" s="15"/>
      <c r="AH7" s="15"/>
      <c r="AI7" s="15"/>
      <c r="AN7" s="14" t="e">
        <f>SUM(#REF!)</f>
        <v>#REF!</v>
      </c>
      <c r="AO7" s="14" t="e">
        <f>SUM(#REF!)</f>
        <v>#REF!</v>
      </c>
    </row>
    <row r="8" spans="25:41">
      <c r="Y8" s="17"/>
      <c r="Z8" s="14" t="e">
        <f>#REF!-Y8</f>
        <v>#REF!</v>
      </c>
      <c r="AA8" s="14"/>
      <c r="AB8" s="14"/>
      <c r="AC8" s="14"/>
      <c r="AD8" s="14"/>
      <c r="AE8" s="26"/>
      <c r="AF8" s="14" t="e">
        <f>SUM(#REF!)</f>
        <v>#REF!</v>
      </c>
      <c r="AG8" s="15"/>
      <c r="AH8" s="15"/>
      <c r="AI8" s="15"/>
      <c r="AN8" s="14" t="e">
        <f>SUM(#REF!)</f>
        <v>#REF!</v>
      </c>
      <c r="AO8" s="14" t="e">
        <f>SUM(#REF!)</f>
        <v>#REF!</v>
      </c>
    </row>
    <row r="9" spans="25:41">
      <c r="Y9" s="17"/>
      <c r="Z9" s="14" t="e">
        <f>#REF!-Y9</f>
        <v>#REF!</v>
      </c>
      <c r="AA9" s="14"/>
      <c r="AD9" s="14"/>
      <c r="AE9" s="26"/>
      <c r="AF9" s="14" t="e">
        <f>SUM(#REF!)</f>
        <v>#REF!</v>
      </c>
      <c r="AG9" s="15"/>
      <c r="AH9" s="15"/>
      <c r="AI9" s="15"/>
      <c r="AN9" s="14" t="e">
        <f>SUM(#REF!)</f>
        <v>#REF!</v>
      </c>
      <c r="AO9" s="14" t="e">
        <f>SUM(#REF!)</f>
        <v>#REF!</v>
      </c>
    </row>
    <row r="10" spans="25:41">
      <c r="Y10" s="14"/>
      <c r="Z10" s="14" t="e">
        <f>#REF!-Y10</f>
        <v>#REF!</v>
      </c>
      <c r="AA10" s="14"/>
      <c r="AB10" s="14"/>
      <c r="AC10" s="14"/>
      <c r="AD10" s="14"/>
      <c r="AE10" s="26"/>
      <c r="AF10" s="14" t="e">
        <f>SUM(#REF!)</f>
        <v>#REF!</v>
      </c>
      <c r="AG10" s="15"/>
      <c r="AH10" s="15"/>
      <c r="AI10" s="15"/>
      <c r="AN10" s="14" t="e">
        <f>SUM(#REF!)</f>
        <v>#REF!</v>
      </c>
      <c r="AO10" s="14" t="e">
        <f>SUM(#REF!)</f>
        <v>#REF!</v>
      </c>
    </row>
    <row r="11" spans="25:41">
      <c r="Y11" s="14"/>
      <c r="Z11" s="14" t="e">
        <f>#REF!-Y11</f>
        <v>#REF!</v>
      </c>
      <c r="AA11" s="14"/>
      <c r="AB11" s="14"/>
      <c r="AC11" s="14"/>
      <c r="AD11" s="14"/>
      <c r="AE11" s="26"/>
      <c r="AF11" s="14" t="e">
        <f>SUM(#REF!)</f>
        <v>#REF!</v>
      </c>
      <c r="AG11" s="15"/>
      <c r="AH11" s="15"/>
      <c r="AI11" s="15"/>
      <c r="AN11" s="14" t="e">
        <f>SUM(#REF!)</f>
        <v>#REF!</v>
      </c>
      <c r="AO11" s="14" t="e">
        <f>SUM(#REF!)</f>
        <v>#REF!</v>
      </c>
    </row>
    <row r="12" spans="25:41">
      <c r="Y12" s="14"/>
      <c r="Z12" s="14" t="e">
        <f>#REF!-Y12</f>
        <v>#REF!</v>
      </c>
      <c r="AA12" s="14"/>
      <c r="AB12" s="14"/>
      <c r="AC12" s="14"/>
      <c r="AD12" s="14"/>
      <c r="AE12" s="26"/>
      <c r="AF12" s="14" t="e">
        <f>SUM(#REF!)</f>
        <v>#REF!</v>
      </c>
      <c r="AG12" s="15"/>
      <c r="AH12" s="15"/>
      <c r="AI12" s="15"/>
      <c r="AN12" s="14" t="e">
        <f>SUM(#REF!)</f>
        <v>#REF!</v>
      </c>
      <c r="AO12" s="14" t="e">
        <f>SUM(#REF!)</f>
        <v>#REF!</v>
      </c>
    </row>
    <row r="13" spans="25:41">
      <c r="Y13" s="14"/>
      <c r="Z13" s="14" t="e">
        <f>#REF!-Y13</f>
        <v>#REF!</v>
      </c>
      <c r="AA13" s="14"/>
      <c r="AB13" s="14"/>
      <c r="AC13" s="14"/>
      <c r="AD13" s="14"/>
      <c r="AE13" s="26"/>
      <c r="AF13" s="14" t="e">
        <f>SUM(#REF!)</f>
        <v>#REF!</v>
      </c>
      <c r="AG13" s="15"/>
      <c r="AH13" s="15"/>
      <c r="AI13" s="15"/>
      <c r="AN13" s="14" t="e">
        <f>SUM(#REF!)</f>
        <v>#REF!</v>
      </c>
      <c r="AO13" s="14" t="e">
        <f>SUM(#REF!)</f>
        <v>#REF!</v>
      </c>
    </row>
    <row r="14" spans="25:41">
      <c r="Y14" s="14"/>
      <c r="Z14" s="14" t="e">
        <f>#REF!-Y14</f>
        <v>#REF!</v>
      </c>
      <c r="AA14" s="14"/>
      <c r="AB14" s="14"/>
      <c r="AC14" s="14"/>
      <c r="AD14" s="14"/>
      <c r="AF14" s="14" t="e">
        <f>SUM(#REF!)</f>
        <v>#REF!</v>
      </c>
      <c r="AG14" s="15"/>
      <c r="AH14" s="15"/>
      <c r="AI14" s="15"/>
      <c r="AN14" s="14" t="e">
        <f>SUM(#REF!)</f>
        <v>#REF!</v>
      </c>
      <c r="AO14" s="14" t="e">
        <f>SUM(#REF!)</f>
        <v>#REF!</v>
      </c>
    </row>
    <row r="15" spans="25:41">
      <c r="Y15" s="14"/>
      <c r="Z15" s="14" t="e">
        <f>#REF!-Y15</f>
        <v>#REF!</v>
      </c>
      <c r="AA15" s="14"/>
      <c r="AF15" s="14" t="e">
        <f>SUM(#REF!)</f>
        <v>#REF!</v>
      </c>
      <c r="AG15" s="15"/>
      <c r="AH15" s="15"/>
      <c r="AI15" s="15"/>
      <c r="AN15" s="14" t="e">
        <f>SUM(#REF!)</f>
        <v>#REF!</v>
      </c>
      <c r="AO15" s="14" t="e">
        <f>SUM(#REF!)</f>
        <v>#REF!</v>
      </c>
    </row>
    <row r="16" spans="25:41">
      <c r="Y16" s="14"/>
      <c r="Z16" s="14" t="e">
        <f>#REF!-Y16</f>
        <v>#REF!</v>
      </c>
      <c r="AA16" s="14"/>
      <c r="AB16" s="14"/>
      <c r="AC16" s="14"/>
      <c r="AD16" s="14"/>
      <c r="AF16" s="14" t="e">
        <f>SUM(#REF!)</f>
        <v>#REF!</v>
      </c>
      <c r="AN16" s="14" t="e">
        <f>SUM(#REF!)</f>
        <v>#REF!</v>
      </c>
      <c r="AO16" s="14" t="e">
        <f>SUM(#REF!)</f>
        <v>#REF!</v>
      </c>
    </row>
    <row r="17" spans="25:41">
      <c r="Y17" s="14"/>
      <c r="Z17" s="14" t="e">
        <f>#REF!-Y17</f>
        <v>#REF!</v>
      </c>
      <c r="AA17" s="14"/>
      <c r="AB17" s="14"/>
      <c r="AC17" s="14"/>
      <c r="AD17" s="14"/>
      <c r="AF17" s="14" t="e">
        <f>SUM(#REF!)</f>
        <v>#REF!</v>
      </c>
      <c r="AN17" s="14" t="e">
        <f>SUM(#REF!)</f>
        <v>#REF!</v>
      </c>
      <c r="AO17" s="14" t="e">
        <f>SUM(#REF!)</f>
        <v>#REF!</v>
      </c>
    </row>
    <row r="18" spans="25:41">
      <c r="Y18" s="14"/>
      <c r="Z18" s="14" t="e">
        <f>#REF!-Y18</f>
        <v>#REF!</v>
      </c>
      <c r="AA18" s="14"/>
      <c r="AB18" s="14"/>
      <c r="AC18" s="14"/>
      <c r="AD18" s="14"/>
      <c r="AF18" s="14" t="e">
        <f>SUM(#REF!)</f>
        <v>#REF!</v>
      </c>
      <c r="AN18" s="14" t="e">
        <f>SUM(#REF!)</f>
        <v>#REF!</v>
      </c>
      <c r="AO18" s="14" t="e">
        <f>SUM(#REF!)</f>
        <v>#REF!</v>
      </c>
    </row>
    <row r="19" spans="25:41">
      <c r="Y19" s="14"/>
      <c r="Z19" s="14" t="e">
        <f>#REF!-Y19</f>
        <v>#REF!</v>
      </c>
      <c r="AA19" s="14"/>
      <c r="AB19" s="14"/>
      <c r="AC19" s="14"/>
      <c r="AD19" s="14"/>
      <c r="AF19" s="14" t="e">
        <f>SUM(#REF!)</f>
        <v>#REF!</v>
      </c>
      <c r="AN19" s="14" t="e">
        <f>SUM(#REF!)</f>
        <v>#REF!</v>
      </c>
      <c r="AO19" s="14" t="e">
        <f>SUM(#REF!)</f>
        <v>#REF!</v>
      </c>
    </row>
    <row r="20" spans="25:41">
      <c r="Y20" s="14"/>
      <c r="Z20" s="14" t="e">
        <f>#REF!-Y20</f>
        <v>#REF!</v>
      </c>
      <c r="AA20" s="14"/>
      <c r="AB20" s="14"/>
      <c r="AC20" s="14"/>
      <c r="AD20" s="14"/>
      <c r="AF20" s="14" t="e">
        <f>SUM(#REF!)</f>
        <v>#REF!</v>
      </c>
      <c r="AN20" s="14" t="e">
        <f>SUM(#REF!)</f>
        <v>#REF!</v>
      </c>
      <c r="AO20" s="14" t="e">
        <f>SUM(#REF!)</f>
        <v>#REF!</v>
      </c>
    </row>
    <row r="21" spans="25:41">
      <c r="Y21" s="14"/>
      <c r="Z21" s="14" t="e">
        <f>#REF!-Y21</f>
        <v>#REF!</v>
      </c>
      <c r="AA21" s="14"/>
      <c r="AB21" s="14">
        <f>SUM(AB3:AB20)</f>
        <v>0</v>
      </c>
      <c r="AC21" s="14" t="e">
        <f>AD21/AB21</f>
        <v>#DIV/0!</v>
      </c>
      <c r="AD21" s="14">
        <f>SUM(AD3:AD20)</f>
        <v>0</v>
      </c>
      <c r="AF21" s="14" t="e">
        <f>SUM(#REF!)</f>
        <v>#REF!</v>
      </c>
      <c r="AN21" s="10" t="e">
        <f>SUM(#REF!)</f>
        <v>#REF!</v>
      </c>
    </row>
    <row r="22" spans="25:41">
      <c r="Y22" s="14"/>
      <c r="Z22" s="14" t="e">
        <f>#REF!-Y22</f>
        <v>#REF!</v>
      </c>
      <c r="AA22" s="14"/>
      <c r="AB22" s="14"/>
      <c r="AC22" s="14"/>
      <c r="AD22" s="14"/>
      <c r="AF22" s="14" t="e">
        <f>SUM(#REF!)</f>
        <v>#REF!</v>
      </c>
      <c r="AN22" s="10" t="e">
        <f>SUM(#REF!)</f>
        <v>#REF!</v>
      </c>
    </row>
    <row r="23" spans="25:41">
      <c r="Y23" s="14"/>
      <c r="Z23" s="14" t="e">
        <f>#REF!-Y23</f>
        <v>#REF!</v>
      </c>
      <c r="AA23" s="14"/>
      <c r="AB23" s="14"/>
      <c r="AC23" s="14"/>
      <c r="AD23" s="14"/>
      <c r="AF23" s="14" t="e">
        <f>SUM(#REF!)</f>
        <v>#REF!</v>
      </c>
      <c r="AN23" s="10" t="e">
        <f>SUM(#REF!)</f>
        <v>#REF!</v>
      </c>
    </row>
    <row r="24" spans="25:41">
      <c r="Y24" s="14"/>
      <c r="Z24" s="14" t="e">
        <f>#REF!-Y24</f>
        <v>#REF!</v>
      </c>
      <c r="AA24" s="14"/>
      <c r="AB24" s="14"/>
      <c r="AC24" s="14"/>
      <c r="AD24" s="14"/>
      <c r="AF24" s="14" t="e">
        <f>SUM(#REF!)</f>
        <v>#REF!</v>
      </c>
      <c r="AN24" s="10" t="e">
        <f>SUM(#REF!)</f>
        <v>#REF!</v>
      </c>
    </row>
    <row r="25" spans="25:41">
      <c r="Y25" s="14"/>
      <c r="Z25" s="14" t="e">
        <f>#REF!-Y25</f>
        <v>#REF!</v>
      </c>
      <c r="AA25" s="14"/>
      <c r="AB25" s="14"/>
      <c r="AC25" s="14"/>
      <c r="AD25" s="14"/>
      <c r="AF25" s="14" t="e">
        <f>SUM(#REF!)</f>
        <v>#REF!</v>
      </c>
      <c r="AN25" s="10" t="e">
        <f>SUM(#REF!)</f>
        <v>#REF!</v>
      </c>
    </row>
    <row r="26" spans="25:41">
      <c r="Y26" s="14"/>
      <c r="Z26" s="14" t="e">
        <f>#REF!-Y26</f>
        <v>#REF!</v>
      </c>
      <c r="AA26" s="14"/>
      <c r="AB26" s="14"/>
      <c r="AC26" s="14"/>
      <c r="AD26" s="14"/>
      <c r="AF26" s="14" t="e">
        <f>SUM(#REF!)</f>
        <v>#REF!</v>
      </c>
      <c r="AN26" s="10" t="e">
        <f>SUM(#REF!)</f>
        <v>#REF!</v>
      </c>
    </row>
    <row r="27" spans="25:41">
      <c r="Y27" s="14"/>
      <c r="Z27" s="14" t="e">
        <f>#REF!-Y27</f>
        <v>#REF!</v>
      </c>
      <c r="AA27" s="14"/>
      <c r="AB27" s="14"/>
      <c r="AC27" s="14"/>
      <c r="AD27" s="14"/>
      <c r="AF27" s="14" t="e">
        <f>SUM(#REF!)</f>
        <v>#REF!</v>
      </c>
      <c r="AN27" s="10" t="e">
        <f>SUM(#REF!)</f>
        <v>#REF!</v>
      </c>
    </row>
    <row r="28" spans="25:41">
      <c r="Y28" s="14"/>
      <c r="Z28" s="14" t="e">
        <f>#REF!-Y28</f>
        <v>#REF!</v>
      </c>
      <c r="AA28" s="14"/>
      <c r="AB28" s="14"/>
      <c r="AC28" s="14"/>
      <c r="AD28" s="14"/>
      <c r="AF28" s="14" t="e">
        <f>SUM(#REF!)</f>
        <v>#REF!</v>
      </c>
      <c r="AN28" s="10" t="e">
        <f>SUM(#REF!)</f>
        <v>#REF!</v>
      </c>
    </row>
    <row r="29" spans="25:41">
      <c r="Y29" s="14"/>
      <c r="Z29" s="14" t="e">
        <f>#REF!-Y29</f>
        <v>#REF!</v>
      </c>
      <c r="AA29" s="14"/>
      <c r="AB29" s="14"/>
      <c r="AC29" s="14"/>
      <c r="AD29" s="14"/>
      <c r="AF29" s="14" t="e">
        <f>SUM(#REF!)</f>
        <v>#REF!</v>
      </c>
      <c r="AN29" s="10" t="e">
        <f>SUM(#REF!)</f>
        <v>#REF!</v>
      </c>
    </row>
    <row r="30" spans="25:41">
      <c r="Y30" s="14"/>
      <c r="Z30" s="14" t="e">
        <f>#REF!-Y30</f>
        <v>#REF!</v>
      </c>
      <c r="AA30" s="14"/>
      <c r="AB30" s="14"/>
      <c r="AC30" s="14"/>
      <c r="AD30" s="14"/>
      <c r="AF30" s="14" t="e">
        <f>SUM(#REF!)</f>
        <v>#REF!</v>
      </c>
      <c r="AN30" s="10" t="e">
        <f>SUM(#REF!)</f>
        <v>#REF!</v>
      </c>
    </row>
    <row r="31" spans="25:41">
      <c r="Y31" s="14"/>
      <c r="Z31" s="14" t="e">
        <f>#REF!-Y31</f>
        <v>#REF!</v>
      </c>
      <c r="AA31" s="14"/>
      <c r="AB31" s="14"/>
      <c r="AC31" s="14"/>
      <c r="AD31" s="14"/>
      <c r="AF31" s="14" t="e">
        <f>SUM(#REF!)</f>
        <v>#REF!</v>
      </c>
      <c r="AN31" s="10" t="e">
        <f>SUM(#REF!)</f>
        <v>#REF!</v>
      </c>
    </row>
    <row r="32" spans="25:41">
      <c r="Y32" s="14"/>
      <c r="Z32" s="14" t="e">
        <f>#REF!-Y32</f>
        <v>#REF!</v>
      </c>
      <c r="AA32" s="14"/>
      <c r="AB32" s="14"/>
      <c r="AC32" s="14"/>
      <c r="AD32" s="14"/>
    </row>
    <row r="33" spans="2:30">
      <c r="Y33" s="14"/>
      <c r="Z33" s="14"/>
      <c r="AA33" s="14"/>
      <c r="AB33" s="14"/>
      <c r="AC33" s="14"/>
      <c r="AD33" s="14"/>
    </row>
    <row r="34" spans="2:30">
      <c r="B34" s="14"/>
      <c r="C34" s="14"/>
      <c r="D34" s="14">
        <v>10476</v>
      </c>
      <c r="E34" s="14">
        <v>11604</v>
      </c>
      <c r="F34" s="14">
        <v>5677</v>
      </c>
      <c r="G34" s="14">
        <v>2204</v>
      </c>
      <c r="H34" s="14"/>
      <c r="I34" s="14"/>
      <c r="J34" s="14"/>
      <c r="K34" s="14"/>
      <c r="L34" s="14"/>
      <c r="M34" s="14">
        <v>53758</v>
      </c>
      <c r="N34" s="14">
        <v>130</v>
      </c>
      <c r="O34" s="14"/>
      <c r="P34" s="14">
        <v>3835</v>
      </c>
      <c r="Q34" s="14"/>
      <c r="R34" s="14"/>
      <c r="S34" s="14">
        <v>107935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>
      <c r="B35" s="14"/>
      <c r="C35" s="14"/>
      <c r="D35" s="14" t="e">
        <f>+#REF!-D34</f>
        <v>#REF!</v>
      </c>
      <c r="E35" s="14" t="e">
        <f>+#REF!-E34</f>
        <v>#REF!</v>
      </c>
      <c r="F35" s="14" t="e">
        <f>+#REF!-F34</f>
        <v>#REF!</v>
      </c>
      <c r="G35" s="14" t="e">
        <f>+#REF!-G34</f>
        <v>#REF!</v>
      </c>
      <c r="H35" s="14"/>
      <c r="I35" s="14" t="e">
        <f>+#REF!-I34</f>
        <v>#REF!</v>
      </c>
      <c r="J35" s="14" t="e">
        <f>+#REF!-J34</f>
        <v>#REF!</v>
      </c>
      <c r="K35" s="14" t="e">
        <f>+#REF!-K34</f>
        <v>#REF!</v>
      </c>
      <c r="L35" s="14" t="e">
        <f>+#REF!-L34</f>
        <v>#REF!</v>
      </c>
      <c r="M35" s="14" t="e">
        <f>+#REF!-M34</f>
        <v>#REF!</v>
      </c>
      <c r="N35" s="14" t="e">
        <f>+#REF!-N34</f>
        <v>#REF!</v>
      </c>
      <c r="O35" s="14" t="e">
        <f>+#REF!-O34</f>
        <v>#REF!</v>
      </c>
      <c r="P35" s="14" t="e">
        <f>+#REF!-P34</f>
        <v>#REF!</v>
      </c>
      <c r="Q35" s="14"/>
      <c r="R35" s="14"/>
      <c r="S35" s="14" t="e">
        <f>+#REF!-S34</f>
        <v>#REF!</v>
      </c>
      <c r="T35" s="14"/>
      <c r="U35" s="14"/>
      <c r="V35" s="14"/>
      <c r="W35" s="14"/>
      <c r="X35" s="14">
        <v>15079</v>
      </c>
      <c r="Y35" s="14"/>
      <c r="Z35" s="14"/>
      <c r="AA35" s="14"/>
      <c r="AB35" s="14"/>
      <c r="AC35" s="14"/>
      <c r="AD35" s="14"/>
    </row>
    <row r="36" spans="2:30">
      <c r="L36" s="14"/>
      <c r="X36" s="14" t="e">
        <f>+X35-#REF!</f>
        <v>#REF!</v>
      </c>
    </row>
    <row r="37" spans="2:30">
      <c r="L37" s="14"/>
    </row>
    <row r="38" spans="2:30">
      <c r="L38" s="14"/>
    </row>
    <row r="39" spans="2:30">
      <c r="S39" s="14"/>
    </row>
    <row r="40" spans="2:30">
      <c r="S40" s="14"/>
    </row>
    <row r="41" spans="2:30">
      <c r="D41" s="10">
        <v>6027</v>
      </c>
      <c r="E41" s="10">
        <v>6610</v>
      </c>
      <c r="F41" s="10">
        <v>3618</v>
      </c>
      <c r="G41" s="10">
        <v>1203</v>
      </c>
    </row>
    <row r="42" spans="2:30">
      <c r="D42" s="14" t="e">
        <f>+#REF!-D41</f>
        <v>#REF!</v>
      </c>
      <c r="E42" s="14" t="e">
        <f>+#REF!-E41</f>
        <v>#REF!</v>
      </c>
      <c r="F42" s="14" t="e">
        <f>+#REF!-F41</f>
        <v>#REF!</v>
      </c>
      <c r="G42" s="14" t="e">
        <f>+#REF!-G41</f>
        <v>#REF!</v>
      </c>
      <c r="H42" s="14"/>
    </row>
  </sheetData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6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9" style="10" bestFit="1" customWidth="1"/>
    <col min="4" max="4" width="11.42578125" style="10" customWidth="1"/>
    <col min="5" max="5" width="9" style="10" bestFit="1" customWidth="1"/>
    <col min="6" max="6" width="13.140625" style="10" customWidth="1"/>
    <col min="7" max="7" width="16.85546875" style="10" customWidth="1"/>
    <col min="8" max="8" width="19.140625" style="10" customWidth="1"/>
    <col min="9" max="9" width="16.140625" style="10" customWidth="1"/>
    <col min="10" max="10" width="9" style="10" bestFit="1" customWidth="1"/>
    <col min="11" max="11" width="9.140625" style="10" bestFit="1" customWidth="1"/>
    <col min="12" max="12" width="11.42578125" style="10" customWidth="1"/>
    <col min="13" max="13" width="11.7109375" style="10" customWidth="1"/>
    <col min="14" max="14" width="9" style="10"/>
    <col min="15" max="15" width="11.42578125" style="10" customWidth="1"/>
    <col min="16" max="16" width="9" style="10"/>
    <col min="17" max="17" width="11" style="10" bestFit="1" customWidth="1"/>
    <col min="18" max="18" width="7.5703125" style="10" bestFit="1" customWidth="1"/>
    <col min="19" max="19" width="13" style="10" customWidth="1"/>
    <col min="20" max="21" width="9" style="10"/>
    <col min="22" max="22" width="16.5703125" style="10" customWidth="1"/>
    <col min="23" max="23" width="11.7109375" style="10" customWidth="1"/>
    <col min="24" max="24" width="12.85546875" style="10" customWidth="1"/>
    <col min="25" max="25" width="14" style="10" customWidth="1"/>
    <col min="26" max="16384" width="9" style="10"/>
  </cols>
  <sheetData>
    <row r="1" spans="14:25" s="15" customFormat="1"/>
    <row r="2" spans="14:25">
      <c r="N2" s="14"/>
      <c r="O2" s="14" t="e">
        <f>#REF!-N2</f>
        <v>#REF!</v>
      </c>
      <c r="P2" s="14"/>
      <c r="Q2" s="14">
        <v>106148.80999999988</v>
      </c>
      <c r="R2" s="14">
        <v>81.410138364622853</v>
      </c>
      <c r="S2" s="14">
        <f>+Q2*R2</f>
        <v>8641589.3093400523</v>
      </c>
      <c r="V2" s="15" t="s">
        <v>63</v>
      </c>
      <c r="W2" s="15">
        <f>Q2</f>
        <v>106148.80999999988</v>
      </c>
      <c r="X2" s="15">
        <f>R2</f>
        <v>81.410138364622853</v>
      </c>
      <c r="Y2" s="15">
        <f>W2*X2</f>
        <v>8641589.3093400523</v>
      </c>
    </row>
    <row r="3" spans="14:25">
      <c r="N3" s="14"/>
      <c r="O3" s="14" t="e">
        <f>#REF!-N3</f>
        <v>#REF!</v>
      </c>
      <c r="P3" s="14"/>
      <c r="Q3" s="14"/>
      <c r="R3" s="14"/>
      <c r="S3" s="14"/>
      <c r="V3" s="15" t="s">
        <v>61</v>
      </c>
      <c r="W3" s="15">
        <v>0</v>
      </c>
      <c r="X3" s="15" t="e">
        <f>Y3/W3</f>
        <v>#DIV/0!</v>
      </c>
      <c r="Y3" s="15">
        <v>0</v>
      </c>
    </row>
    <row r="4" spans="14:25">
      <c r="N4" s="14"/>
      <c r="O4" s="14" t="e">
        <f>#REF!-N4</f>
        <v>#REF!</v>
      </c>
      <c r="P4" s="14"/>
      <c r="Q4" s="14"/>
      <c r="R4" s="14"/>
      <c r="S4" s="14"/>
      <c r="V4" s="21" t="s">
        <v>76</v>
      </c>
      <c r="W4" s="21" t="e">
        <f>#REF!</f>
        <v>#REF!</v>
      </c>
      <c r="X4" s="10">
        <v>70.240413669667802</v>
      </c>
      <c r="Y4" s="15" t="e">
        <f>W4*X4</f>
        <v>#REF!</v>
      </c>
    </row>
    <row r="5" spans="14:25">
      <c r="N5" s="14"/>
      <c r="O5" s="14" t="e">
        <f>#REF!-N5</f>
        <v>#REF!</v>
      </c>
      <c r="P5" s="14"/>
      <c r="V5" s="15" t="s">
        <v>281</v>
      </c>
      <c r="W5" s="35" t="e">
        <f>-#REF!</f>
        <v>#REF!</v>
      </c>
      <c r="X5" s="15">
        <f>X4</f>
        <v>70.240413669667802</v>
      </c>
      <c r="Y5" s="15" t="e">
        <f>W5*X5</f>
        <v>#REF!</v>
      </c>
    </row>
    <row r="6" spans="14:25">
      <c r="N6" s="14"/>
      <c r="O6" s="14" t="e">
        <f>#REF!-N6</f>
        <v>#REF!</v>
      </c>
      <c r="P6" s="14"/>
      <c r="V6" s="15" t="s">
        <v>248</v>
      </c>
      <c r="W6" s="15" t="e">
        <f>SUM(W2:W5)</f>
        <v>#REF!</v>
      </c>
      <c r="X6" s="15" t="e">
        <f>Y6/W6</f>
        <v>#REF!</v>
      </c>
      <c r="Y6" s="15" t="e">
        <f>SUM(Y2:Y5)</f>
        <v>#REF!</v>
      </c>
    </row>
    <row r="7" spans="14:25">
      <c r="N7" s="14"/>
      <c r="O7" s="14" t="e">
        <f>#REF!-N7</f>
        <v>#REF!</v>
      </c>
      <c r="P7" s="14"/>
      <c r="Q7" s="14"/>
      <c r="R7" s="14"/>
      <c r="S7" s="14"/>
    </row>
    <row r="8" spans="14:25">
      <c r="N8" s="14"/>
      <c r="O8" s="14" t="e">
        <f>#REF!-N8</f>
        <v>#REF!</v>
      </c>
      <c r="P8" s="14"/>
      <c r="Q8" s="14"/>
      <c r="R8" s="14"/>
      <c r="S8" s="14"/>
    </row>
    <row r="9" spans="14:25">
      <c r="N9" s="14"/>
      <c r="O9" s="14" t="e">
        <f>#REF!-N9</f>
        <v>#REF!</v>
      </c>
      <c r="P9" s="14"/>
      <c r="Q9" s="14">
        <f>SUM(Q3:Q7)</f>
        <v>0</v>
      </c>
      <c r="R9" s="14" t="e">
        <f>S9/Q9</f>
        <v>#DIV/0!</v>
      </c>
      <c r="S9" s="14">
        <f>SUM(S3:S7)</f>
        <v>0</v>
      </c>
    </row>
    <row r="10" spans="14:25">
      <c r="N10" s="14"/>
      <c r="O10" s="14" t="e">
        <f>#REF!-N10</f>
        <v>#REF!</v>
      </c>
      <c r="P10" s="14"/>
      <c r="Q10" s="14"/>
      <c r="R10" s="14"/>
      <c r="S10" s="14"/>
    </row>
    <row r="11" spans="14:25">
      <c r="N11" s="14"/>
      <c r="O11" s="14" t="e">
        <f>#REF!-N11</f>
        <v>#REF!</v>
      </c>
      <c r="P11" s="14"/>
      <c r="Q11" s="14"/>
      <c r="R11" s="14"/>
      <c r="S11" s="14"/>
    </row>
    <row r="12" spans="14:25">
      <c r="N12" s="14"/>
      <c r="O12" s="14" t="e">
        <f>#REF!-N12</f>
        <v>#REF!</v>
      </c>
      <c r="P12" s="14"/>
      <c r="Q12" s="14"/>
      <c r="R12" s="14"/>
      <c r="S12" s="14"/>
    </row>
    <row r="13" spans="14:25">
      <c r="N13" s="14"/>
      <c r="O13" s="14" t="e">
        <f>#REF!-N13</f>
        <v>#REF!</v>
      </c>
      <c r="P13" s="14"/>
      <c r="Q13" s="14"/>
      <c r="R13" s="14"/>
      <c r="S13" s="14"/>
    </row>
    <row r="14" spans="14:25">
      <c r="N14" s="14"/>
      <c r="O14" s="14" t="e">
        <f>#REF!-N14</f>
        <v>#REF!</v>
      </c>
      <c r="P14" s="14"/>
      <c r="Q14" s="14"/>
      <c r="R14" s="14"/>
      <c r="S14" s="14"/>
    </row>
    <row r="15" spans="14:25">
      <c r="N15" s="14"/>
      <c r="O15" s="14" t="e">
        <f>#REF!-N15</f>
        <v>#REF!</v>
      </c>
      <c r="P15" s="14"/>
      <c r="Q15" s="14"/>
      <c r="R15" s="14"/>
      <c r="S15" s="14"/>
    </row>
    <row r="16" spans="14:25">
      <c r="N16" s="14"/>
      <c r="O16" s="14" t="e">
        <f>#REF!-N16</f>
        <v>#REF!</v>
      </c>
      <c r="P16" s="14"/>
      <c r="Q16" s="14"/>
      <c r="R16" s="14"/>
      <c r="S16" s="14"/>
    </row>
    <row r="17" spans="14:19">
      <c r="N17" s="14"/>
      <c r="O17" s="14" t="e">
        <f>#REF!-N17</f>
        <v>#REF!</v>
      </c>
      <c r="P17" s="14"/>
      <c r="Q17" s="14"/>
      <c r="R17" s="14"/>
      <c r="S17" s="14"/>
    </row>
    <row r="18" spans="14:19">
      <c r="N18" s="14"/>
      <c r="O18" s="14" t="e">
        <f>#REF!-N18</f>
        <v>#REF!</v>
      </c>
      <c r="P18" s="14"/>
      <c r="Q18" s="14"/>
      <c r="R18" s="14"/>
      <c r="S18" s="14"/>
    </row>
    <row r="19" spans="14:19">
      <c r="N19" s="14"/>
      <c r="O19" s="14" t="e">
        <f>#REF!-N19</f>
        <v>#REF!</v>
      </c>
      <c r="P19" s="14"/>
      <c r="Q19" s="14"/>
      <c r="R19" s="14"/>
      <c r="S19" s="14"/>
    </row>
    <row r="20" spans="14:19">
      <c r="N20" s="14"/>
      <c r="O20" s="14" t="e">
        <f>#REF!-N20</f>
        <v>#REF!</v>
      </c>
      <c r="P20" s="14"/>
      <c r="Q20" s="14"/>
      <c r="R20" s="14"/>
      <c r="S20" s="14"/>
    </row>
    <row r="21" spans="14:19">
      <c r="N21" s="14"/>
      <c r="O21" s="14" t="e">
        <f>#REF!-N21</f>
        <v>#REF!</v>
      </c>
      <c r="P21" s="14"/>
      <c r="Q21" s="14"/>
      <c r="R21" s="14"/>
      <c r="S21" s="14"/>
    </row>
    <row r="22" spans="14:19">
      <c r="N22" s="14"/>
      <c r="O22" s="14" t="e">
        <f>#REF!-N22</f>
        <v>#REF!</v>
      </c>
      <c r="P22" s="14"/>
      <c r="Q22" s="14"/>
      <c r="R22" s="14"/>
      <c r="S22" s="14"/>
    </row>
    <row r="23" spans="14:19">
      <c r="N23" s="14"/>
      <c r="O23" s="14" t="e">
        <f>#REF!-N23</f>
        <v>#REF!</v>
      </c>
      <c r="P23" s="14"/>
      <c r="Q23" s="14"/>
      <c r="R23" s="14"/>
      <c r="S23" s="14"/>
    </row>
    <row r="24" spans="14:19">
      <c r="N24" s="14"/>
      <c r="O24" s="14" t="e">
        <f>#REF!-N24</f>
        <v>#REF!</v>
      </c>
      <c r="P24" s="14"/>
      <c r="Q24" s="14"/>
      <c r="R24" s="14"/>
      <c r="S24" s="14"/>
    </row>
    <row r="25" spans="14:19">
      <c r="N25" s="14"/>
      <c r="O25" s="14" t="e">
        <f>#REF!-N25</f>
        <v>#REF!</v>
      </c>
      <c r="P25" s="14"/>
      <c r="Q25" s="14"/>
      <c r="R25" s="14"/>
      <c r="S25" s="14"/>
    </row>
    <row r="26" spans="14:19">
      <c r="N26" s="14"/>
      <c r="O26" s="14" t="e">
        <f>#REF!-N26</f>
        <v>#REF!</v>
      </c>
      <c r="P26" s="14"/>
      <c r="Q26" s="14"/>
      <c r="R26" s="14"/>
      <c r="S26" s="14"/>
    </row>
    <row r="27" spans="14:19">
      <c r="N27" s="14"/>
      <c r="O27" s="14" t="e">
        <f>#REF!-N27</f>
        <v>#REF!</v>
      </c>
      <c r="P27" s="14"/>
      <c r="Q27" s="14"/>
      <c r="R27" s="14"/>
      <c r="S27" s="14"/>
    </row>
    <row r="28" spans="14:19">
      <c r="N28" s="14"/>
      <c r="O28" s="14" t="e">
        <f>#REF!-N28</f>
        <v>#REF!</v>
      </c>
      <c r="P28" s="14"/>
      <c r="Q28" s="14"/>
      <c r="R28" s="14"/>
      <c r="S28" s="14"/>
    </row>
    <row r="29" spans="14:19">
      <c r="N29" s="14"/>
      <c r="O29" s="14" t="e">
        <f>#REF!-N29</f>
        <v>#REF!</v>
      </c>
      <c r="P29" s="14"/>
      <c r="Q29" s="14"/>
      <c r="R29" s="14"/>
      <c r="S29" s="14"/>
    </row>
    <row r="30" spans="14:19">
      <c r="N30" s="14"/>
      <c r="O30" s="14" t="e">
        <f>#REF!-N30</f>
        <v>#REF!</v>
      </c>
      <c r="P30" s="14"/>
      <c r="Q30" s="14"/>
      <c r="R30" s="14"/>
      <c r="S30" s="14"/>
    </row>
    <row r="31" spans="14:19">
      <c r="N31" s="14"/>
      <c r="O31" s="14" t="e">
        <f>#REF!-N31</f>
        <v>#REF!</v>
      </c>
      <c r="P31" s="14"/>
      <c r="Q31" s="14"/>
      <c r="R31" s="14"/>
      <c r="S31" s="14"/>
    </row>
    <row r="32" spans="14:19">
      <c r="N32" s="14"/>
      <c r="O32" s="14" t="e">
        <f>#REF!-N32</f>
        <v>#REF!</v>
      </c>
      <c r="P32" s="14"/>
      <c r="Q32" s="14"/>
      <c r="R32" s="14"/>
      <c r="S32" s="14"/>
    </row>
    <row r="33" spans="2:19">
      <c r="N33" s="14"/>
      <c r="O33" s="14"/>
      <c r="P33" s="14"/>
      <c r="Q33" s="14"/>
      <c r="R33" s="14"/>
      <c r="S33" s="14"/>
    </row>
    <row r="34" spans="2:19">
      <c r="B34" s="14"/>
      <c r="C34" s="14"/>
      <c r="D34" s="14">
        <v>422813.54</v>
      </c>
      <c r="E34" s="14"/>
      <c r="F34" s="14"/>
      <c r="G34" s="14">
        <v>359691.5</v>
      </c>
      <c r="H34" s="14">
        <v>61020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2:19">
      <c r="B35" s="14"/>
      <c r="C35" s="14"/>
      <c r="D35" s="14" t="e">
        <f>+#REF!-D34</f>
        <v>#REF!</v>
      </c>
      <c r="E35" s="14"/>
      <c r="F35" s="14"/>
      <c r="G35" s="14" t="e">
        <f>+#REF!-G34</f>
        <v>#REF!</v>
      </c>
      <c r="H35" s="14" t="e">
        <f>+#REF!-H34</f>
        <v>#REF!</v>
      </c>
      <c r="I35" s="14" t="e">
        <f>+#REF!-I34</f>
        <v>#REF!</v>
      </c>
      <c r="J35" s="14"/>
      <c r="K35" s="14"/>
      <c r="L35" s="14"/>
      <c r="M35" s="14">
        <v>106148.81</v>
      </c>
      <c r="N35" s="14"/>
      <c r="O35" s="14"/>
      <c r="P35" s="14"/>
      <c r="Q35" s="14"/>
      <c r="R35" s="14"/>
      <c r="S35" s="14"/>
    </row>
    <row r="36" spans="2:19">
      <c r="M36" s="14" t="e">
        <f>+M35-#REF!</f>
        <v>#REF!</v>
      </c>
    </row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74"/>
  <sheetViews>
    <sheetView workbookViewId="0"/>
  </sheetViews>
  <sheetFormatPr defaultColWidth="9" defaultRowHeight="12.75"/>
  <cols>
    <col min="1" max="1" width="11.85546875" style="10" customWidth="1"/>
    <col min="2" max="2" width="13" style="10" customWidth="1"/>
    <col min="3" max="3" width="10.28515625" style="10" customWidth="1"/>
    <col min="4" max="5" width="11.42578125" style="10" customWidth="1"/>
    <col min="6" max="6" width="11" style="10" bestFit="1" customWidth="1"/>
    <col min="7" max="7" width="13.140625" style="10" customWidth="1"/>
    <col min="8" max="8" width="16.85546875" style="10" customWidth="1"/>
    <col min="9" max="9" width="11.42578125" style="10" customWidth="1"/>
    <col min="10" max="10" width="19" style="10" bestFit="1" customWidth="1"/>
    <col min="11" max="11" width="22.5703125" style="10" customWidth="1"/>
    <col min="12" max="12" width="11" style="10" bestFit="1" customWidth="1"/>
    <col min="13" max="13" width="10.28515625" style="10" customWidth="1"/>
    <col min="14" max="14" width="11.42578125" style="10" customWidth="1"/>
    <col min="15" max="15" width="11.7109375" style="10" customWidth="1"/>
    <col min="16" max="16" width="9" style="10"/>
    <col min="17" max="17" width="11.42578125" style="10" customWidth="1"/>
    <col min="18" max="18" width="5.28515625" style="10" customWidth="1"/>
    <col min="19" max="19" width="11.42578125" style="10" customWidth="1"/>
    <col min="20" max="20" width="7.85546875" style="10" customWidth="1"/>
    <col min="21" max="21" width="14.140625" style="10" customWidth="1"/>
    <col min="22" max="22" width="12.28515625" style="10" customWidth="1"/>
    <col min="23" max="23" width="9" style="10"/>
    <col min="24" max="24" width="16.5703125" style="10" customWidth="1"/>
    <col min="25" max="25" width="11.7109375" style="10" customWidth="1"/>
    <col min="26" max="26" width="12.85546875" style="10" customWidth="1"/>
    <col min="27" max="27" width="14" style="10" customWidth="1"/>
    <col min="28" max="16384" width="9" style="10"/>
  </cols>
  <sheetData>
    <row r="1" spans="16:30" s="15" customFormat="1"/>
    <row r="2" spans="16:30">
      <c r="P2" s="14"/>
      <c r="Q2" s="14" t="e">
        <f>#REF!-P2</f>
        <v>#REF!</v>
      </c>
      <c r="R2" s="14"/>
      <c r="S2" s="14">
        <v>297806.49999999988</v>
      </c>
      <c r="T2" s="14">
        <v>91.410138364622853</v>
      </c>
      <c r="U2" s="14">
        <f t="shared" ref="U2:U27" si="0">+S2*T2</f>
        <v>27222533.370884046</v>
      </c>
    </row>
    <row r="3" spans="16:30">
      <c r="P3" s="14"/>
      <c r="Q3" s="14" t="e">
        <f>#REF!-P3</f>
        <v>#REF!</v>
      </c>
      <c r="R3" s="14"/>
      <c r="S3" s="20">
        <v>284.02</v>
      </c>
      <c r="T3" s="14">
        <f>+U3/S3</f>
        <v>250.71009083867332</v>
      </c>
      <c r="U3" s="14">
        <v>71206.679999999993</v>
      </c>
      <c r="V3" s="24"/>
      <c r="X3" s="15" t="s">
        <v>63</v>
      </c>
      <c r="Y3" s="15">
        <f>S2</f>
        <v>297806.49999999988</v>
      </c>
      <c r="Z3" s="15">
        <f>T2</f>
        <v>91.410138364622853</v>
      </c>
      <c r="AA3" s="15">
        <f>Y3*Z3</f>
        <v>27222533.370884046</v>
      </c>
    </row>
    <row r="4" spans="16:30">
      <c r="P4" s="14"/>
      <c r="Q4" s="14" t="e">
        <f>#REF!-P4</f>
        <v>#REF!</v>
      </c>
      <c r="R4" s="14"/>
      <c r="S4" s="19">
        <v>2505.6</v>
      </c>
      <c r="T4" s="14">
        <v>103.069954162504</v>
      </c>
      <c r="U4" s="14">
        <f t="shared" si="0"/>
        <v>258252.07714957002</v>
      </c>
      <c r="V4" s="24"/>
      <c r="X4" s="15" t="s">
        <v>61</v>
      </c>
      <c r="Y4" s="15">
        <f>SUM(S3:S4)</f>
        <v>2789.62</v>
      </c>
      <c r="Z4" s="15">
        <f>AA4/Y4</f>
        <v>118.10166157023897</v>
      </c>
      <c r="AA4" s="15">
        <f>SUM(U3:U4)</f>
        <v>329458.75714957004</v>
      </c>
    </row>
    <row r="5" spans="16:30">
      <c r="P5" s="14"/>
      <c r="Q5" s="14" t="e">
        <f>#REF!-P5</f>
        <v>#REF!</v>
      </c>
      <c r="R5" s="14"/>
      <c r="S5" s="14">
        <v>350.3</v>
      </c>
      <c r="T5" s="14">
        <v>95.069957720279803</v>
      </c>
      <c r="U5" s="14">
        <f t="shared" si="0"/>
        <v>33303.006189414016</v>
      </c>
      <c r="V5" s="24"/>
      <c r="X5" s="21" t="s">
        <v>76</v>
      </c>
      <c r="Y5" s="21" t="e">
        <f>#REF!+#REF!-#REF!</f>
        <v>#REF!</v>
      </c>
      <c r="Z5" s="10">
        <v>72.983408653427603</v>
      </c>
      <c r="AA5" s="15" t="e">
        <f>Y5*Z5</f>
        <v>#REF!</v>
      </c>
    </row>
    <row r="6" spans="16:30">
      <c r="P6" s="14"/>
      <c r="Q6" s="14" t="e">
        <f>#REF!-P6</f>
        <v>#REF!</v>
      </c>
      <c r="R6" s="14"/>
      <c r="S6" s="14">
        <v>8012.1</v>
      </c>
      <c r="T6" s="14">
        <v>87.049961932577006</v>
      </c>
      <c r="U6" s="14">
        <f t="shared" si="0"/>
        <v>697453.00000000023</v>
      </c>
      <c r="V6" s="24"/>
      <c r="X6" s="15" t="s">
        <v>281</v>
      </c>
      <c r="Y6" s="35" t="e">
        <f>-#REF!</f>
        <v>#REF!</v>
      </c>
      <c r="Z6" s="15">
        <f>Z5</f>
        <v>72.983408653427603</v>
      </c>
      <c r="AA6" s="15" t="e">
        <f>Y6*Z6</f>
        <v>#REF!</v>
      </c>
    </row>
    <row r="7" spans="16:30">
      <c r="P7" s="14"/>
      <c r="Q7" s="14" t="e">
        <f>#REF!-P7</f>
        <v>#REF!</v>
      </c>
      <c r="R7" s="14"/>
      <c r="S7" s="127">
        <v>408.5</v>
      </c>
      <c r="T7" s="14">
        <v>102.228137115024</v>
      </c>
      <c r="U7" s="14">
        <f t="shared" si="0"/>
        <v>41760.1940114873</v>
      </c>
      <c r="V7" s="24"/>
      <c r="X7" s="15" t="s">
        <v>248</v>
      </c>
      <c r="Y7" s="15" t="e">
        <f>SUM(Y3:Y6)</f>
        <v>#REF!</v>
      </c>
      <c r="Z7" s="15" t="e">
        <f>AA7/Y7</f>
        <v>#REF!</v>
      </c>
      <c r="AA7" s="15" t="e">
        <f>SUM(AA3:AA6)</f>
        <v>#REF!</v>
      </c>
      <c r="AD7" s="10">
        <f>1405.27+314.43</f>
        <v>1719.7</v>
      </c>
    </row>
    <row r="8" spans="16:30">
      <c r="P8" s="14"/>
      <c r="Q8" s="14" t="e">
        <f>#REF!-P8</f>
        <v>#REF!</v>
      </c>
      <c r="R8" s="14"/>
      <c r="S8" s="127">
        <v>310</v>
      </c>
      <c r="T8" s="10">
        <v>97.210130384546702</v>
      </c>
      <c r="U8" s="14">
        <f t="shared" si="0"/>
        <v>30135.140419209478</v>
      </c>
    </row>
    <row r="9" spans="16:30">
      <c r="P9" s="14"/>
      <c r="Q9" s="14" t="e">
        <f>#REF!-P9</f>
        <v>#REF!</v>
      </c>
      <c r="R9" s="14"/>
      <c r="S9" s="10">
        <v>3241</v>
      </c>
      <c r="T9" s="10">
        <v>103.590122895736</v>
      </c>
      <c r="U9" s="14">
        <f t="shared" si="0"/>
        <v>335735.58830508037</v>
      </c>
      <c r="AD9" s="10">
        <v>1465.62</v>
      </c>
    </row>
    <row r="10" spans="16:30">
      <c r="P10" s="14"/>
      <c r="Q10" s="14" t="e">
        <f>#REF!-P10</f>
        <v>#REF!</v>
      </c>
      <c r="R10" s="14"/>
      <c r="S10" s="10">
        <v>2453.9</v>
      </c>
      <c r="T10" s="10">
        <v>95.070084303367906</v>
      </c>
      <c r="U10" s="14">
        <f t="shared" si="0"/>
        <v>233292.47987203451</v>
      </c>
    </row>
    <row r="11" spans="16:30">
      <c r="P11" s="14"/>
      <c r="Q11" s="14" t="e">
        <f>#REF!-P11</f>
        <v>#REF!</v>
      </c>
      <c r="R11" s="14"/>
      <c r="S11" s="10">
        <v>1200.9000000000001</v>
      </c>
      <c r="T11" s="10">
        <v>103.070091397372</v>
      </c>
      <c r="U11" s="14">
        <f t="shared" si="0"/>
        <v>123776.87275910404</v>
      </c>
    </row>
    <row r="12" spans="16:30">
      <c r="P12" s="14"/>
      <c r="Q12" s="14" t="e">
        <f>#REF!-P12</f>
        <v>#REF!</v>
      </c>
      <c r="R12" s="14"/>
      <c r="S12" s="14">
        <v>316</v>
      </c>
      <c r="T12" s="14">
        <v>87.050486578337896</v>
      </c>
      <c r="U12" s="14">
        <f t="shared" si="0"/>
        <v>27507.953758754775</v>
      </c>
      <c r="V12" s="24"/>
    </row>
    <row r="13" spans="16:30">
      <c r="P13" s="14"/>
      <c r="Q13" s="14" t="e">
        <f>#REF!-P13</f>
        <v>#REF!</v>
      </c>
      <c r="R13" s="14"/>
      <c r="S13" s="14">
        <v>2979.2</v>
      </c>
      <c r="T13" s="14">
        <v>95.070064170512296</v>
      </c>
      <c r="U13" s="14">
        <f t="shared" si="0"/>
        <v>283232.73517679021</v>
      </c>
      <c r="V13" s="24"/>
    </row>
    <row r="14" spans="16:30">
      <c r="P14" s="14"/>
      <c r="Q14" s="14" t="e">
        <f>#REF!-P14</f>
        <v>#REF!</v>
      </c>
      <c r="R14" s="14"/>
      <c r="S14" s="14">
        <v>1030.5999999999999</v>
      </c>
      <c r="T14" s="14">
        <v>103.070069570366</v>
      </c>
      <c r="U14" s="14">
        <f t="shared" si="0"/>
        <v>106224.0136992192</v>
      </c>
      <c r="V14" s="24"/>
    </row>
    <row r="15" spans="16:30">
      <c r="P15" s="14"/>
      <c r="Q15" s="14" t="e">
        <f>#REF!-P15</f>
        <v>#REF!</v>
      </c>
      <c r="R15" s="14"/>
      <c r="S15" s="14">
        <v>833</v>
      </c>
      <c r="T15" s="14">
        <v>95.070011568871607</v>
      </c>
      <c r="U15" s="14">
        <f t="shared" si="0"/>
        <v>79193.319636870045</v>
      </c>
      <c r="V15" s="24">
        <v>43965</v>
      </c>
    </row>
    <row r="16" spans="16:30">
      <c r="P16" s="14"/>
      <c r="Q16" s="14" t="e">
        <f>#REF!-P16</f>
        <v>#REF!</v>
      </c>
      <c r="R16" s="14"/>
      <c r="S16" s="14">
        <v>356.2</v>
      </c>
      <c r="T16" s="14">
        <v>103.070012542375</v>
      </c>
      <c r="U16" s="14">
        <f t="shared" si="0"/>
        <v>36713.538467593971</v>
      </c>
      <c r="V16" s="24">
        <v>43965</v>
      </c>
    </row>
    <row r="17" spans="16:22">
      <c r="P17" s="14"/>
      <c r="Q17" s="14" t="e">
        <f>#REF!-P17</f>
        <v>#REF!</v>
      </c>
      <c r="R17" s="14"/>
      <c r="S17" s="14">
        <v>7592.3</v>
      </c>
      <c r="T17" s="14">
        <v>129.14002066339799</v>
      </c>
      <c r="U17" s="14">
        <f t="shared" si="0"/>
        <v>980469.77888271655</v>
      </c>
      <c r="V17" s="24">
        <v>43967</v>
      </c>
    </row>
    <row r="18" spans="16:22">
      <c r="P18" s="14"/>
      <c r="Q18" s="14" t="e">
        <f>#REF!-P18</f>
        <v>#REF!</v>
      </c>
      <c r="R18" s="14"/>
      <c r="S18" s="14">
        <v>10475.200000000001</v>
      </c>
      <c r="T18" s="14">
        <v>129.88002078180401</v>
      </c>
      <c r="U18" s="14">
        <f t="shared" si="0"/>
        <v>1360519.1936935533</v>
      </c>
      <c r="V18" s="24">
        <v>43967</v>
      </c>
    </row>
    <row r="19" spans="16:22">
      <c r="P19" s="14"/>
      <c r="Q19" s="14" t="e">
        <f>#REF!-P19</f>
        <v>#REF!</v>
      </c>
      <c r="R19" s="14"/>
      <c r="S19" s="14">
        <v>1612.4</v>
      </c>
      <c r="T19" s="14">
        <v>95.059885681506898</v>
      </c>
      <c r="U19" s="14">
        <f t="shared" si="0"/>
        <v>153274.55967286174</v>
      </c>
      <c r="V19" s="24">
        <v>43968</v>
      </c>
    </row>
    <row r="20" spans="16:22">
      <c r="P20" s="14"/>
      <c r="Q20" s="14" t="e">
        <f>#REF!-P20</f>
        <v>#REF!</v>
      </c>
      <c r="R20" s="14"/>
      <c r="S20" s="14">
        <v>823.9</v>
      </c>
      <c r="T20" s="14">
        <v>103.059876060763</v>
      </c>
      <c r="U20" s="14">
        <f t="shared" si="0"/>
        <v>84911.031886462632</v>
      </c>
      <c r="V20" s="24">
        <v>43968</v>
      </c>
    </row>
    <row r="21" spans="16:22">
      <c r="P21" s="14"/>
      <c r="Q21" s="14" t="e">
        <f>#REF!-P21</f>
        <v>#REF!</v>
      </c>
      <c r="R21" s="14"/>
      <c r="S21" s="14">
        <v>5105.2</v>
      </c>
      <c r="T21" s="14">
        <v>103.070049135676</v>
      </c>
      <c r="U21" s="14">
        <f t="shared" si="0"/>
        <v>526193.21484745305</v>
      </c>
      <c r="V21" s="24">
        <v>43969</v>
      </c>
    </row>
    <row r="22" spans="16:22">
      <c r="P22" s="14"/>
      <c r="Q22" s="14" t="e">
        <f>#REF!-P22</f>
        <v>#REF!</v>
      </c>
      <c r="R22" s="14"/>
      <c r="S22" s="14">
        <v>3090.3</v>
      </c>
      <c r="T22" s="14">
        <v>95.069978962365397</v>
      </c>
      <c r="U22" s="14">
        <f t="shared" si="0"/>
        <v>293794.7559873978</v>
      </c>
      <c r="V22" s="24">
        <v>43974</v>
      </c>
    </row>
    <row r="23" spans="16:22">
      <c r="P23" s="14"/>
      <c r="Q23" s="14" t="e">
        <f>#REF!-P23</f>
        <v>#REF!</v>
      </c>
      <c r="R23" s="14"/>
      <c r="S23" s="14">
        <v>722.2</v>
      </c>
      <c r="T23" s="14">
        <v>103.06997719208</v>
      </c>
      <c r="U23" s="14">
        <f t="shared" si="0"/>
        <v>74437.137528120176</v>
      </c>
      <c r="V23" s="24">
        <v>43974</v>
      </c>
    </row>
    <row r="24" spans="16:22">
      <c r="P24" s="14"/>
      <c r="Q24" s="14" t="e">
        <f>#REF!-P24</f>
        <v>#REF!</v>
      </c>
      <c r="R24" s="14"/>
      <c r="S24" s="10">
        <v>1857</v>
      </c>
      <c r="T24" s="10">
        <v>89.119887157639596</v>
      </c>
      <c r="U24" s="14">
        <f t="shared" si="0"/>
        <v>165495.63045173674</v>
      </c>
      <c r="V24" s="24">
        <v>43974</v>
      </c>
    </row>
    <row r="25" spans="16:22">
      <c r="P25" s="14"/>
      <c r="Q25" s="14" t="e">
        <f>#REF!-P25</f>
        <v>#REF!</v>
      </c>
      <c r="R25" s="14"/>
      <c r="S25" s="14">
        <v>3613.8</v>
      </c>
      <c r="T25" s="14">
        <v>110</v>
      </c>
      <c r="U25" s="14">
        <f t="shared" si="0"/>
        <v>397518</v>
      </c>
      <c r="V25" s="24">
        <v>43977</v>
      </c>
    </row>
    <row r="26" spans="16:22">
      <c r="P26" s="14"/>
      <c r="Q26" s="14" t="e">
        <f>#REF!-P26</f>
        <v>#REF!</v>
      </c>
      <c r="R26" s="14"/>
      <c r="S26" s="14">
        <v>2238.5</v>
      </c>
      <c r="T26" s="14">
        <v>95.070049618211698</v>
      </c>
      <c r="U26" s="14">
        <f t="shared" si="0"/>
        <v>212814.30607036687</v>
      </c>
      <c r="V26" s="24">
        <v>43977</v>
      </c>
    </row>
    <row r="27" spans="16:22">
      <c r="P27" s="14"/>
      <c r="Q27" s="14" t="e">
        <f>#REF!-P27</f>
        <v>#REF!</v>
      </c>
      <c r="R27" s="14"/>
      <c r="S27" s="14">
        <v>683.6</v>
      </c>
      <c r="T27" s="14">
        <v>103.07005379351099</v>
      </c>
      <c r="U27" s="14">
        <f t="shared" si="0"/>
        <v>70458.688773244125</v>
      </c>
      <c r="V27" s="24">
        <v>43977</v>
      </c>
    </row>
    <row r="28" spans="16:22">
      <c r="P28" s="14"/>
      <c r="Q28" s="14" t="e">
        <f>#REF!-P28</f>
        <v>#REF!</v>
      </c>
      <c r="R28" s="14"/>
      <c r="U28" s="14"/>
      <c r="V28" s="24"/>
    </row>
    <row r="29" spans="16:22">
      <c r="P29" s="14"/>
      <c r="Q29" s="14" t="e">
        <f>#REF!-P29</f>
        <v>#REF!</v>
      </c>
      <c r="R29" s="14"/>
      <c r="S29" s="14"/>
      <c r="T29" s="14"/>
      <c r="U29" s="14"/>
      <c r="V29" s="24"/>
    </row>
    <row r="30" spans="16:22">
      <c r="P30" s="14"/>
      <c r="Q30" s="14" t="e">
        <f>#REF!-P30</f>
        <v>#REF!</v>
      </c>
      <c r="R30" s="14"/>
      <c r="S30" s="14"/>
      <c r="T30" s="14"/>
      <c r="U30" s="14"/>
      <c r="V30" s="24"/>
    </row>
    <row r="31" spans="16:22">
      <c r="P31" s="14"/>
      <c r="Q31" s="14" t="e">
        <f>#REF!-P31</f>
        <v>#REF!</v>
      </c>
      <c r="R31" s="14"/>
      <c r="S31" s="14"/>
      <c r="T31" s="14"/>
      <c r="U31" s="14"/>
      <c r="V31" s="24"/>
    </row>
    <row r="32" spans="16:22">
      <c r="P32" s="14"/>
      <c r="Q32" s="14" t="e">
        <f>#REF!-P32</f>
        <v>#REF!</v>
      </c>
      <c r="R32" s="14"/>
      <c r="S32" s="14"/>
      <c r="T32" s="14"/>
      <c r="U32" s="14"/>
    </row>
    <row r="33" spans="2:21">
      <c r="P33" s="14"/>
      <c r="Q33" s="14"/>
      <c r="R33" s="14"/>
      <c r="S33" s="14"/>
      <c r="T33" s="14"/>
      <c r="U33" s="14"/>
    </row>
    <row r="34" spans="2:21">
      <c r="B34" s="14"/>
      <c r="C34" s="14"/>
      <c r="D34" s="14">
        <v>348087.5</v>
      </c>
      <c r="E34" s="14"/>
      <c r="F34" s="14"/>
      <c r="G34" s="14"/>
      <c r="H34" s="14"/>
      <c r="I34" s="14"/>
      <c r="J34" s="14">
        <v>20729</v>
      </c>
      <c r="K34" s="14">
        <v>110635.3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2:21">
      <c r="B35" s="14"/>
      <c r="C35" s="14"/>
      <c r="D35" s="14" t="e">
        <f>+#REF!-D34</f>
        <v>#REF!</v>
      </c>
      <c r="E35" s="14"/>
      <c r="F35" s="14"/>
      <c r="G35" s="14"/>
      <c r="H35" s="14" t="e">
        <f>+#REF!-H34</f>
        <v>#REF!</v>
      </c>
      <c r="I35" s="14"/>
      <c r="J35" s="14" t="e">
        <f>+#REF!-J34</f>
        <v>#REF!</v>
      </c>
      <c r="K35" s="14" t="e">
        <f>+#REF!-K34</f>
        <v>#REF!</v>
      </c>
      <c r="L35" s="14"/>
      <c r="M35" s="14"/>
      <c r="N35" s="14"/>
      <c r="O35" s="14">
        <v>297806.5</v>
      </c>
      <c r="P35" s="14"/>
      <c r="Q35" s="14"/>
      <c r="R35" s="14"/>
      <c r="S35" s="14"/>
      <c r="T35" s="14"/>
      <c r="U35" s="14"/>
    </row>
    <row r="36" spans="2:21">
      <c r="O36" s="14" t="e">
        <f>+O35-#REF!</f>
        <v>#REF!</v>
      </c>
    </row>
    <row r="64" spans="19:22">
      <c r="S64" s="14">
        <v>1405.27</v>
      </c>
      <c r="T64" s="14">
        <f t="shared" ref="T64:T71" si="1">+U64/S64</f>
        <v>233.4497783344126</v>
      </c>
      <c r="U64" s="14">
        <v>328059.96999999997</v>
      </c>
      <c r="V64" s="24">
        <v>43896</v>
      </c>
    </row>
    <row r="65" spans="19:23">
      <c r="S65" s="14">
        <v>314.43</v>
      </c>
      <c r="T65" s="14">
        <f t="shared" si="1"/>
        <v>237.67865661673505</v>
      </c>
      <c r="U65" s="14">
        <v>74733.3</v>
      </c>
      <c r="V65" s="24">
        <v>43896</v>
      </c>
    </row>
    <row r="66" spans="19:23">
      <c r="S66" s="14">
        <v>814.98</v>
      </c>
      <c r="T66" s="14">
        <f t="shared" si="1"/>
        <v>234.36391077081646</v>
      </c>
      <c r="U66" s="14">
        <v>191001.9</v>
      </c>
      <c r="V66" s="24">
        <v>43898</v>
      </c>
    </row>
    <row r="67" spans="19:23">
      <c r="S67" s="14">
        <v>650.64</v>
      </c>
      <c r="T67" s="14">
        <f t="shared" si="1"/>
        <v>242.72219660641829</v>
      </c>
      <c r="U67" s="14">
        <v>157924.76999999999</v>
      </c>
      <c r="V67" s="24">
        <v>43898</v>
      </c>
      <c r="W67" s="10">
        <f>SUM(U64:U67)/SUM(S64:S67)</f>
        <v>235.99510881167353</v>
      </c>
    </row>
    <row r="68" spans="19:23">
      <c r="S68" s="10">
        <v>683.95</v>
      </c>
      <c r="T68" s="14">
        <f t="shared" si="1"/>
        <v>243.87190584107023</v>
      </c>
      <c r="U68" s="10">
        <v>166796.19</v>
      </c>
      <c r="V68" s="10">
        <v>43904</v>
      </c>
      <c r="W68" s="14">
        <f>SUM(S64:S67)</f>
        <v>3185.32</v>
      </c>
    </row>
    <row r="69" spans="19:23">
      <c r="S69" s="10">
        <v>678.77</v>
      </c>
      <c r="T69" s="14">
        <f t="shared" si="1"/>
        <v>248.03687552484641</v>
      </c>
      <c r="U69" s="10">
        <v>168359.99</v>
      </c>
      <c r="V69" s="10">
        <v>43904</v>
      </c>
    </row>
    <row r="70" spans="19:23">
      <c r="S70" s="10">
        <v>508.64</v>
      </c>
      <c r="T70" s="14">
        <f t="shared" si="1"/>
        <v>239.35535938974522</v>
      </c>
      <c r="U70" s="10">
        <v>121745.71</v>
      </c>
      <c r="V70" s="10">
        <v>43909</v>
      </c>
    </row>
    <row r="71" spans="19:23">
      <c r="S71" s="10">
        <v>800.76</v>
      </c>
      <c r="T71" s="14">
        <f t="shared" si="1"/>
        <v>240.65471552025576</v>
      </c>
      <c r="U71" s="10">
        <v>192706.67</v>
      </c>
      <c r="V71" s="10">
        <v>43909</v>
      </c>
    </row>
    <row r="74" spans="19:23">
      <c r="S74" s="14">
        <f>SUM(S64:S73)</f>
        <v>5857.4400000000014</v>
      </c>
      <c r="U74" s="14">
        <f>SUM(U64:U73)</f>
        <v>1401328.4999999998</v>
      </c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7"/>
  <sheetViews>
    <sheetView workbookViewId="0"/>
  </sheetViews>
  <sheetFormatPr defaultColWidth="9.140625" defaultRowHeight="15"/>
  <cols>
    <col min="1" max="1" width="11.7109375" style="1"/>
    <col min="2" max="2" width="16.7109375" style="1" customWidth="1"/>
    <col min="3" max="3" width="12.42578125" style="1"/>
    <col min="4" max="4" width="12.85546875" style="1"/>
    <col min="5" max="5" width="15.28515625" style="1"/>
    <col min="6" max="16384" width="9.140625" style="1"/>
  </cols>
  <sheetData>
    <row r="2" spans="1:5">
      <c r="A2" s="6" t="e">
        <f t="shared" ref="A2:A8" si="0">C2/$C$10</f>
        <v>#REF!</v>
      </c>
      <c r="B2" s="1" t="s">
        <v>20</v>
      </c>
      <c r="C2" s="7" t="e">
        <f>#REF!</f>
        <v>#REF!</v>
      </c>
      <c r="D2" s="8" t="e">
        <f>#REF!</f>
        <v>#REF!</v>
      </c>
      <c r="E2" s="7" t="e">
        <f>+C2*D2</f>
        <v>#REF!</v>
      </c>
    </row>
    <row r="3" spans="1:5">
      <c r="A3" s="6" t="e">
        <f t="shared" si="0"/>
        <v>#REF!</v>
      </c>
      <c r="B3" s="1" t="s">
        <v>13</v>
      </c>
      <c r="C3" s="7" t="e">
        <f>#REF!</f>
        <v>#REF!</v>
      </c>
      <c r="D3" s="8" t="e">
        <f>FillerSoltex!Y6</f>
        <v>#REF!</v>
      </c>
      <c r="E3" s="7" t="e">
        <f t="shared" ref="E3:E8" si="1">+C3*D3</f>
        <v>#REF!</v>
      </c>
    </row>
    <row r="4" spans="1:5">
      <c r="A4" s="6" t="e">
        <f t="shared" si="0"/>
        <v>#REF!</v>
      </c>
      <c r="B4" s="1" t="s">
        <v>22</v>
      </c>
      <c r="C4" s="7" t="e">
        <f>#REF!</f>
        <v>#REF!</v>
      </c>
      <c r="D4" s="7" t="e">
        <f>MB!Y6</f>
        <v>#REF!</v>
      </c>
      <c r="E4" s="7" t="e">
        <f t="shared" si="1"/>
        <v>#REF!</v>
      </c>
    </row>
    <row r="5" spans="1:5">
      <c r="A5" s="6" t="e">
        <f t="shared" si="0"/>
        <v>#REF!</v>
      </c>
      <c r="B5" s="1" t="s">
        <v>23</v>
      </c>
      <c r="C5" s="7" t="e">
        <f>#REF!</f>
        <v>#REF!</v>
      </c>
      <c r="D5" s="7" t="e">
        <f>UV!Y6</f>
        <v>#REF!</v>
      </c>
      <c r="E5" s="7" t="e">
        <f t="shared" si="1"/>
        <v>#REF!</v>
      </c>
    </row>
    <row r="6" spans="1:5">
      <c r="A6" s="6" t="e">
        <f t="shared" si="0"/>
        <v>#REF!</v>
      </c>
      <c r="B6" s="1" t="s">
        <v>24</v>
      </c>
      <c r="C6" s="7" t="e">
        <f>#REF!</f>
        <v>#REF!</v>
      </c>
      <c r="D6" s="8" t="e">
        <f>#REF!</f>
        <v>#REF!</v>
      </c>
      <c r="E6" s="7" t="e">
        <f t="shared" si="1"/>
        <v>#REF!</v>
      </c>
    </row>
    <row r="7" spans="1:5">
      <c r="A7" s="6" t="e">
        <f t="shared" si="0"/>
        <v>#REF!</v>
      </c>
      <c r="B7" s="1" t="s">
        <v>25</v>
      </c>
      <c r="C7" s="7" t="e">
        <f>#REF!</f>
        <v>#REF!</v>
      </c>
      <c r="D7" s="8" t="e">
        <f>#REF!</f>
        <v>#REF!</v>
      </c>
      <c r="E7" s="7" t="e">
        <f t="shared" si="1"/>
        <v>#REF!</v>
      </c>
    </row>
    <row r="8" spans="1:5">
      <c r="A8" s="6" t="e">
        <f t="shared" si="0"/>
        <v>#REF!</v>
      </c>
      <c r="B8" s="1" t="s">
        <v>26</v>
      </c>
      <c r="C8" s="7" t="e">
        <f>#REF!</f>
        <v>#REF!</v>
      </c>
      <c r="D8" s="8">
        <v>42</v>
      </c>
      <c r="E8" s="7" t="e">
        <f t="shared" si="1"/>
        <v>#REF!</v>
      </c>
    </row>
    <row r="9" spans="1:5">
      <c r="C9" s="7"/>
      <c r="D9" s="7"/>
      <c r="E9" s="7"/>
    </row>
    <row r="10" spans="1:5">
      <c r="C10" s="7" t="e">
        <f>SUM(C2:C9)</f>
        <v>#REF!</v>
      </c>
      <c r="D10" s="7" t="e">
        <f>+E10/C10</f>
        <v>#REF!</v>
      </c>
      <c r="E10" s="7" t="e">
        <f>SUM(E2:E9)</f>
        <v>#REF!</v>
      </c>
    </row>
    <row r="11" spans="1:5">
      <c r="B11" s="1" t="s">
        <v>282</v>
      </c>
      <c r="C11" s="7" t="e">
        <f>#REF!</f>
        <v>#REF!</v>
      </c>
      <c r="D11" s="7">
        <v>0</v>
      </c>
      <c r="E11" s="7" t="e">
        <f>+C11*D11</f>
        <v>#REF!</v>
      </c>
    </row>
    <row r="12" spans="1:5">
      <c r="B12" s="1" t="s">
        <v>283</v>
      </c>
      <c r="C12" s="7" t="e">
        <f>+C10-C11</f>
        <v>#REF!</v>
      </c>
      <c r="D12" s="7" t="e">
        <f>+E12/C12</f>
        <v>#REF!</v>
      </c>
      <c r="E12" s="7" t="e">
        <f>+E10-E11</f>
        <v>#REF!</v>
      </c>
    </row>
    <row r="13" spans="1:5">
      <c r="C13" s="7"/>
      <c r="D13" s="7"/>
      <c r="E13" s="7"/>
    </row>
    <row r="14" spans="1:5">
      <c r="B14" s="1" t="s">
        <v>46</v>
      </c>
      <c r="C14" s="7" t="e">
        <f>SUMIF(#REF!,"Tape Plant",#REF!)+SUMIF(#REF!,"Utility",#REF!)</f>
        <v>#REF!</v>
      </c>
      <c r="D14" s="7">
        <v>7.75</v>
      </c>
      <c r="E14" s="7" t="e">
        <f>+C14*D14</f>
        <v>#REF!</v>
      </c>
    </row>
    <row r="15" spans="1:5">
      <c r="B15" s="1" t="s">
        <v>143</v>
      </c>
      <c r="C15" s="7"/>
      <c r="D15" s="7"/>
      <c r="E15" s="7" t="e">
        <f>#REF!+#REF!</f>
        <v>#REF!</v>
      </c>
    </row>
    <row r="16" spans="1:5">
      <c r="C16" s="7"/>
      <c r="D16" s="7"/>
      <c r="E16" s="7"/>
    </row>
    <row r="17" spans="2:5">
      <c r="B17" s="1" t="s">
        <v>284</v>
      </c>
      <c r="C17" s="7" t="e">
        <f>+C12</f>
        <v>#REF!</v>
      </c>
      <c r="D17" s="7" t="e">
        <f>+E17/C17</f>
        <v>#REF!</v>
      </c>
      <c r="E17" s="7" t="e">
        <f>+E12+E14+E15</f>
        <v>#REF!</v>
      </c>
    </row>
    <row r="18" spans="2:5">
      <c r="C18" s="7"/>
      <c r="D18" s="7" t="e">
        <f>#REF!</f>
        <v>#REF!</v>
      </c>
      <c r="E18" s="7"/>
    </row>
    <row r="19" spans="2:5">
      <c r="C19" s="7"/>
      <c r="D19" s="7" t="e">
        <f>+D18-D17</f>
        <v>#REF!</v>
      </c>
      <c r="E19" s="7"/>
    </row>
    <row r="20" spans="2:5">
      <c r="C20" s="7"/>
      <c r="D20" s="7"/>
      <c r="E20" s="7"/>
    </row>
    <row r="21" spans="2:5">
      <c r="C21" s="7"/>
      <c r="D21" s="7"/>
      <c r="E21" s="7"/>
    </row>
    <row r="26" spans="2:5">
      <c r="B26" s="1" t="s">
        <v>20</v>
      </c>
      <c r="C26" s="4" t="e">
        <f t="shared" ref="C26:C32" si="2">C2</f>
        <v>#REF!</v>
      </c>
      <c r="D26" s="4" t="e">
        <f t="shared" ref="D26:D32" si="3">D2</f>
        <v>#REF!</v>
      </c>
      <c r="E26" s="4" t="e">
        <f t="shared" ref="E26:E37" si="4">C26*D26</f>
        <v>#REF!</v>
      </c>
    </row>
    <row r="27" spans="2:5">
      <c r="B27" s="1" t="s">
        <v>13</v>
      </c>
      <c r="C27" s="4" t="e">
        <f t="shared" si="2"/>
        <v>#REF!</v>
      </c>
      <c r="D27" s="4" t="e">
        <f t="shared" si="3"/>
        <v>#REF!</v>
      </c>
      <c r="E27" s="4" t="e">
        <f t="shared" si="4"/>
        <v>#REF!</v>
      </c>
    </row>
    <row r="28" spans="2:5">
      <c r="B28" s="1" t="s">
        <v>22</v>
      </c>
      <c r="C28" s="4" t="e">
        <f t="shared" si="2"/>
        <v>#REF!</v>
      </c>
      <c r="D28" s="4" t="e">
        <f t="shared" si="3"/>
        <v>#REF!</v>
      </c>
      <c r="E28" s="4" t="e">
        <f t="shared" si="4"/>
        <v>#REF!</v>
      </c>
    </row>
    <row r="29" spans="2:5">
      <c r="B29" s="1" t="s">
        <v>23</v>
      </c>
      <c r="C29" s="4" t="e">
        <f t="shared" si="2"/>
        <v>#REF!</v>
      </c>
      <c r="D29" s="4" t="e">
        <f t="shared" si="3"/>
        <v>#REF!</v>
      </c>
      <c r="E29" s="4" t="e">
        <f t="shared" si="4"/>
        <v>#REF!</v>
      </c>
    </row>
    <row r="30" spans="2:5">
      <c r="B30" s="1" t="s">
        <v>24</v>
      </c>
      <c r="C30" s="4" t="e">
        <f t="shared" si="2"/>
        <v>#REF!</v>
      </c>
      <c r="D30" s="4" t="e">
        <f t="shared" si="3"/>
        <v>#REF!</v>
      </c>
      <c r="E30" s="4" t="e">
        <f t="shared" si="4"/>
        <v>#REF!</v>
      </c>
    </row>
    <row r="31" spans="2:5">
      <c r="B31" s="1" t="s">
        <v>25</v>
      </c>
      <c r="C31" s="4" t="e">
        <f t="shared" si="2"/>
        <v>#REF!</v>
      </c>
      <c r="D31" s="4" t="e">
        <f t="shared" si="3"/>
        <v>#REF!</v>
      </c>
      <c r="E31" s="4" t="e">
        <f t="shared" si="4"/>
        <v>#REF!</v>
      </c>
    </row>
    <row r="32" spans="2:5">
      <c r="B32" s="1" t="s">
        <v>26</v>
      </c>
      <c r="C32" s="4" t="e">
        <f t="shared" si="2"/>
        <v>#REF!</v>
      </c>
      <c r="D32" s="4">
        <f t="shared" si="3"/>
        <v>42</v>
      </c>
      <c r="E32" s="4" t="e">
        <f t="shared" si="4"/>
        <v>#REF!</v>
      </c>
    </row>
    <row r="33" spans="2:5">
      <c r="B33" s="1" t="s">
        <v>30</v>
      </c>
      <c r="C33" s="4">
        <f>20508+18614.9-15122.24</f>
        <v>24000.660000000003</v>
      </c>
      <c r="D33" s="4" t="e">
        <f>Yarn!AB6</f>
        <v>#REF!</v>
      </c>
      <c r="E33" s="4" t="e">
        <f t="shared" si="4"/>
        <v>#REF!</v>
      </c>
    </row>
    <row r="34" spans="2:5">
      <c r="B34" s="1" t="s">
        <v>20</v>
      </c>
      <c r="C34" s="4">
        <v>34032.800000000003</v>
      </c>
      <c r="D34" s="4" t="e">
        <f>#REF!</f>
        <v>#REF!</v>
      </c>
      <c r="E34" s="4" t="e">
        <f t="shared" si="4"/>
        <v>#REF!</v>
      </c>
    </row>
    <row r="35" spans="2:5">
      <c r="B35" s="1" t="s">
        <v>32</v>
      </c>
      <c r="C35" s="4">
        <v>6689.6</v>
      </c>
      <c r="D35" s="4" t="e">
        <f>LLDP!Z6</f>
        <v>#REF!</v>
      </c>
      <c r="E35" s="4" t="e">
        <f t="shared" si="4"/>
        <v>#REF!</v>
      </c>
    </row>
    <row r="36" spans="2:5">
      <c r="B36" s="1" t="s">
        <v>22</v>
      </c>
      <c r="C36" s="4">
        <v>262</v>
      </c>
      <c r="D36" s="4" t="e">
        <f>D28</f>
        <v>#REF!</v>
      </c>
      <c r="E36" s="4" t="e">
        <f t="shared" si="4"/>
        <v>#REF!</v>
      </c>
    </row>
    <row r="37" spans="2:5">
      <c r="B37" s="1" t="s">
        <v>13</v>
      </c>
      <c r="C37" s="4">
        <v>325</v>
      </c>
      <c r="D37" s="4" t="e">
        <f>D27</f>
        <v>#REF!</v>
      </c>
      <c r="E37" s="4" t="e">
        <f t="shared" si="4"/>
        <v>#REF!</v>
      </c>
    </row>
    <row r="38" spans="2:5">
      <c r="C38" s="4"/>
      <c r="E38" s="4"/>
    </row>
    <row r="39" spans="2:5">
      <c r="C39" s="4"/>
      <c r="E39" s="4"/>
    </row>
    <row r="40" spans="2:5">
      <c r="C40" s="4"/>
      <c r="E40" s="4"/>
    </row>
    <row r="41" spans="2:5">
      <c r="C41" s="4"/>
      <c r="E41" s="4"/>
    </row>
    <row r="42" spans="2:5">
      <c r="C42" s="4"/>
      <c r="E42" s="4"/>
    </row>
    <row r="43" spans="2:5">
      <c r="C43" s="4"/>
      <c r="E43" s="4"/>
    </row>
    <row r="44" spans="2:5">
      <c r="C44" s="4"/>
      <c r="E44" s="4"/>
    </row>
    <row r="45" spans="2:5">
      <c r="C45" s="4" t="e">
        <f>SUM(C26:C44)</f>
        <v>#REF!</v>
      </c>
      <c r="D45" s="4" t="e">
        <f>E45/C45</f>
        <v>#REF!</v>
      </c>
      <c r="E45" s="4" t="e">
        <f>SUM(E26:E44)</f>
        <v>#REF!</v>
      </c>
    </row>
    <row r="46" spans="2:5">
      <c r="C46" s="1">
        <v>562614.07999999996</v>
      </c>
    </row>
    <row r="47" spans="2:5">
      <c r="C47" s="1" t="e">
        <f>C46-C45</f>
        <v>#REF!</v>
      </c>
    </row>
  </sheetData>
  <pageMargins left="0.75" right="0.75" top="1" bottom="1" header="0.51180555555555596" footer="0.51180555555555596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/>
  </sheetViews>
  <sheetFormatPr defaultColWidth="9.140625" defaultRowHeight="15"/>
  <cols>
    <col min="1" max="1" width="9.140625" style="1"/>
    <col min="2" max="2" width="16.7109375" style="1" customWidth="1"/>
    <col min="3" max="3" width="9.5703125" style="1"/>
    <col min="4" max="4" width="14" style="1"/>
    <col min="5" max="5" width="12.85546875" style="1"/>
    <col min="6" max="16384" width="9.140625" style="1"/>
  </cols>
  <sheetData>
    <row r="2" spans="2:5">
      <c r="B2" s="1" t="s">
        <v>40</v>
      </c>
      <c r="C2" s="1" t="e">
        <f>#REF!</f>
        <v>#REF!</v>
      </c>
      <c r="D2" s="5" t="e">
        <f>'Tape (2)'!D17</f>
        <v>#REF!</v>
      </c>
      <c r="E2" s="1" t="e">
        <f>+C2*D2</f>
        <v>#REF!</v>
      </c>
    </row>
    <row r="3" spans="2:5">
      <c r="D3" s="3"/>
    </row>
    <row r="4" spans="2:5">
      <c r="D4" s="3"/>
    </row>
    <row r="5" spans="2:5">
      <c r="D5" s="3"/>
    </row>
    <row r="6" spans="2:5">
      <c r="D6" s="3"/>
    </row>
    <row r="7" spans="2:5">
      <c r="D7" s="4"/>
    </row>
    <row r="8" spans="2:5">
      <c r="C8" s="1" t="e">
        <f>SUM(C2:C7)</f>
        <v>#REF!</v>
      </c>
      <c r="D8" s="4" t="e">
        <f>+E8/C8</f>
        <v>#REF!</v>
      </c>
      <c r="E8" s="1" t="e">
        <f>SUM(E2:E7)</f>
        <v>#REF!</v>
      </c>
    </row>
    <row r="9" spans="2:5">
      <c r="B9" s="1" t="s">
        <v>282</v>
      </c>
      <c r="C9" s="1" t="e">
        <f>#REF!</f>
        <v>#REF!</v>
      </c>
      <c r="D9" s="4">
        <v>0</v>
      </c>
      <c r="E9" s="1" t="e">
        <f>+C9*D9</f>
        <v>#REF!</v>
      </c>
    </row>
    <row r="10" spans="2:5">
      <c r="B10" s="1" t="s">
        <v>283</v>
      </c>
      <c r="C10" s="1" t="e">
        <f>+C8-C9</f>
        <v>#REF!</v>
      </c>
      <c r="D10" s="4" t="e">
        <f>+E10/C10</f>
        <v>#REF!</v>
      </c>
      <c r="E10" s="1" t="e">
        <f>+E8-E9</f>
        <v>#REF!</v>
      </c>
    </row>
    <row r="12" spans="2:5">
      <c r="B12" s="1" t="s">
        <v>46</v>
      </c>
      <c r="C12" s="1" t="e">
        <f>SUMIF(#REF!,"Loom",#REF!)</f>
        <v>#REF!</v>
      </c>
      <c r="D12" s="1">
        <v>7.75</v>
      </c>
      <c r="E12" s="1" t="e">
        <f>+C12*D12</f>
        <v>#REF!</v>
      </c>
    </row>
    <row r="13" spans="2:5">
      <c r="B13" s="1" t="s">
        <v>143</v>
      </c>
      <c r="E13" s="4" t="e">
        <f>#REF!</f>
        <v>#REF!</v>
      </c>
    </row>
    <row r="15" spans="2:5">
      <c r="B15" s="1" t="s">
        <v>284</v>
      </c>
      <c r="C15" s="1" t="e">
        <f>+C10</f>
        <v>#REF!</v>
      </c>
      <c r="D15" s="4" t="e">
        <f>+E15/C15</f>
        <v>#REF!</v>
      </c>
      <c r="E15" s="1" t="e">
        <f>+E10+E12+E13</f>
        <v>#REF!</v>
      </c>
    </row>
    <row r="16" spans="2:5">
      <c r="D16" s="1" t="e">
        <f>#REF!</f>
        <v>#REF!</v>
      </c>
    </row>
    <row r="17" spans="4:4">
      <c r="D17" s="1" t="e">
        <f>+D16-D15</f>
        <v>#REF!</v>
      </c>
    </row>
  </sheetData>
  <pageMargins left="0.75" right="0.75" top="1" bottom="1" header="0.51180555555555596" footer="0.51180555555555596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/>
  </sheetViews>
  <sheetFormatPr defaultColWidth="9.140625" defaultRowHeight="15"/>
  <cols>
    <col min="1" max="1" width="9.140625" style="1"/>
    <col min="2" max="2" width="16.7109375" style="1" customWidth="1"/>
    <col min="3" max="3" width="9.5703125" style="1"/>
    <col min="4" max="4" width="14" style="1"/>
    <col min="5" max="5" width="12.85546875" style="1"/>
    <col min="6" max="16384" width="9.140625" style="1"/>
  </cols>
  <sheetData>
    <row r="2" spans="2:5">
      <c r="B2" s="1" t="s">
        <v>30</v>
      </c>
      <c r="C2" s="1" t="e">
        <f>#REF!</f>
        <v>#REF!</v>
      </c>
      <c r="D2" s="2" t="e">
        <f>Yarn!AB6</f>
        <v>#REF!</v>
      </c>
      <c r="E2" s="1" t="e">
        <f>+C2*D2</f>
        <v>#REF!</v>
      </c>
    </row>
    <row r="3" spans="2:5">
      <c r="B3" s="1" t="s">
        <v>40</v>
      </c>
      <c r="C3" s="1" t="e">
        <f>#REF!</f>
        <v>#REF!</v>
      </c>
      <c r="D3" s="3" t="e">
        <f>'Tape (2)'!D17</f>
        <v>#REF!</v>
      </c>
      <c r="E3" s="1" t="e">
        <f>+C3*D3</f>
        <v>#REF!</v>
      </c>
    </row>
    <row r="4" spans="2:5">
      <c r="D4" s="3"/>
    </row>
    <row r="5" spans="2:5">
      <c r="D5" s="3"/>
    </row>
    <row r="6" spans="2:5">
      <c r="D6" s="3"/>
    </row>
    <row r="7" spans="2:5">
      <c r="D7" s="3"/>
    </row>
    <row r="8" spans="2:5">
      <c r="D8" s="3"/>
    </row>
    <row r="9" spans="2:5">
      <c r="D9" s="4"/>
    </row>
    <row r="10" spans="2:5">
      <c r="C10" s="1" t="e">
        <f>SUM(C2:C9)</f>
        <v>#REF!</v>
      </c>
      <c r="D10" s="4" t="e">
        <f>+E10/C10</f>
        <v>#REF!</v>
      </c>
      <c r="E10" s="1" t="e">
        <f>SUM(E2:E9)</f>
        <v>#REF!</v>
      </c>
    </row>
    <row r="11" spans="2:5">
      <c r="B11" s="1" t="s">
        <v>282</v>
      </c>
      <c r="C11" s="1" t="e">
        <f>#REF!</f>
        <v>#REF!</v>
      </c>
      <c r="D11" s="4">
        <v>0</v>
      </c>
      <c r="E11" s="1" t="e">
        <f>+C11*D11</f>
        <v>#REF!</v>
      </c>
    </row>
    <row r="12" spans="2:5">
      <c r="B12" s="1" t="s">
        <v>283</v>
      </c>
      <c r="C12" s="1" t="e">
        <f>+C10-C11</f>
        <v>#REF!</v>
      </c>
      <c r="D12" s="4" t="e">
        <f>+E12/C12</f>
        <v>#REF!</v>
      </c>
      <c r="E12" s="1" t="e">
        <f>+E10-E11</f>
        <v>#REF!</v>
      </c>
    </row>
    <row r="14" spans="2:5">
      <c r="B14" s="1" t="s">
        <v>46</v>
      </c>
      <c r="C14" s="1">
        <v>0</v>
      </c>
      <c r="D14" s="1">
        <v>7.75</v>
      </c>
      <c r="E14" s="1">
        <f>+C14*D14</f>
        <v>0</v>
      </c>
    </row>
    <row r="15" spans="2:5">
      <c r="B15" s="1" t="s">
        <v>143</v>
      </c>
      <c r="E15" s="1" t="e">
        <f>#REF!</f>
        <v>#REF!</v>
      </c>
    </row>
    <row r="17" spans="2:5">
      <c r="B17" s="1" t="s">
        <v>284</v>
      </c>
      <c r="C17" s="1" t="e">
        <f>+C12</f>
        <v>#REF!</v>
      </c>
      <c r="D17" s="4" t="e">
        <f>+E17/C17</f>
        <v>#REF!</v>
      </c>
      <c r="E17" s="1" t="e">
        <f>+E12+E14+E15</f>
        <v>#REF!</v>
      </c>
    </row>
    <row r="18" spans="2:5">
      <c r="D18" s="1" t="e">
        <f>#REF!</f>
        <v>#REF!</v>
      </c>
    </row>
    <row r="19" spans="2:5">
      <c r="D19" s="1" t="e">
        <f>+D18-D17</f>
        <v>#REF!</v>
      </c>
    </row>
  </sheetData>
  <pageMargins left="0.75" right="0.75" top="1" bottom="1" header="0.51180555555555596" footer="0.51180555555555596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/>
  </sheetViews>
  <sheetFormatPr defaultColWidth="9.140625" defaultRowHeight="15"/>
  <cols>
    <col min="1" max="1" width="9.140625" style="1"/>
    <col min="2" max="2" width="16.7109375" style="1" customWidth="1"/>
    <col min="3" max="3" width="9.5703125" style="1"/>
    <col min="4" max="4" width="14" style="1"/>
    <col min="5" max="5" width="12.85546875" style="1"/>
    <col min="6" max="16384" width="9.140625" style="1"/>
  </cols>
  <sheetData>
    <row r="2" spans="2:5">
      <c r="B2" s="1" t="s">
        <v>226</v>
      </c>
      <c r="C2" s="1" t="e">
        <f>#REF!</f>
        <v>#REF!</v>
      </c>
      <c r="D2" s="2" t="e">
        <f>Fabric!D15</f>
        <v>#REF!</v>
      </c>
      <c r="E2" s="1" t="e">
        <f t="shared" ref="E2:E9" si="0">+C2*D2</f>
        <v>#REF!</v>
      </c>
    </row>
    <row r="3" spans="2:5">
      <c r="B3" s="1" t="s">
        <v>274</v>
      </c>
      <c r="C3" s="1" t="e">
        <f>#REF!</f>
        <v>#REF!</v>
      </c>
      <c r="D3" s="2" t="e">
        <f>D2</f>
        <v>#REF!</v>
      </c>
      <c r="E3" s="1" t="e">
        <f t="shared" si="0"/>
        <v>#REF!</v>
      </c>
    </row>
    <row r="4" spans="2:5">
      <c r="B4" s="1" t="s">
        <v>228</v>
      </c>
      <c r="C4" s="1" t="e">
        <f>#REF!</f>
        <v>#REF!</v>
      </c>
      <c r="D4" s="3">
        <v>0</v>
      </c>
      <c r="E4" s="1" t="e">
        <f t="shared" si="0"/>
        <v>#REF!</v>
      </c>
    </row>
    <row r="5" spans="2:5">
      <c r="B5" s="1" t="s">
        <v>41</v>
      </c>
      <c r="C5" s="1" t="e">
        <f>#REF!</f>
        <v>#REF!</v>
      </c>
      <c r="D5" s="2" t="e">
        <f>'Webbing (2)'!D17</f>
        <v>#REF!</v>
      </c>
      <c r="E5" s="1" t="e">
        <f t="shared" si="0"/>
        <v>#REF!</v>
      </c>
    </row>
    <row r="6" spans="2:5">
      <c r="B6" s="1" t="s">
        <v>30</v>
      </c>
      <c r="C6" s="1" t="e">
        <f>#REF!</f>
        <v>#REF!</v>
      </c>
      <c r="D6" s="2" t="e">
        <f>Yarn!AB6</f>
        <v>#REF!</v>
      </c>
      <c r="E6" s="1" t="e">
        <f t="shared" si="0"/>
        <v>#REF!</v>
      </c>
    </row>
    <row r="7" spans="2:5">
      <c r="B7" s="1" t="s">
        <v>285</v>
      </c>
      <c r="C7" s="1" t="e">
        <f>#REF!</f>
        <v>#REF!</v>
      </c>
      <c r="D7" s="2" t="e">
        <f>D2</f>
        <v>#REF!</v>
      </c>
      <c r="E7" s="1" t="e">
        <f t="shared" si="0"/>
        <v>#REF!</v>
      </c>
    </row>
    <row r="8" spans="2:5">
      <c r="B8" s="1" t="s">
        <v>227</v>
      </c>
      <c r="C8" s="1" t="e">
        <f>#REF!</f>
        <v>#REF!</v>
      </c>
      <c r="D8" s="2"/>
      <c r="E8" s="1" t="e">
        <f t="shared" si="0"/>
        <v>#REF!</v>
      </c>
    </row>
    <row r="9" spans="2:5">
      <c r="B9" s="1" t="s">
        <v>102</v>
      </c>
      <c r="C9" s="1" t="e">
        <f>#REF!</f>
        <v>#REF!</v>
      </c>
      <c r="D9" s="2"/>
      <c r="E9" s="1" t="e">
        <f t="shared" si="0"/>
        <v>#REF!</v>
      </c>
    </row>
    <row r="10" spans="2:5">
      <c r="D10" s="3"/>
    </row>
    <row r="11" spans="2:5">
      <c r="D11" s="3"/>
    </row>
    <row r="12" spans="2:5">
      <c r="D12" s="4"/>
    </row>
    <row r="13" spans="2:5">
      <c r="C13" s="1" t="e">
        <f>SUM(C2:C12)</f>
        <v>#REF!</v>
      </c>
      <c r="D13" s="4" t="e">
        <f>+E13/C13</f>
        <v>#REF!</v>
      </c>
      <c r="E13" s="1" t="e">
        <f>SUM(E2:E12)</f>
        <v>#REF!</v>
      </c>
    </row>
    <row r="14" spans="2:5">
      <c r="B14" s="1" t="s">
        <v>282</v>
      </c>
      <c r="C14" s="1" t="e">
        <f>#REF!</f>
        <v>#REF!</v>
      </c>
      <c r="D14" s="4">
        <v>0</v>
      </c>
      <c r="E14" s="1" t="e">
        <f>+C14*D14</f>
        <v>#REF!</v>
      </c>
    </row>
    <row r="15" spans="2:5">
      <c r="B15" s="1" t="s">
        <v>286</v>
      </c>
      <c r="C15" s="1" t="e">
        <f>+C13-C14</f>
        <v>#REF!</v>
      </c>
      <c r="D15" s="4" t="e">
        <f>+E15/C15</f>
        <v>#REF!</v>
      </c>
      <c r="E15" s="1" t="e">
        <f>+E13-E14</f>
        <v>#REF!</v>
      </c>
    </row>
    <row r="17" spans="2:5">
      <c r="B17" s="1" t="s">
        <v>46</v>
      </c>
      <c r="C17" s="1" t="e">
        <f>SUMIF(#REF!,"FIBC",#REF!)</f>
        <v>#REF!</v>
      </c>
      <c r="D17" s="1">
        <v>7.75</v>
      </c>
      <c r="E17" s="1" t="e">
        <f>+C17*D17</f>
        <v>#REF!</v>
      </c>
    </row>
    <row r="18" spans="2:5">
      <c r="B18" s="1" t="s">
        <v>143</v>
      </c>
      <c r="E18" s="1" t="e">
        <f>#REF!</f>
        <v>#REF!</v>
      </c>
    </row>
    <row r="20" spans="2:5">
      <c r="B20" s="1" t="s">
        <v>284</v>
      </c>
      <c r="C20" s="1" t="e">
        <f>+C15</f>
        <v>#REF!</v>
      </c>
      <c r="D20" s="4" t="e">
        <f>+E20/C20</f>
        <v>#REF!</v>
      </c>
      <c r="E20" s="1" t="e">
        <f>+E15+E17+E18</f>
        <v>#REF!</v>
      </c>
    </row>
    <row r="21" spans="2:5">
      <c r="D21" s="1" t="e">
        <f>#REF!</f>
        <v>#REF!</v>
      </c>
    </row>
    <row r="22" spans="2:5">
      <c r="D22" s="1" t="e">
        <f>+D21-D20</f>
        <v>#REF!</v>
      </c>
    </row>
  </sheetData>
  <pageMargins left="0.75" right="0.75" top="1" bottom="1" header="0.51180555555555596" footer="0.51180555555555596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/>
  </sheetViews>
  <sheetFormatPr defaultColWidth="9.140625" defaultRowHeight="15"/>
  <cols>
    <col min="1" max="1" width="9.140625" style="1"/>
    <col min="2" max="2" width="16.7109375" style="1" customWidth="1"/>
    <col min="3" max="3" width="9.5703125" style="1"/>
    <col min="4" max="5" width="12.85546875" style="1"/>
    <col min="6" max="16384" width="9.140625" style="1"/>
  </cols>
  <sheetData>
    <row r="2" spans="2:5">
      <c r="B2" s="1" t="s">
        <v>226</v>
      </c>
      <c r="C2" s="1">
        <v>192702.9</v>
      </c>
      <c r="D2" s="2" t="e">
        <f>Fabric!D15</f>
        <v>#REF!</v>
      </c>
      <c r="E2" s="1" t="e">
        <f>+C2*D2</f>
        <v>#REF!</v>
      </c>
    </row>
    <row r="3" spans="2:5">
      <c r="B3" s="1" t="s">
        <v>20</v>
      </c>
      <c r="C3" s="1">
        <v>34294.79</v>
      </c>
      <c r="D3" s="2">
        <v>83.928804778057994</v>
      </c>
      <c r="E3" s="1">
        <f>+C3*D3</f>
        <v>2878320.7348144958</v>
      </c>
    </row>
    <row r="4" spans="2:5">
      <c r="B4" s="1" t="s">
        <v>32</v>
      </c>
      <c r="C4" s="1">
        <v>7124.51</v>
      </c>
      <c r="D4" s="2">
        <v>94</v>
      </c>
      <c r="E4" s="1">
        <f>+C4*D4</f>
        <v>669703.94000000006</v>
      </c>
    </row>
    <row r="5" spans="2:5">
      <c r="B5" s="1" t="s">
        <v>22</v>
      </c>
      <c r="C5" s="1">
        <v>175</v>
      </c>
      <c r="D5" s="2">
        <v>163.00000000000099</v>
      </c>
      <c r="E5" s="1">
        <f>+C5*D5</f>
        <v>28525.000000000175</v>
      </c>
    </row>
    <row r="6" spans="2:5">
      <c r="B6" s="1" t="s">
        <v>13</v>
      </c>
      <c r="C6" s="1">
        <v>204.8</v>
      </c>
      <c r="D6" s="2">
        <v>29.7201973928915</v>
      </c>
      <c r="E6" s="1">
        <f>+C6*D6</f>
        <v>6086.6964260641798</v>
      </c>
    </row>
    <row r="7" spans="2:5">
      <c r="D7" s="4"/>
    </row>
    <row r="8" spans="2:5">
      <c r="C8" s="1">
        <f>SUM(C2:C7)</f>
        <v>234502</v>
      </c>
      <c r="D8" s="4" t="e">
        <f>+E8/C8</f>
        <v>#REF!</v>
      </c>
      <c r="E8" s="1" t="e">
        <f>SUM(E2:E7)</f>
        <v>#REF!</v>
      </c>
    </row>
    <row r="9" spans="2:5">
      <c r="B9" s="1" t="s">
        <v>282</v>
      </c>
      <c r="C9" s="1">
        <v>8113</v>
      </c>
      <c r="D9" s="4">
        <v>0</v>
      </c>
      <c r="E9" s="1">
        <f>+C9*D9</f>
        <v>0</v>
      </c>
    </row>
    <row r="10" spans="2:5">
      <c r="B10" s="1" t="s">
        <v>283</v>
      </c>
      <c r="C10" s="1">
        <f>+C8-C9</f>
        <v>226389</v>
      </c>
      <c r="D10" s="4" t="e">
        <f>+E10/C10</f>
        <v>#REF!</v>
      </c>
      <c r="E10" s="1" t="e">
        <f>+E8-E9</f>
        <v>#REF!</v>
      </c>
    </row>
    <row r="12" spans="2:5">
      <c r="B12" s="1" t="s">
        <v>46</v>
      </c>
      <c r="C12" s="1" t="e">
        <f>SUMIF(#REF!,"Lamination",#REF!)</f>
        <v>#REF!</v>
      </c>
      <c r="D12" s="1">
        <v>7.75</v>
      </c>
      <c r="E12" s="1" t="e">
        <f>+C12*D12</f>
        <v>#REF!</v>
      </c>
    </row>
    <row r="13" spans="2:5">
      <c r="B13" s="1" t="s">
        <v>143</v>
      </c>
      <c r="E13" s="1" t="e">
        <f>#REF!</f>
        <v>#REF!</v>
      </c>
    </row>
    <row r="15" spans="2:5">
      <c r="B15" s="1" t="s">
        <v>284</v>
      </c>
      <c r="C15" s="1">
        <f>+C10</f>
        <v>226389</v>
      </c>
      <c r="D15" s="4" t="e">
        <f>+E15/C15</f>
        <v>#REF!</v>
      </c>
      <c r="E15" s="1" t="e">
        <f>+E10+E12+E13</f>
        <v>#REF!</v>
      </c>
    </row>
    <row r="16" spans="2:5">
      <c r="D16" s="1">
        <v>114</v>
      </c>
    </row>
    <row r="17" spans="4:4">
      <c r="D17" s="1" t="e">
        <f>+D16-D15</f>
        <v>#REF!</v>
      </c>
    </row>
  </sheetData>
  <pageMargins left="0.75" right="0.75" top="1" bottom="1" header="0.51180555555555596" footer="0.51180555555555596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/>
  </sheetViews>
  <sheetFormatPr defaultColWidth="9.140625" defaultRowHeight="15"/>
  <cols>
    <col min="1" max="1" width="9.140625" style="1"/>
    <col min="2" max="2" width="16.7109375" style="1" customWidth="1"/>
    <col min="3" max="3" width="9.5703125" style="1"/>
    <col min="4" max="4" width="12.85546875" style="1"/>
    <col min="5" max="5" width="11.7109375" style="1"/>
    <col min="6" max="16384" width="9.140625" style="1"/>
  </cols>
  <sheetData>
    <row r="2" spans="2:5">
      <c r="B2" s="1" t="s">
        <v>27</v>
      </c>
      <c r="C2" s="1">
        <v>183024.5</v>
      </c>
      <c r="D2" s="2">
        <v>15</v>
      </c>
      <c r="E2" s="1">
        <f>+C2*D2</f>
        <v>2745367.5</v>
      </c>
    </row>
    <row r="3" spans="2:5">
      <c r="D3" s="3"/>
    </row>
    <row r="4" spans="2:5">
      <c r="D4" s="3"/>
    </row>
    <row r="5" spans="2:5">
      <c r="D5" s="3"/>
    </row>
    <row r="6" spans="2:5">
      <c r="D6" s="3"/>
    </row>
    <row r="7" spans="2:5">
      <c r="D7" s="3"/>
    </row>
    <row r="8" spans="2:5">
      <c r="D8" s="3"/>
    </row>
    <row r="9" spans="2:5">
      <c r="D9" s="4"/>
    </row>
    <row r="10" spans="2:5">
      <c r="C10" s="1">
        <f>SUM(C2:C9)</f>
        <v>183024.5</v>
      </c>
      <c r="D10" s="4">
        <f>+E10/C10</f>
        <v>15</v>
      </c>
      <c r="E10" s="1">
        <f>SUM(E2:E9)</f>
        <v>2745367.5</v>
      </c>
    </row>
    <row r="11" spans="2:5">
      <c r="B11" s="1" t="s">
        <v>282</v>
      </c>
      <c r="D11" s="4">
        <v>0</v>
      </c>
      <c r="E11" s="1">
        <f>+C11*D11</f>
        <v>0</v>
      </c>
    </row>
    <row r="12" spans="2:5">
      <c r="B12" s="1" t="s">
        <v>283</v>
      </c>
      <c r="C12" s="1">
        <f>+C10-C11</f>
        <v>183024.5</v>
      </c>
      <c r="D12" s="4">
        <f>+E12/C12</f>
        <v>15</v>
      </c>
      <c r="E12" s="1">
        <f>+E10-E11</f>
        <v>2745367.5</v>
      </c>
    </row>
    <row r="14" spans="2:5">
      <c r="B14" s="1" t="s">
        <v>46</v>
      </c>
      <c r="C14" s="1" t="e">
        <f>SUMIF(#REF!,"RP PLANT",#REF!)</f>
        <v>#REF!</v>
      </c>
      <c r="D14" s="1">
        <v>7.75</v>
      </c>
      <c r="E14" s="1" t="e">
        <f>+C14*D14</f>
        <v>#REF!</v>
      </c>
    </row>
    <row r="15" spans="2:5">
      <c r="B15" s="1" t="s">
        <v>143</v>
      </c>
      <c r="E15" s="1" t="e">
        <f>#REF!</f>
        <v>#REF!</v>
      </c>
    </row>
    <row r="17" spans="2:5">
      <c r="B17" s="1" t="s">
        <v>284</v>
      </c>
      <c r="C17" s="1">
        <f>+C12</f>
        <v>183024.5</v>
      </c>
      <c r="D17" s="4" t="e">
        <f>+E17/C17</f>
        <v>#REF!</v>
      </c>
      <c r="E17" s="1" t="e">
        <f>+E12+E14+E15</f>
        <v>#REF!</v>
      </c>
    </row>
    <row r="18" spans="2:5">
      <c r="D18" s="1">
        <v>42</v>
      </c>
    </row>
    <row r="19" spans="2:5">
      <c r="D19" s="1" t="e">
        <f>+D18-D17</f>
        <v>#REF!</v>
      </c>
    </row>
  </sheetData>
  <pageMargins left="0.75" right="0.75" top="1" bottom="1" header="0.51180555555555596" footer="0.51180555555555596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/>
  </sheetViews>
  <sheetFormatPr defaultColWidth="9.140625" defaultRowHeight="15"/>
  <cols>
    <col min="1" max="1" width="9.140625" style="1"/>
    <col min="2" max="2" width="16.7109375" style="1" customWidth="1"/>
    <col min="3" max="3" width="9.5703125" style="1"/>
    <col min="4" max="4" width="12.85546875" style="1"/>
    <col min="5" max="5" width="11.7109375" style="1"/>
    <col min="6" max="16384" width="9.140625" style="1"/>
  </cols>
  <sheetData>
    <row r="2" spans="2:5">
      <c r="B2" s="1" t="s">
        <v>40</v>
      </c>
      <c r="D2" s="2">
        <v>93</v>
      </c>
      <c r="E2" s="1">
        <f>+C2*D2</f>
        <v>0</v>
      </c>
    </row>
    <row r="3" spans="2:5">
      <c r="D3" s="3"/>
    </row>
    <row r="4" spans="2:5">
      <c r="D4" s="3"/>
    </row>
    <row r="5" spans="2:5">
      <c r="D5" s="3"/>
    </row>
    <row r="6" spans="2:5">
      <c r="D6" s="3"/>
    </row>
    <row r="7" spans="2:5">
      <c r="D7" s="3"/>
    </row>
    <row r="8" spans="2:5">
      <c r="D8" s="3"/>
    </row>
    <row r="9" spans="2:5">
      <c r="D9" s="4"/>
    </row>
    <row r="10" spans="2:5">
      <c r="C10" s="1">
        <f>SUM(C2:C9)</f>
        <v>0</v>
      </c>
      <c r="D10" s="4" t="e">
        <f>+E10/C10</f>
        <v>#DIV/0!</v>
      </c>
      <c r="E10" s="1">
        <f>SUM(E2:E9)</f>
        <v>0</v>
      </c>
    </row>
    <row r="11" spans="2:5">
      <c r="B11" s="1" t="s">
        <v>282</v>
      </c>
      <c r="D11" s="4">
        <v>0</v>
      </c>
      <c r="E11" s="1">
        <f>+C11*D11</f>
        <v>0</v>
      </c>
    </row>
    <row r="12" spans="2:5">
      <c r="B12" s="1" t="s">
        <v>283</v>
      </c>
      <c r="C12" s="1">
        <f>+C10-C11</f>
        <v>0</v>
      </c>
      <c r="D12" s="4" t="e">
        <f>+E12/C12</f>
        <v>#DIV/0!</v>
      </c>
      <c r="E12" s="1">
        <f>+E10-E11</f>
        <v>0</v>
      </c>
    </row>
    <row r="14" spans="2:5">
      <c r="B14" s="1" t="s">
        <v>46</v>
      </c>
      <c r="D14" s="1">
        <v>7.75</v>
      </c>
      <c r="E14" s="1">
        <f>+C14*D14</f>
        <v>0</v>
      </c>
    </row>
    <row r="15" spans="2:5">
      <c r="B15" s="1" t="s">
        <v>143</v>
      </c>
      <c r="E15" s="1">
        <v>3010</v>
      </c>
    </row>
    <row r="17" spans="2:5">
      <c r="B17" s="1" t="s">
        <v>284</v>
      </c>
      <c r="C17" s="1">
        <f>+C12</f>
        <v>0</v>
      </c>
      <c r="D17" s="4" t="e">
        <f>+E17/C17</f>
        <v>#DIV/0!</v>
      </c>
      <c r="E17" s="1">
        <f>+E12+E14+E15</f>
        <v>3010</v>
      </c>
    </row>
    <row r="18" spans="2:5">
      <c r="D18" s="1">
        <v>122</v>
      </c>
    </row>
    <row r="19" spans="2:5">
      <c r="D19" s="1" t="e">
        <f>+D18-D17</f>
        <v>#DIV/0!</v>
      </c>
    </row>
  </sheetData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7</vt:i4>
      </vt:variant>
    </vt:vector>
  </HeadingPairs>
  <TitlesOfParts>
    <vt:vector size="43" baseType="lpstr">
      <vt:lpstr>JOb Out Loss</vt:lpstr>
      <vt:lpstr>Sheet11</vt:lpstr>
      <vt:lpstr>Budget</vt:lpstr>
      <vt:lpstr>PUR-SALE</vt:lpstr>
      <vt:lpstr>Sheet6</vt:lpstr>
      <vt:lpstr>Sheet5</vt:lpstr>
      <vt:lpstr>New Working</vt:lpstr>
      <vt:lpstr>ERP STOCK</vt:lpstr>
      <vt:lpstr>Sheet3</vt:lpstr>
      <vt:lpstr>Sheet2</vt:lpstr>
      <vt:lpstr>Sheet1</vt:lpstr>
      <vt:lpstr>Report</vt:lpstr>
      <vt:lpstr>Cons Prod</vt:lpstr>
      <vt:lpstr>Sheet4</vt:lpstr>
      <vt:lpstr>Consumables and Stores</vt:lpstr>
      <vt:lpstr>Flowchart</vt:lpstr>
      <vt:lpstr>FillerSoltex</vt:lpstr>
      <vt:lpstr>UV</vt:lpstr>
      <vt:lpstr>MB</vt:lpstr>
      <vt:lpstr>RP</vt:lpstr>
      <vt:lpstr>LD</vt:lpstr>
      <vt:lpstr>LLDP</vt:lpstr>
      <vt:lpstr>HD</vt:lpstr>
      <vt:lpstr>Film</vt:lpstr>
      <vt:lpstr>Yarn</vt:lpstr>
      <vt:lpstr>Lam Fabric</vt:lpstr>
      <vt:lpstr>Wastage</vt:lpstr>
      <vt:lpstr>Tape</vt:lpstr>
      <vt:lpstr>Unlaminated Fabric</vt:lpstr>
      <vt:lpstr>Tape (2)</vt:lpstr>
      <vt:lpstr>Fabric</vt:lpstr>
      <vt:lpstr>Webbing (2)</vt:lpstr>
      <vt:lpstr>FIBC (2)</vt:lpstr>
      <vt:lpstr>Laminated Fabric</vt:lpstr>
      <vt:lpstr>RP (2)</vt:lpstr>
      <vt:lpstr>Yarn (2)</vt:lpstr>
      <vt:lpstr>Budget!Print_Area</vt:lpstr>
      <vt:lpstr>'New Working'!Print_Area</vt:lpstr>
      <vt:lpstr>Sheet11!Print_Area</vt:lpstr>
      <vt:lpstr>Sheet2!Print_Area</vt:lpstr>
      <vt:lpstr>Sheet3!Print_Area</vt:lpstr>
      <vt:lpstr>Sheet6!Print_Area</vt:lpstr>
      <vt:lpstr>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SHAH</dc:creator>
  <cp:lastModifiedBy>user</cp:lastModifiedBy>
  <cp:lastPrinted>2024-07-26T11:41:06Z</cp:lastPrinted>
  <dcterms:created xsi:type="dcterms:W3CDTF">2019-09-05T12:15:00Z</dcterms:created>
  <dcterms:modified xsi:type="dcterms:W3CDTF">2026-08-26T08:55:11Z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1033-11.2.0.9028</vt:lpwstr>
  </property>
</Properties>
</file>